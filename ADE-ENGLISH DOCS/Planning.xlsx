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RECORDINGS\PROJECTS\DataQuality\"/>
    </mc:Choice>
  </mc:AlternateContent>
  <bookViews>
    <workbookView xWindow="0" yWindow="0" windowWidth="19200" windowHeight="6930" tabRatio="794" firstSheet="27" activeTab="30"/>
  </bookViews>
  <sheets>
    <sheet name="Models" sheetId="1" r:id="rId1"/>
    <sheet name="Purchase" sheetId="2" r:id="rId2"/>
    <sheet name="OaOnParties" sheetId="4" r:id="rId3"/>
    <sheet name="OaOnPartyAddress" sheetId="5" r:id="rId4"/>
    <sheet name="VendTable" sheetId="6" r:id="rId5"/>
    <sheet name="Sheet8" sheetId="34" r:id="rId6"/>
    <sheet name="PurchContracts" sheetId="3" r:id="rId7"/>
    <sheet name="PurchaseOrder" sheetId="7" r:id="rId8"/>
    <sheet name="PurchItem" sheetId="9" r:id="rId9"/>
    <sheet name="PurchCategory" sheetId="10" r:id="rId10"/>
    <sheet name="SilverTables" sheetId="27" r:id="rId11"/>
    <sheet name="dirparty" sheetId="28" r:id="rId12"/>
    <sheet name="dirvendor" sheetId="29" r:id="rId13"/>
    <sheet name="dirpurchcategory" sheetId="30" r:id="rId14"/>
    <sheet name="dirpurchitem" sheetId="31" r:id="rId15"/>
    <sheet name="dircostcenter" sheetId="43" r:id="rId16"/>
    <sheet name="costcenter" sheetId="42" r:id="rId17"/>
    <sheet name="factpurchaseorder" sheetId="32" r:id="rId18"/>
    <sheet name="Sales" sheetId="11" r:id="rId19"/>
    <sheet name="SalesOrderLine" sheetId="14" r:id="rId20"/>
    <sheet name="factsalesorderline" sheetId="47" r:id="rId21"/>
    <sheet name="dimpaymentTypes" sheetId="46" r:id="rId22"/>
    <sheet name="CustInfo" sheetId="15" r:id="rId23"/>
    <sheet name="dimcusttable" sheetId="44" r:id="rId24"/>
    <sheet name="PromoTable" sheetId="16" r:id="rId25"/>
    <sheet name="dimpromotable" sheetId="45" r:id="rId26"/>
    <sheet name="PaymentTypes" sheetId="17" r:id="rId27"/>
    <sheet name="HR" sheetId="12" r:id="rId28"/>
    <sheet name="WorkerTable" sheetId="20" r:id="rId29"/>
    <sheet name="dimvertical" sheetId="49" r:id="rId30"/>
    <sheet name="dimworkertable" sheetId="48" r:id="rId31"/>
    <sheet name="DQ" sheetId="13" r:id="rId32"/>
    <sheet name="DQRuleType" sheetId="24" r:id="rId33"/>
    <sheet name="DQRuleMetaData" sheetId="25" r:id="rId34"/>
    <sheet name="DQRuleResults" sheetId="26" r:id="rId35"/>
    <sheet name="Misc" sheetId="35" r:id="rId36"/>
    <sheet name="Currency" sheetId="38" r:id="rId37"/>
    <sheet name="dimcurrency" sheetId="39" r:id="rId38"/>
    <sheet name="dimdate" sheetId="40" r:id="rId39"/>
    <sheet name="Sheet2" sheetId="41" r:id="rId40"/>
  </sheets>
  <definedNames>
    <definedName name="_xlnm._FilterDatabase" localSheetId="7" hidden="1">PurchaseOrder!$A$1:$U$195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84" i="14" l="1"/>
  <c r="K1484" i="14" s="1"/>
  <c r="J1290" i="14"/>
  <c r="K1290" i="14" s="1"/>
  <c r="J1096" i="14"/>
  <c r="K1096" i="14" s="1"/>
  <c r="J902" i="14"/>
  <c r="K902" i="14" s="1"/>
  <c r="J708" i="14"/>
  <c r="K708" i="14" s="1"/>
  <c r="J514" i="14"/>
  <c r="K514" i="14" s="1"/>
  <c r="J320" i="14"/>
  <c r="K320" i="14" s="1"/>
  <c r="M3" i="14"/>
  <c r="M4" i="14" s="1"/>
  <c r="M5" i="14" s="1"/>
  <c r="M6" i="14" s="1"/>
  <c r="J126" i="14"/>
  <c r="K126" i="14" s="1"/>
  <c r="L126" i="14" s="1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259" i="14"/>
  <c r="F260" i="14"/>
  <c r="F261" i="14"/>
  <c r="F262" i="14"/>
  <c r="F263" i="14"/>
  <c r="F264" i="14"/>
  <c r="F265" i="14"/>
  <c r="F266" i="14"/>
  <c r="F267" i="14"/>
  <c r="F268" i="14"/>
  <c r="F269" i="14"/>
  <c r="F270" i="14"/>
  <c r="F271" i="14"/>
  <c r="F272" i="14"/>
  <c r="F273" i="14"/>
  <c r="F274" i="14"/>
  <c r="F275" i="14"/>
  <c r="F276" i="14"/>
  <c r="F277" i="14"/>
  <c r="F278" i="14"/>
  <c r="F279" i="14"/>
  <c r="F280" i="14"/>
  <c r="F281" i="14"/>
  <c r="F282" i="14"/>
  <c r="F283" i="14"/>
  <c r="F284" i="14"/>
  <c r="F285" i="14"/>
  <c r="F286" i="14"/>
  <c r="F287" i="14"/>
  <c r="F288" i="14"/>
  <c r="F289" i="14"/>
  <c r="F290" i="14"/>
  <c r="F291" i="14"/>
  <c r="F292" i="14"/>
  <c r="F293" i="14"/>
  <c r="F294" i="14"/>
  <c r="F295" i="14"/>
  <c r="F296" i="14"/>
  <c r="F297" i="14"/>
  <c r="F298" i="14"/>
  <c r="F299" i="14"/>
  <c r="F300" i="14"/>
  <c r="F301" i="14"/>
  <c r="F302" i="14"/>
  <c r="F303" i="14"/>
  <c r="F304" i="14"/>
  <c r="F305" i="14"/>
  <c r="F306" i="14"/>
  <c r="F307" i="14"/>
  <c r="F308" i="14"/>
  <c r="F309" i="14"/>
  <c r="F310" i="14"/>
  <c r="F311" i="14"/>
  <c r="F312" i="14"/>
  <c r="F313" i="14"/>
  <c r="F314" i="14"/>
  <c r="F315" i="14"/>
  <c r="F316" i="14"/>
  <c r="F317" i="14"/>
  <c r="F318" i="14"/>
  <c r="F319" i="14"/>
  <c r="F320" i="14"/>
  <c r="F321" i="14"/>
  <c r="F322" i="14"/>
  <c r="F323" i="14"/>
  <c r="F324" i="14"/>
  <c r="F325" i="14"/>
  <c r="F326" i="14"/>
  <c r="F327" i="14"/>
  <c r="F328" i="14"/>
  <c r="F329" i="14"/>
  <c r="F330" i="14"/>
  <c r="F331" i="14"/>
  <c r="F332" i="14"/>
  <c r="F333" i="14"/>
  <c r="F334" i="14"/>
  <c r="F335" i="14"/>
  <c r="F336" i="14"/>
  <c r="F337" i="14"/>
  <c r="F338" i="14"/>
  <c r="F339" i="14"/>
  <c r="F340" i="14"/>
  <c r="F341" i="14"/>
  <c r="F342" i="14"/>
  <c r="F343" i="14"/>
  <c r="F344" i="14"/>
  <c r="F345" i="14"/>
  <c r="F346" i="14"/>
  <c r="F347" i="14"/>
  <c r="F348" i="14"/>
  <c r="F349" i="14"/>
  <c r="F350" i="14"/>
  <c r="F351" i="14"/>
  <c r="F352" i="14"/>
  <c r="F353" i="14"/>
  <c r="F354" i="14"/>
  <c r="F355" i="14"/>
  <c r="F356" i="14"/>
  <c r="F357" i="14"/>
  <c r="F358" i="14"/>
  <c r="F359" i="14"/>
  <c r="F360" i="14"/>
  <c r="F361" i="14"/>
  <c r="F362" i="14"/>
  <c r="F363" i="14"/>
  <c r="F364" i="14"/>
  <c r="F365" i="14"/>
  <c r="F366" i="14"/>
  <c r="F367" i="14"/>
  <c r="F368" i="14"/>
  <c r="F369" i="14"/>
  <c r="F370" i="14"/>
  <c r="F371" i="14"/>
  <c r="F372" i="14"/>
  <c r="F373" i="14"/>
  <c r="F374" i="14"/>
  <c r="F375" i="14"/>
  <c r="F376" i="14"/>
  <c r="F377" i="14"/>
  <c r="F378" i="14"/>
  <c r="F379" i="14"/>
  <c r="F380" i="14"/>
  <c r="F381" i="14"/>
  <c r="F382" i="14"/>
  <c r="F383" i="14"/>
  <c r="F384" i="14"/>
  <c r="F385" i="14"/>
  <c r="F386" i="14"/>
  <c r="F387" i="14"/>
  <c r="F388" i="14"/>
  <c r="F389" i="14"/>
  <c r="F390" i="14"/>
  <c r="F391" i="14"/>
  <c r="F392" i="14"/>
  <c r="F393" i="14"/>
  <c r="F394" i="14"/>
  <c r="F395" i="14"/>
  <c r="F396" i="14"/>
  <c r="F397" i="14"/>
  <c r="F398" i="14"/>
  <c r="F399" i="14"/>
  <c r="F400" i="14"/>
  <c r="F401" i="14"/>
  <c r="F402" i="14"/>
  <c r="F403" i="14"/>
  <c r="F404" i="14"/>
  <c r="F405" i="14"/>
  <c r="F406" i="14"/>
  <c r="F407" i="14"/>
  <c r="F408" i="14"/>
  <c r="F409" i="14"/>
  <c r="F410" i="14"/>
  <c r="F411" i="14"/>
  <c r="F412" i="14"/>
  <c r="F413" i="14"/>
  <c r="F414" i="14"/>
  <c r="F415" i="14"/>
  <c r="F416" i="14"/>
  <c r="F417" i="14"/>
  <c r="F418" i="14"/>
  <c r="F419" i="14"/>
  <c r="F420" i="14"/>
  <c r="F421" i="14"/>
  <c r="F422" i="14"/>
  <c r="F423" i="14"/>
  <c r="F424" i="14"/>
  <c r="F425" i="14"/>
  <c r="F426" i="14"/>
  <c r="F427" i="14"/>
  <c r="F428" i="14"/>
  <c r="F429" i="14"/>
  <c r="F430" i="14"/>
  <c r="F431" i="14"/>
  <c r="F432" i="14"/>
  <c r="F433" i="14"/>
  <c r="F434" i="14"/>
  <c r="F435" i="14"/>
  <c r="F436" i="14"/>
  <c r="F437" i="14"/>
  <c r="F438" i="14"/>
  <c r="F439" i="14"/>
  <c r="F440" i="14"/>
  <c r="F441" i="14"/>
  <c r="F442" i="14"/>
  <c r="F443" i="14"/>
  <c r="F444" i="14"/>
  <c r="F445" i="14"/>
  <c r="F446" i="14"/>
  <c r="F447" i="14"/>
  <c r="F448" i="14"/>
  <c r="F449" i="14"/>
  <c r="F450" i="14"/>
  <c r="F451" i="14"/>
  <c r="F452" i="14"/>
  <c r="F453" i="14"/>
  <c r="F454" i="14"/>
  <c r="F455" i="14"/>
  <c r="F456" i="14"/>
  <c r="F457" i="14"/>
  <c r="F458" i="14"/>
  <c r="F459" i="14"/>
  <c r="F460" i="14"/>
  <c r="F461" i="14"/>
  <c r="F462" i="14"/>
  <c r="F463" i="14"/>
  <c r="F464" i="14"/>
  <c r="F465" i="14"/>
  <c r="F466" i="14"/>
  <c r="F467" i="14"/>
  <c r="F468" i="14"/>
  <c r="F469" i="14"/>
  <c r="F470" i="14"/>
  <c r="F471" i="14"/>
  <c r="F472" i="14"/>
  <c r="F473" i="14"/>
  <c r="F474" i="14"/>
  <c r="F475" i="14"/>
  <c r="F476" i="14"/>
  <c r="F477" i="14"/>
  <c r="F478" i="14"/>
  <c r="F479" i="14"/>
  <c r="F480" i="14"/>
  <c r="F481" i="14"/>
  <c r="F482" i="14"/>
  <c r="F483" i="14"/>
  <c r="F484" i="14"/>
  <c r="F485" i="14"/>
  <c r="F486" i="14"/>
  <c r="F487" i="14"/>
  <c r="F488" i="14"/>
  <c r="F489" i="14"/>
  <c r="F490" i="14"/>
  <c r="F491" i="14"/>
  <c r="F492" i="14"/>
  <c r="F493" i="14"/>
  <c r="F494" i="14"/>
  <c r="F495" i="14"/>
  <c r="F496" i="14"/>
  <c r="F497" i="14"/>
  <c r="F498" i="14"/>
  <c r="F499" i="14"/>
  <c r="F500" i="14"/>
  <c r="F501" i="14"/>
  <c r="F502" i="14"/>
  <c r="F503" i="14"/>
  <c r="F504" i="14"/>
  <c r="F505" i="14"/>
  <c r="F506" i="14"/>
  <c r="F507" i="14"/>
  <c r="F508" i="14"/>
  <c r="F509" i="14"/>
  <c r="F510" i="14"/>
  <c r="F511" i="14"/>
  <c r="F512" i="14"/>
  <c r="F513" i="14"/>
  <c r="F514" i="14"/>
  <c r="F515" i="14"/>
  <c r="F516" i="14"/>
  <c r="F517" i="14"/>
  <c r="F518" i="14"/>
  <c r="F519" i="14"/>
  <c r="F520" i="14"/>
  <c r="F521" i="14"/>
  <c r="F522" i="14"/>
  <c r="F523" i="14"/>
  <c r="F524" i="14"/>
  <c r="F525" i="14"/>
  <c r="F526" i="14"/>
  <c r="F527" i="14"/>
  <c r="F528" i="14"/>
  <c r="F529" i="14"/>
  <c r="F530" i="14"/>
  <c r="F531" i="14"/>
  <c r="F532" i="14"/>
  <c r="F533" i="14"/>
  <c r="F534" i="14"/>
  <c r="F535" i="14"/>
  <c r="F536" i="14"/>
  <c r="F537" i="14"/>
  <c r="F538" i="14"/>
  <c r="F539" i="14"/>
  <c r="F540" i="14"/>
  <c r="F541" i="14"/>
  <c r="F542" i="14"/>
  <c r="F543" i="14"/>
  <c r="F544" i="14"/>
  <c r="F545" i="14"/>
  <c r="F546" i="14"/>
  <c r="F547" i="14"/>
  <c r="F548" i="14"/>
  <c r="F549" i="14"/>
  <c r="F550" i="14"/>
  <c r="F551" i="14"/>
  <c r="F552" i="14"/>
  <c r="F553" i="14"/>
  <c r="F554" i="14"/>
  <c r="F555" i="14"/>
  <c r="F556" i="14"/>
  <c r="F557" i="14"/>
  <c r="F558" i="14"/>
  <c r="F559" i="14"/>
  <c r="F560" i="14"/>
  <c r="F561" i="14"/>
  <c r="F562" i="14"/>
  <c r="F563" i="14"/>
  <c r="F564" i="14"/>
  <c r="F565" i="14"/>
  <c r="F566" i="14"/>
  <c r="F567" i="14"/>
  <c r="F568" i="14"/>
  <c r="F569" i="14"/>
  <c r="F570" i="14"/>
  <c r="F571" i="14"/>
  <c r="F572" i="14"/>
  <c r="F573" i="14"/>
  <c r="F574" i="14"/>
  <c r="F575" i="14"/>
  <c r="F576" i="14"/>
  <c r="F577" i="14"/>
  <c r="F578" i="14"/>
  <c r="F579" i="14"/>
  <c r="F580" i="14"/>
  <c r="F581" i="14"/>
  <c r="F582" i="14"/>
  <c r="F583" i="14"/>
  <c r="F584" i="14"/>
  <c r="F585" i="14"/>
  <c r="F586" i="14"/>
  <c r="F587" i="14"/>
  <c r="F588" i="14"/>
  <c r="F589" i="14"/>
  <c r="F590" i="14"/>
  <c r="F591" i="14"/>
  <c r="F592" i="14"/>
  <c r="F593" i="14"/>
  <c r="F594" i="14"/>
  <c r="F595" i="14"/>
  <c r="F596" i="14"/>
  <c r="F597" i="14"/>
  <c r="F598" i="14"/>
  <c r="F599" i="14"/>
  <c r="F600" i="14"/>
  <c r="F601" i="14"/>
  <c r="F602" i="14"/>
  <c r="F603" i="14"/>
  <c r="F604" i="14"/>
  <c r="F605" i="14"/>
  <c r="F606" i="14"/>
  <c r="F607" i="14"/>
  <c r="F608" i="14"/>
  <c r="F609" i="14"/>
  <c r="F610" i="14"/>
  <c r="F611" i="14"/>
  <c r="F612" i="14"/>
  <c r="F613" i="14"/>
  <c r="F614" i="14"/>
  <c r="F615" i="14"/>
  <c r="F616" i="14"/>
  <c r="F617" i="14"/>
  <c r="F618" i="14"/>
  <c r="F619" i="14"/>
  <c r="F620" i="14"/>
  <c r="F621" i="14"/>
  <c r="F622" i="14"/>
  <c r="F623" i="14"/>
  <c r="F624" i="14"/>
  <c r="F625" i="14"/>
  <c r="F626" i="14"/>
  <c r="F627" i="14"/>
  <c r="F628" i="14"/>
  <c r="F629" i="14"/>
  <c r="F630" i="14"/>
  <c r="F631" i="14"/>
  <c r="F632" i="14"/>
  <c r="F633" i="14"/>
  <c r="F634" i="14"/>
  <c r="F635" i="14"/>
  <c r="F636" i="14"/>
  <c r="F637" i="14"/>
  <c r="F638" i="14"/>
  <c r="F639" i="14"/>
  <c r="F640" i="14"/>
  <c r="F641" i="14"/>
  <c r="F642" i="14"/>
  <c r="F643" i="14"/>
  <c r="F644" i="14"/>
  <c r="F645" i="14"/>
  <c r="F646" i="14"/>
  <c r="F647" i="14"/>
  <c r="F648" i="14"/>
  <c r="F649" i="14"/>
  <c r="F650" i="14"/>
  <c r="F651" i="14"/>
  <c r="F652" i="14"/>
  <c r="F653" i="14"/>
  <c r="F654" i="14"/>
  <c r="F655" i="14"/>
  <c r="F656" i="14"/>
  <c r="F657" i="14"/>
  <c r="F658" i="14"/>
  <c r="F659" i="14"/>
  <c r="F660" i="14"/>
  <c r="F661" i="14"/>
  <c r="F662" i="14"/>
  <c r="F663" i="14"/>
  <c r="F664" i="14"/>
  <c r="F665" i="14"/>
  <c r="F666" i="14"/>
  <c r="F667" i="14"/>
  <c r="F668" i="14"/>
  <c r="F669" i="14"/>
  <c r="F670" i="14"/>
  <c r="F671" i="14"/>
  <c r="F672" i="14"/>
  <c r="F673" i="14"/>
  <c r="F674" i="14"/>
  <c r="F675" i="14"/>
  <c r="F676" i="14"/>
  <c r="F677" i="14"/>
  <c r="F678" i="14"/>
  <c r="F679" i="14"/>
  <c r="F680" i="14"/>
  <c r="F681" i="14"/>
  <c r="F682" i="14"/>
  <c r="F683" i="14"/>
  <c r="F684" i="14"/>
  <c r="F685" i="14"/>
  <c r="F686" i="14"/>
  <c r="F687" i="14"/>
  <c r="F688" i="14"/>
  <c r="F689" i="14"/>
  <c r="F690" i="14"/>
  <c r="F691" i="14"/>
  <c r="F692" i="14"/>
  <c r="F693" i="14"/>
  <c r="F694" i="14"/>
  <c r="F695" i="14"/>
  <c r="F696" i="14"/>
  <c r="F697" i="14"/>
  <c r="F698" i="14"/>
  <c r="F699" i="14"/>
  <c r="F700" i="14"/>
  <c r="F701" i="14"/>
  <c r="F702" i="14"/>
  <c r="F703" i="14"/>
  <c r="F704" i="14"/>
  <c r="F705" i="14"/>
  <c r="F706" i="14"/>
  <c r="F707" i="14"/>
  <c r="F708" i="14"/>
  <c r="F709" i="14"/>
  <c r="F710" i="14"/>
  <c r="F711" i="14"/>
  <c r="F712" i="14"/>
  <c r="F713" i="14"/>
  <c r="F714" i="14"/>
  <c r="F715" i="14"/>
  <c r="F716" i="14"/>
  <c r="F717" i="14"/>
  <c r="F718" i="14"/>
  <c r="F719" i="14"/>
  <c r="F720" i="14"/>
  <c r="F721" i="14"/>
  <c r="F722" i="14"/>
  <c r="F723" i="14"/>
  <c r="F724" i="14"/>
  <c r="F725" i="14"/>
  <c r="F726" i="14"/>
  <c r="F727" i="14"/>
  <c r="F728" i="14"/>
  <c r="F729" i="14"/>
  <c r="F730" i="14"/>
  <c r="F731" i="14"/>
  <c r="F732" i="14"/>
  <c r="F733" i="14"/>
  <c r="F734" i="14"/>
  <c r="F735" i="14"/>
  <c r="F736" i="14"/>
  <c r="F737" i="14"/>
  <c r="F738" i="14"/>
  <c r="F739" i="14"/>
  <c r="F740" i="14"/>
  <c r="F741" i="14"/>
  <c r="F742" i="14"/>
  <c r="F743" i="14"/>
  <c r="F744" i="14"/>
  <c r="F745" i="14"/>
  <c r="F746" i="14"/>
  <c r="F747" i="14"/>
  <c r="F748" i="14"/>
  <c r="F749" i="14"/>
  <c r="F750" i="14"/>
  <c r="F751" i="14"/>
  <c r="F752" i="14"/>
  <c r="F753" i="14"/>
  <c r="F754" i="14"/>
  <c r="F755" i="14"/>
  <c r="F756" i="14"/>
  <c r="F757" i="14"/>
  <c r="F758" i="14"/>
  <c r="F759" i="14"/>
  <c r="F760" i="14"/>
  <c r="F761" i="14"/>
  <c r="F762" i="14"/>
  <c r="F763" i="14"/>
  <c r="F764" i="14"/>
  <c r="F765" i="14"/>
  <c r="F766" i="14"/>
  <c r="F767" i="14"/>
  <c r="F768" i="14"/>
  <c r="F769" i="14"/>
  <c r="F770" i="14"/>
  <c r="F771" i="14"/>
  <c r="F772" i="14"/>
  <c r="F773" i="14"/>
  <c r="F774" i="14"/>
  <c r="F775" i="14"/>
  <c r="F776" i="14"/>
  <c r="F777" i="14"/>
  <c r="F778" i="14"/>
  <c r="F779" i="14"/>
  <c r="F780" i="14"/>
  <c r="F781" i="14"/>
  <c r="F782" i="14"/>
  <c r="F783" i="14"/>
  <c r="F784" i="14"/>
  <c r="F785" i="14"/>
  <c r="F786" i="14"/>
  <c r="F787" i="14"/>
  <c r="F788" i="14"/>
  <c r="F789" i="14"/>
  <c r="F790" i="14"/>
  <c r="F791" i="14"/>
  <c r="F792" i="14"/>
  <c r="F793" i="14"/>
  <c r="F794" i="14"/>
  <c r="F795" i="14"/>
  <c r="F796" i="14"/>
  <c r="F797" i="14"/>
  <c r="F798" i="14"/>
  <c r="F799" i="14"/>
  <c r="F800" i="14"/>
  <c r="F801" i="14"/>
  <c r="F802" i="14"/>
  <c r="F803" i="14"/>
  <c r="F804" i="14"/>
  <c r="F805" i="14"/>
  <c r="F806" i="14"/>
  <c r="F807" i="14"/>
  <c r="F808" i="14"/>
  <c r="F809" i="14"/>
  <c r="F810" i="14"/>
  <c r="F811" i="14"/>
  <c r="F812" i="14"/>
  <c r="F813" i="14"/>
  <c r="F814" i="14"/>
  <c r="F815" i="14"/>
  <c r="F816" i="14"/>
  <c r="F817" i="14"/>
  <c r="F818" i="14"/>
  <c r="F819" i="14"/>
  <c r="F820" i="14"/>
  <c r="F821" i="14"/>
  <c r="F822" i="14"/>
  <c r="F823" i="14"/>
  <c r="F824" i="14"/>
  <c r="F825" i="14"/>
  <c r="F826" i="14"/>
  <c r="F827" i="14"/>
  <c r="F828" i="14"/>
  <c r="F829" i="14"/>
  <c r="F830" i="14"/>
  <c r="F831" i="14"/>
  <c r="F832" i="14"/>
  <c r="F833" i="14"/>
  <c r="F834" i="14"/>
  <c r="F835" i="14"/>
  <c r="F836" i="14"/>
  <c r="F837" i="14"/>
  <c r="F838" i="14"/>
  <c r="F839" i="14"/>
  <c r="F840" i="14"/>
  <c r="F841" i="14"/>
  <c r="F842" i="14"/>
  <c r="F843" i="14"/>
  <c r="F844" i="14"/>
  <c r="F845" i="14"/>
  <c r="F846" i="14"/>
  <c r="F847" i="14"/>
  <c r="F848" i="14"/>
  <c r="F849" i="14"/>
  <c r="F850" i="14"/>
  <c r="F851" i="14"/>
  <c r="F852" i="14"/>
  <c r="F853" i="14"/>
  <c r="F854" i="14"/>
  <c r="F855" i="14"/>
  <c r="F856" i="14"/>
  <c r="F857" i="14"/>
  <c r="F858" i="14"/>
  <c r="F859" i="14"/>
  <c r="F860" i="14"/>
  <c r="F861" i="14"/>
  <c r="F862" i="14"/>
  <c r="F863" i="14"/>
  <c r="F864" i="14"/>
  <c r="F865" i="14"/>
  <c r="F866" i="14"/>
  <c r="F867" i="14"/>
  <c r="F868" i="14"/>
  <c r="F869" i="14"/>
  <c r="F870" i="14"/>
  <c r="F871" i="14"/>
  <c r="F872" i="14"/>
  <c r="F873" i="14"/>
  <c r="F874" i="14"/>
  <c r="F875" i="14"/>
  <c r="F876" i="14"/>
  <c r="F877" i="14"/>
  <c r="F878" i="14"/>
  <c r="F879" i="14"/>
  <c r="F880" i="14"/>
  <c r="F881" i="14"/>
  <c r="F882" i="14"/>
  <c r="F883" i="14"/>
  <c r="F884" i="14"/>
  <c r="F885" i="14"/>
  <c r="F886" i="14"/>
  <c r="F887" i="14"/>
  <c r="F888" i="14"/>
  <c r="F889" i="14"/>
  <c r="F890" i="14"/>
  <c r="F891" i="14"/>
  <c r="F892" i="14"/>
  <c r="F893" i="14"/>
  <c r="F894" i="14"/>
  <c r="F895" i="14"/>
  <c r="F896" i="14"/>
  <c r="F897" i="14"/>
  <c r="F898" i="14"/>
  <c r="F899" i="14"/>
  <c r="F900" i="14"/>
  <c r="F901" i="14"/>
  <c r="F902" i="14"/>
  <c r="F903" i="14"/>
  <c r="F904" i="14"/>
  <c r="F905" i="14"/>
  <c r="F906" i="14"/>
  <c r="F907" i="14"/>
  <c r="F908" i="14"/>
  <c r="F909" i="14"/>
  <c r="F910" i="14"/>
  <c r="F911" i="14"/>
  <c r="F912" i="14"/>
  <c r="F913" i="14"/>
  <c r="F914" i="14"/>
  <c r="F915" i="14"/>
  <c r="F916" i="14"/>
  <c r="F917" i="14"/>
  <c r="F918" i="14"/>
  <c r="F919" i="14"/>
  <c r="F920" i="14"/>
  <c r="F921" i="14"/>
  <c r="F922" i="14"/>
  <c r="F923" i="14"/>
  <c r="F924" i="14"/>
  <c r="F925" i="14"/>
  <c r="F926" i="14"/>
  <c r="F927" i="14"/>
  <c r="F928" i="14"/>
  <c r="F929" i="14"/>
  <c r="F930" i="14"/>
  <c r="F931" i="14"/>
  <c r="F932" i="14"/>
  <c r="F933" i="14"/>
  <c r="F934" i="14"/>
  <c r="F935" i="14"/>
  <c r="F936" i="14"/>
  <c r="F937" i="14"/>
  <c r="F938" i="14"/>
  <c r="F939" i="14"/>
  <c r="F940" i="14"/>
  <c r="F941" i="14"/>
  <c r="F942" i="14"/>
  <c r="F943" i="14"/>
  <c r="F944" i="14"/>
  <c r="F945" i="14"/>
  <c r="F946" i="14"/>
  <c r="F947" i="14"/>
  <c r="F948" i="14"/>
  <c r="F949" i="14"/>
  <c r="F950" i="14"/>
  <c r="F951" i="14"/>
  <c r="F952" i="14"/>
  <c r="F953" i="14"/>
  <c r="F954" i="14"/>
  <c r="F955" i="14"/>
  <c r="F956" i="14"/>
  <c r="F957" i="14"/>
  <c r="F958" i="14"/>
  <c r="F959" i="14"/>
  <c r="F960" i="14"/>
  <c r="F961" i="14"/>
  <c r="F962" i="14"/>
  <c r="F963" i="14"/>
  <c r="F964" i="14"/>
  <c r="F965" i="14"/>
  <c r="F966" i="14"/>
  <c r="F967" i="14"/>
  <c r="F968" i="14"/>
  <c r="F969" i="14"/>
  <c r="F970" i="14"/>
  <c r="F971" i="14"/>
  <c r="F972" i="14"/>
  <c r="F973" i="14"/>
  <c r="F974" i="14"/>
  <c r="F975" i="14"/>
  <c r="F976" i="14"/>
  <c r="F977" i="14"/>
  <c r="F978" i="14"/>
  <c r="F979" i="14"/>
  <c r="F980" i="14"/>
  <c r="F981" i="14"/>
  <c r="F982" i="14"/>
  <c r="F983" i="14"/>
  <c r="F984" i="14"/>
  <c r="F985" i="14"/>
  <c r="F986" i="14"/>
  <c r="F987" i="14"/>
  <c r="F988" i="14"/>
  <c r="F989" i="14"/>
  <c r="F990" i="14"/>
  <c r="F991" i="14"/>
  <c r="F992" i="14"/>
  <c r="F993" i="14"/>
  <c r="F994" i="14"/>
  <c r="F995" i="14"/>
  <c r="F996" i="14"/>
  <c r="F997" i="14"/>
  <c r="F998" i="14"/>
  <c r="F999" i="14"/>
  <c r="F1000" i="14"/>
  <c r="F1001" i="14"/>
  <c r="F1002" i="14"/>
  <c r="F1003" i="14"/>
  <c r="F1004" i="14"/>
  <c r="F1005" i="14"/>
  <c r="F1006" i="14"/>
  <c r="F1007" i="14"/>
  <c r="F1008" i="14"/>
  <c r="F1009" i="14"/>
  <c r="F1010" i="14"/>
  <c r="F1011" i="14"/>
  <c r="F1012" i="14"/>
  <c r="F1013" i="14"/>
  <c r="F1014" i="14"/>
  <c r="F1015" i="14"/>
  <c r="F1016" i="14"/>
  <c r="F1017" i="14"/>
  <c r="F1018" i="14"/>
  <c r="F1019" i="14"/>
  <c r="F1020" i="14"/>
  <c r="F1021" i="14"/>
  <c r="F1022" i="14"/>
  <c r="F1023" i="14"/>
  <c r="F1024" i="14"/>
  <c r="F1025" i="14"/>
  <c r="F1026" i="14"/>
  <c r="F1027" i="14"/>
  <c r="F1028" i="14"/>
  <c r="F1029" i="14"/>
  <c r="F1030" i="14"/>
  <c r="F1031" i="14"/>
  <c r="F1032" i="14"/>
  <c r="F1033" i="14"/>
  <c r="F1034" i="14"/>
  <c r="F1035" i="14"/>
  <c r="F1036" i="14"/>
  <c r="F1037" i="14"/>
  <c r="F1038" i="14"/>
  <c r="F1039" i="14"/>
  <c r="F1040" i="14"/>
  <c r="F1041" i="14"/>
  <c r="F1042" i="14"/>
  <c r="F1043" i="14"/>
  <c r="F1044" i="14"/>
  <c r="F1045" i="14"/>
  <c r="F1046" i="14"/>
  <c r="F1047" i="14"/>
  <c r="F1048" i="14"/>
  <c r="F1049" i="14"/>
  <c r="F1050" i="14"/>
  <c r="F1051" i="14"/>
  <c r="F1052" i="14"/>
  <c r="F1053" i="14"/>
  <c r="F1054" i="14"/>
  <c r="F1055" i="14"/>
  <c r="F1056" i="14"/>
  <c r="F1057" i="14"/>
  <c r="F1058" i="14"/>
  <c r="F1059" i="14"/>
  <c r="F1060" i="14"/>
  <c r="F1061" i="14"/>
  <c r="F1062" i="14"/>
  <c r="F1063" i="14"/>
  <c r="F1064" i="14"/>
  <c r="F1065" i="14"/>
  <c r="F1066" i="14"/>
  <c r="F1067" i="14"/>
  <c r="F1068" i="14"/>
  <c r="F1069" i="14"/>
  <c r="F1070" i="14"/>
  <c r="F1071" i="14"/>
  <c r="F1072" i="14"/>
  <c r="F1073" i="14"/>
  <c r="F1074" i="14"/>
  <c r="F1075" i="14"/>
  <c r="F1076" i="14"/>
  <c r="F1077" i="14"/>
  <c r="F1078" i="14"/>
  <c r="F1079" i="14"/>
  <c r="F1080" i="14"/>
  <c r="F1081" i="14"/>
  <c r="F1082" i="14"/>
  <c r="F1083" i="14"/>
  <c r="F1084" i="14"/>
  <c r="F1085" i="14"/>
  <c r="F1086" i="14"/>
  <c r="F1087" i="14"/>
  <c r="F1088" i="14"/>
  <c r="F1089" i="14"/>
  <c r="F1090" i="14"/>
  <c r="F1091" i="14"/>
  <c r="F1092" i="14"/>
  <c r="F1093" i="14"/>
  <c r="F1094" i="14"/>
  <c r="F1095" i="14"/>
  <c r="F1096" i="14"/>
  <c r="F1097" i="14"/>
  <c r="F1098" i="14"/>
  <c r="F1099" i="14"/>
  <c r="F1100" i="14"/>
  <c r="F1101" i="14"/>
  <c r="F1102" i="14"/>
  <c r="F1103" i="14"/>
  <c r="F1104" i="14"/>
  <c r="F1105" i="14"/>
  <c r="F1106" i="14"/>
  <c r="F1107" i="14"/>
  <c r="F1108" i="14"/>
  <c r="F1109" i="14"/>
  <c r="F1110" i="14"/>
  <c r="F1111" i="14"/>
  <c r="F1112" i="14"/>
  <c r="F1113" i="14"/>
  <c r="F1114" i="14"/>
  <c r="F1115" i="14"/>
  <c r="F1116" i="14"/>
  <c r="F1117" i="14"/>
  <c r="F1118" i="14"/>
  <c r="F1119" i="14"/>
  <c r="F1120" i="14"/>
  <c r="F1121" i="14"/>
  <c r="F1122" i="14"/>
  <c r="F1123" i="14"/>
  <c r="F1124" i="14"/>
  <c r="F1125" i="14"/>
  <c r="F1126" i="14"/>
  <c r="F1127" i="14"/>
  <c r="F1128" i="14"/>
  <c r="F1129" i="14"/>
  <c r="F1130" i="14"/>
  <c r="F1131" i="14"/>
  <c r="F1132" i="14"/>
  <c r="F1133" i="14"/>
  <c r="F1134" i="14"/>
  <c r="F1135" i="14"/>
  <c r="F1136" i="14"/>
  <c r="F1137" i="14"/>
  <c r="F1138" i="14"/>
  <c r="F1139" i="14"/>
  <c r="F1140" i="14"/>
  <c r="F1141" i="14"/>
  <c r="F1142" i="14"/>
  <c r="F1143" i="14"/>
  <c r="F1144" i="14"/>
  <c r="F1145" i="14"/>
  <c r="F1146" i="14"/>
  <c r="F1147" i="14"/>
  <c r="F1148" i="14"/>
  <c r="F1149" i="14"/>
  <c r="F1150" i="14"/>
  <c r="F1151" i="14"/>
  <c r="F1152" i="14"/>
  <c r="F1153" i="14"/>
  <c r="F1154" i="14"/>
  <c r="F1155" i="14"/>
  <c r="F1156" i="14"/>
  <c r="F1157" i="14"/>
  <c r="F1158" i="14"/>
  <c r="F1159" i="14"/>
  <c r="F1160" i="14"/>
  <c r="F1161" i="14"/>
  <c r="F1162" i="14"/>
  <c r="F1163" i="14"/>
  <c r="F1164" i="14"/>
  <c r="F1165" i="14"/>
  <c r="F1166" i="14"/>
  <c r="F1167" i="14"/>
  <c r="F1168" i="14"/>
  <c r="F1169" i="14"/>
  <c r="F1170" i="14"/>
  <c r="F1171" i="14"/>
  <c r="F1172" i="14"/>
  <c r="F1173" i="14"/>
  <c r="F1174" i="14"/>
  <c r="F1175" i="14"/>
  <c r="F1176" i="14"/>
  <c r="F1177" i="14"/>
  <c r="F1178" i="14"/>
  <c r="F1179" i="14"/>
  <c r="F1180" i="14"/>
  <c r="F1181" i="14"/>
  <c r="F1182" i="14"/>
  <c r="F1183" i="14"/>
  <c r="F1184" i="14"/>
  <c r="F1185" i="14"/>
  <c r="F1186" i="14"/>
  <c r="F1187" i="14"/>
  <c r="F1188" i="14"/>
  <c r="F1189" i="14"/>
  <c r="F1190" i="14"/>
  <c r="F1191" i="14"/>
  <c r="F1192" i="14"/>
  <c r="F1193" i="14"/>
  <c r="F1194" i="14"/>
  <c r="F1195" i="14"/>
  <c r="F1196" i="14"/>
  <c r="F1197" i="14"/>
  <c r="F1198" i="14"/>
  <c r="F1199" i="14"/>
  <c r="F1200" i="14"/>
  <c r="F1201" i="14"/>
  <c r="F1202" i="14"/>
  <c r="F1203" i="14"/>
  <c r="F1204" i="14"/>
  <c r="F1205" i="14"/>
  <c r="F1206" i="14"/>
  <c r="F1207" i="14"/>
  <c r="F1208" i="14"/>
  <c r="F1209" i="14"/>
  <c r="F1210" i="14"/>
  <c r="F1211" i="14"/>
  <c r="F1212" i="14"/>
  <c r="F1213" i="14"/>
  <c r="F1214" i="14"/>
  <c r="F1215" i="14"/>
  <c r="F1216" i="14"/>
  <c r="F1217" i="14"/>
  <c r="F1218" i="14"/>
  <c r="F1219" i="14"/>
  <c r="F1220" i="14"/>
  <c r="F1221" i="14"/>
  <c r="F1222" i="14"/>
  <c r="F1223" i="14"/>
  <c r="F1224" i="14"/>
  <c r="F1225" i="14"/>
  <c r="F1226" i="14"/>
  <c r="F1227" i="14"/>
  <c r="F1228" i="14"/>
  <c r="F1229" i="14"/>
  <c r="F1230" i="14"/>
  <c r="F1231" i="14"/>
  <c r="F1232" i="14"/>
  <c r="F1233" i="14"/>
  <c r="F1234" i="14"/>
  <c r="F1235" i="14"/>
  <c r="F1236" i="14"/>
  <c r="F1237" i="14"/>
  <c r="F1238" i="14"/>
  <c r="F1239" i="14"/>
  <c r="F1240" i="14"/>
  <c r="F1241" i="14"/>
  <c r="F1242" i="14"/>
  <c r="F1243" i="14"/>
  <c r="F1244" i="14"/>
  <c r="F1245" i="14"/>
  <c r="F1246" i="14"/>
  <c r="F1247" i="14"/>
  <c r="F1248" i="14"/>
  <c r="F1249" i="14"/>
  <c r="F1250" i="14"/>
  <c r="F1251" i="14"/>
  <c r="F1252" i="14"/>
  <c r="F1253" i="14"/>
  <c r="F1254" i="14"/>
  <c r="F1255" i="14"/>
  <c r="F1256" i="14"/>
  <c r="F1257" i="14"/>
  <c r="F1258" i="14"/>
  <c r="F1259" i="14"/>
  <c r="F1260" i="14"/>
  <c r="F1261" i="14"/>
  <c r="F1262" i="14"/>
  <c r="F1263" i="14"/>
  <c r="F1264" i="14"/>
  <c r="F1265" i="14"/>
  <c r="F1266" i="14"/>
  <c r="F1267" i="14"/>
  <c r="F1268" i="14"/>
  <c r="F1269" i="14"/>
  <c r="F1270" i="14"/>
  <c r="F1271" i="14"/>
  <c r="F1272" i="14"/>
  <c r="F1273" i="14"/>
  <c r="F1274" i="14"/>
  <c r="F1275" i="14"/>
  <c r="F1276" i="14"/>
  <c r="F1277" i="14"/>
  <c r="F1278" i="14"/>
  <c r="F1279" i="14"/>
  <c r="F1280" i="14"/>
  <c r="F1281" i="14"/>
  <c r="F1282" i="14"/>
  <c r="F1283" i="14"/>
  <c r="F1284" i="14"/>
  <c r="F1285" i="14"/>
  <c r="F1286" i="14"/>
  <c r="F1287" i="14"/>
  <c r="F1288" i="14"/>
  <c r="F1289" i="14"/>
  <c r="F1290" i="14"/>
  <c r="F1291" i="14"/>
  <c r="F1292" i="14"/>
  <c r="F1293" i="14"/>
  <c r="F1294" i="14"/>
  <c r="F1295" i="14"/>
  <c r="F1296" i="14"/>
  <c r="F1297" i="14"/>
  <c r="F1298" i="14"/>
  <c r="F1299" i="14"/>
  <c r="F1300" i="14"/>
  <c r="F1301" i="14"/>
  <c r="F1302" i="14"/>
  <c r="F1303" i="14"/>
  <c r="F1304" i="14"/>
  <c r="F1305" i="14"/>
  <c r="F1306" i="14"/>
  <c r="F1307" i="14"/>
  <c r="F1308" i="14"/>
  <c r="F1309" i="14"/>
  <c r="F1310" i="14"/>
  <c r="F1311" i="14"/>
  <c r="F1312" i="14"/>
  <c r="F1313" i="14"/>
  <c r="F1314" i="14"/>
  <c r="F1315" i="14"/>
  <c r="F1316" i="14"/>
  <c r="F1317" i="14"/>
  <c r="F1318" i="14"/>
  <c r="F1319" i="14"/>
  <c r="F1320" i="14"/>
  <c r="F1321" i="14"/>
  <c r="F1322" i="14"/>
  <c r="F1323" i="14"/>
  <c r="F1324" i="14"/>
  <c r="F1325" i="14"/>
  <c r="F1326" i="14"/>
  <c r="F1327" i="14"/>
  <c r="F1328" i="14"/>
  <c r="F1329" i="14"/>
  <c r="F1330" i="14"/>
  <c r="F1331" i="14"/>
  <c r="F1332" i="14"/>
  <c r="F1333" i="14"/>
  <c r="F1334" i="14"/>
  <c r="F1335" i="14"/>
  <c r="F1336" i="14"/>
  <c r="F1337" i="14"/>
  <c r="F1338" i="14"/>
  <c r="F1339" i="14"/>
  <c r="F1340" i="14"/>
  <c r="F1341" i="14"/>
  <c r="F1342" i="14"/>
  <c r="F1343" i="14"/>
  <c r="F1344" i="14"/>
  <c r="F1345" i="14"/>
  <c r="F1346" i="14"/>
  <c r="F1347" i="14"/>
  <c r="F1348" i="14"/>
  <c r="F1349" i="14"/>
  <c r="F1350" i="14"/>
  <c r="F1351" i="14"/>
  <c r="F1352" i="14"/>
  <c r="F1353" i="14"/>
  <c r="F1354" i="14"/>
  <c r="F1355" i="14"/>
  <c r="F1356" i="14"/>
  <c r="F1357" i="14"/>
  <c r="F1358" i="14"/>
  <c r="F1359" i="14"/>
  <c r="F1360" i="14"/>
  <c r="F1361" i="14"/>
  <c r="F1362" i="14"/>
  <c r="F1363" i="14"/>
  <c r="F1364" i="14"/>
  <c r="F1365" i="14"/>
  <c r="F1366" i="14"/>
  <c r="F1367" i="14"/>
  <c r="F1368" i="14"/>
  <c r="F1369" i="14"/>
  <c r="F1370" i="14"/>
  <c r="F1371" i="14"/>
  <c r="F1372" i="14"/>
  <c r="F1373" i="14"/>
  <c r="F1374" i="14"/>
  <c r="F1375" i="14"/>
  <c r="F1376" i="14"/>
  <c r="F1377" i="14"/>
  <c r="F1378" i="14"/>
  <c r="F1379" i="14"/>
  <c r="F1380" i="14"/>
  <c r="F1381" i="14"/>
  <c r="F1382" i="14"/>
  <c r="F1383" i="14"/>
  <c r="F1384" i="14"/>
  <c r="F1385" i="14"/>
  <c r="F1386" i="14"/>
  <c r="F1387" i="14"/>
  <c r="F1388" i="14"/>
  <c r="F1389" i="14"/>
  <c r="F1390" i="14"/>
  <c r="F1391" i="14"/>
  <c r="F1392" i="14"/>
  <c r="F1393" i="14"/>
  <c r="F1394" i="14"/>
  <c r="F1395" i="14"/>
  <c r="F1396" i="14"/>
  <c r="F1397" i="14"/>
  <c r="F1398" i="14"/>
  <c r="F1399" i="14"/>
  <c r="F1400" i="14"/>
  <c r="F1401" i="14"/>
  <c r="F1402" i="14"/>
  <c r="F1403" i="14"/>
  <c r="F1404" i="14"/>
  <c r="F1405" i="14"/>
  <c r="F1406" i="14"/>
  <c r="F1407" i="14"/>
  <c r="F1408" i="14"/>
  <c r="F1409" i="14"/>
  <c r="F1410" i="14"/>
  <c r="F1411" i="14"/>
  <c r="F1412" i="14"/>
  <c r="F1413" i="14"/>
  <c r="F1414" i="14"/>
  <c r="F1415" i="14"/>
  <c r="F1416" i="14"/>
  <c r="F1417" i="14"/>
  <c r="F1418" i="14"/>
  <c r="F1419" i="14"/>
  <c r="F1420" i="14"/>
  <c r="F1421" i="14"/>
  <c r="F1422" i="14"/>
  <c r="F1423" i="14"/>
  <c r="F1424" i="14"/>
  <c r="F1425" i="14"/>
  <c r="F1426" i="14"/>
  <c r="F1427" i="14"/>
  <c r="F1428" i="14"/>
  <c r="F1429" i="14"/>
  <c r="F1430" i="14"/>
  <c r="F1431" i="14"/>
  <c r="F1432" i="14"/>
  <c r="F1433" i="14"/>
  <c r="F1434" i="14"/>
  <c r="F1435" i="14"/>
  <c r="F1436" i="14"/>
  <c r="F1437" i="14"/>
  <c r="F1438" i="14"/>
  <c r="F1439" i="14"/>
  <c r="F1440" i="14"/>
  <c r="F1441" i="14"/>
  <c r="F1442" i="14"/>
  <c r="F1443" i="14"/>
  <c r="F1444" i="14"/>
  <c r="F1445" i="14"/>
  <c r="F1446" i="14"/>
  <c r="F1447" i="14"/>
  <c r="F1448" i="14"/>
  <c r="F1449" i="14"/>
  <c r="F1450" i="14"/>
  <c r="F1451" i="14"/>
  <c r="F1452" i="14"/>
  <c r="F1453" i="14"/>
  <c r="F1454" i="14"/>
  <c r="F1455" i="14"/>
  <c r="F1456" i="14"/>
  <c r="F1457" i="14"/>
  <c r="F1458" i="14"/>
  <c r="F1459" i="14"/>
  <c r="F1460" i="14"/>
  <c r="F1461" i="14"/>
  <c r="F1462" i="14"/>
  <c r="F1463" i="14"/>
  <c r="F1464" i="14"/>
  <c r="F1465" i="14"/>
  <c r="F1466" i="14"/>
  <c r="F1467" i="14"/>
  <c r="F1468" i="14"/>
  <c r="F1469" i="14"/>
  <c r="F1470" i="14"/>
  <c r="F1471" i="14"/>
  <c r="F1472" i="14"/>
  <c r="F1473" i="14"/>
  <c r="F1474" i="14"/>
  <c r="F1475" i="14"/>
  <c r="F1476" i="14"/>
  <c r="F1477" i="14"/>
  <c r="F1478" i="14"/>
  <c r="F1479" i="14"/>
  <c r="F1480" i="14"/>
  <c r="F1481" i="14"/>
  <c r="F1482" i="14"/>
  <c r="F1483" i="14"/>
  <c r="F1484" i="14"/>
  <c r="F1485" i="14"/>
  <c r="F1486" i="14"/>
  <c r="F1487" i="14"/>
  <c r="F1488" i="14"/>
  <c r="F1489" i="14"/>
  <c r="F1490" i="14"/>
  <c r="F1491" i="14"/>
  <c r="F1492" i="14"/>
  <c r="F1493" i="14"/>
  <c r="F1494" i="14"/>
  <c r="F1495" i="14"/>
  <c r="F1496" i="14"/>
  <c r="F1497" i="14"/>
  <c r="F1498" i="14"/>
  <c r="F1499" i="14"/>
  <c r="F1500" i="14"/>
  <c r="F1501" i="14"/>
  <c r="F1502" i="14"/>
  <c r="F1503" i="14"/>
  <c r="F1504" i="14"/>
  <c r="F1505" i="14"/>
  <c r="F1506" i="14"/>
  <c r="F1507" i="14"/>
  <c r="F1508" i="14"/>
  <c r="F1509" i="14"/>
  <c r="F1510" i="14"/>
  <c r="F1511" i="14"/>
  <c r="F1512" i="14"/>
  <c r="F1513" i="14"/>
  <c r="F1514" i="14"/>
  <c r="F1515" i="14"/>
  <c r="F1516" i="14"/>
  <c r="F1517" i="14"/>
  <c r="F1518" i="14"/>
  <c r="F1519" i="14"/>
  <c r="F1520" i="14"/>
  <c r="F1521" i="14"/>
  <c r="F1522" i="14"/>
  <c r="F1523" i="14"/>
  <c r="F1524" i="14"/>
  <c r="F1525" i="14"/>
  <c r="F1526" i="14"/>
  <c r="F1527" i="14"/>
  <c r="F1528" i="14"/>
  <c r="F1529" i="14"/>
  <c r="F1530" i="14"/>
  <c r="F1531" i="14"/>
  <c r="F1532" i="14"/>
  <c r="F1533" i="14"/>
  <c r="F1534" i="14"/>
  <c r="F1535" i="14"/>
  <c r="F1536" i="14"/>
  <c r="F1537" i="14"/>
  <c r="F1538" i="14"/>
  <c r="F1539" i="14"/>
  <c r="F1540" i="14"/>
  <c r="F1541" i="14"/>
  <c r="F1542" i="14"/>
  <c r="F1543" i="14"/>
  <c r="F1544" i="14"/>
  <c r="F1545" i="14"/>
  <c r="F1546" i="14"/>
  <c r="F1547" i="14"/>
  <c r="F1548" i="14"/>
  <c r="F1549" i="14"/>
  <c r="F1550" i="14"/>
  <c r="F1551" i="14"/>
  <c r="F1552" i="14"/>
  <c r="F1553" i="14"/>
  <c r="F1554" i="14"/>
  <c r="F1555" i="14"/>
  <c r="F1556" i="14"/>
  <c r="F1557" i="14"/>
  <c r="F1558" i="14"/>
  <c r="F1559" i="14"/>
  <c r="F1560" i="14"/>
  <c r="F1561" i="14"/>
  <c r="F1562" i="14"/>
  <c r="F1563" i="14"/>
  <c r="F1564" i="14"/>
  <c r="F1565" i="14"/>
  <c r="F1566" i="14"/>
  <c r="F1567" i="14"/>
  <c r="F1568" i="14"/>
  <c r="F1569" i="14"/>
  <c r="F1570" i="14"/>
  <c r="F1571" i="14"/>
  <c r="F1572" i="14"/>
  <c r="F1573" i="14"/>
  <c r="F1574" i="14"/>
  <c r="F1575" i="14"/>
  <c r="F1576" i="14"/>
  <c r="F1577" i="14"/>
  <c r="F1578" i="14"/>
  <c r="F1579" i="14"/>
  <c r="F1580" i="14"/>
  <c r="F1581" i="14"/>
  <c r="F1582" i="14"/>
  <c r="F1583" i="14"/>
  <c r="F1584" i="14"/>
  <c r="F1585" i="14"/>
  <c r="F1586" i="14"/>
  <c r="F1587" i="14"/>
  <c r="F1588" i="14"/>
  <c r="F1589" i="14"/>
  <c r="F1590" i="14"/>
  <c r="F1591" i="14"/>
  <c r="F1592" i="14"/>
  <c r="F1593" i="14"/>
  <c r="F1594" i="14"/>
  <c r="F1595" i="14"/>
  <c r="F1596" i="14"/>
  <c r="F1597" i="14"/>
  <c r="F1598" i="14"/>
  <c r="F1599" i="14"/>
  <c r="F1600" i="14"/>
  <c r="F1601" i="14"/>
  <c r="F1602" i="14"/>
  <c r="F1603" i="14"/>
  <c r="F1604" i="14"/>
  <c r="F1605" i="14"/>
  <c r="F1606" i="14"/>
  <c r="F1607" i="14"/>
  <c r="F1608" i="14"/>
  <c r="F1609" i="14"/>
  <c r="F1610" i="14"/>
  <c r="F1611" i="14"/>
  <c r="F1612" i="14"/>
  <c r="F1613" i="14"/>
  <c r="F1614" i="14"/>
  <c r="F1615" i="14"/>
  <c r="F1616" i="14"/>
  <c r="F1617" i="14"/>
  <c r="F1618" i="14"/>
  <c r="F1619" i="14"/>
  <c r="F1620" i="14"/>
  <c r="F1621" i="14"/>
  <c r="F1622" i="14"/>
  <c r="F1623" i="14"/>
  <c r="F1624" i="14"/>
  <c r="F1625" i="14"/>
  <c r="F1626" i="14"/>
  <c r="F1627" i="14"/>
  <c r="F1628" i="14"/>
  <c r="F1629" i="14"/>
  <c r="F1630" i="14"/>
  <c r="F1631" i="14"/>
  <c r="F1632" i="14"/>
  <c r="F1633" i="14"/>
  <c r="F1634" i="14"/>
  <c r="F1635" i="14"/>
  <c r="F1636" i="14"/>
  <c r="F1637" i="14"/>
  <c r="F1638" i="14"/>
  <c r="F1639" i="14"/>
  <c r="F1640" i="14"/>
  <c r="F1641" i="14"/>
  <c r="F1642" i="14"/>
  <c r="F1643" i="14"/>
  <c r="F1644" i="14"/>
  <c r="F1645" i="14"/>
  <c r="F1646" i="14"/>
  <c r="F1647" i="14"/>
  <c r="F1648" i="14"/>
  <c r="F1649" i="14"/>
  <c r="F1650" i="14"/>
  <c r="F1651" i="14"/>
  <c r="F1652" i="14"/>
  <c r="F1653" i="14"/>
  <c r="F1654" i="14"/>
  <c r="F1655" i="14"/>
  <c r="F1656" i="14"/>
  <c r="F1657" i="14"/>
  <c r="F1658" i="14"/>
  <c r="F1659" i="14"/>
  <c r="F1660" i="14"/>
  <c r="F1661" i="14"/>
  <c r="F1662" i="14"/>
  <c r="F1663" i="14"/>
  <c r="F1664" i="14"/>
  <c r="F1665" i="14"/>
  <c r="F1666" i="14"/>
  <c r="F1667" i="14"/>
  <c r="F1668" i="14"/>
  <c r="F1669" i="14"/>
  <c r="F1670" i="14"/>
  <c r="F1671" i="14"/>
  <c r="F1672" i="14"/>
  <c r="F1673" i="14"/>
  <c r="F1674" i="14"/>
  <c r="F1675" i="14"/>
  <c r="F1676" i="14"/>
  <c r="F1677" i="14"/>
  <c r="F1678" i="14"/>
  <c r="F1679" i="14"/>
  <c r="F1680" i="14"/>
  <c r="F1681" i="14"/>
  <c r="F1682" i="14"/>
  <c r="F1683" i="14"/>
  <c r="F1684" i="14"/>
  <c r="F1685" i="14"/>
  <c r="F1686" i="14"/>
  <c r="F1687" i="14"/>
  <c r="F1688" i="14"/>
  <c r="F1689" i="14"/>
  <c r="F1690" i="14"/>
  <c r="F1691" i="14"/>
  <c r="F1692" i="14"/>
  <c r="F1693" i="14"/>
  <c r="F1694" i="14"/>
  <c r="F1695" i="14"/>
  <c r="F1696" i="14"/>
  <c r="F1697" i="14"/>
  <c r="F1698" i="14"/>
  <c r="F1699" i="14"/>
  <c r="F1700" i="14"/>
  <c r="F1701" i="14"/>
  <c r="F1702" i="14"/>
  <c r="F1703" i="14"/>
  <c r="F1704" i="14"/>
  <c r="F1705" i="14"/>
  <c r="F1706" i="14"/>
  <c r="F1707" i="14"/>
  <c r="F1708" i="14"/>
  <c r="F1709" i="14"/>
  <c r="F1710" i="14"/>
  <c r="F1711" i="14"/>
  <c r="F1712" i="14"/>
  <c r="F1713" i="14"/>
  <c r="F1714" i="14"/>
  <c r="F1715" i="14"/>
  <c r="F1716" i="14"/>
  <c r="F1717" i="14"/>
  <c r="F1718" i="14"/>
  <c r="F1719" i="14"/>
  <c r="F1720" i="14"/>
  <c r="F1721" i="14"/>
  <c r="F1722" i="14"/>
  <c r="F1723" i="14"/>
  <c r="F1724" i="14"/>
  <c r="F1725" i="14"/>
  <c r="F1726" i="14"/>
  <c r="F1727" i="14"/>
  <c r="F1728" i="14"/>
  <c r="F1729" i="14"/>
  <c r="F1730" i="14"/>
  <c r="F1731" i="14"/>
  <c r="F1732" i="14"/>
  <c r="F1733" i="14"/>
  <c r="F1734" i="14"/>
  <c r="F1735" i="14"/>
  <c r="F1736" i="14"/>
  <c r="F1737" i="14"/>
  <c r="F1738" i="14"/>
  <c r="F1739" i="14"/>
  <c r="F1740" i="14"/>
  <c r="F1741" i="14"/>
  <c r="F1742" i="14"/>
  <c r="F1743" i="14"/>
  <c r="F1744" i="14"/>
  <c r="F1745" i="14"/>
  <c r="F1746" i="14"/>
  <c r="F1747" i="14"/>
  <c r="F1748" i="14"/>
  <c r="F1749" i="14"/>
  <c r="F1750" i="14"/>
  <c r="F1751" i="14"/>
  <c r="F1752" i="14"/>
  <c r="F1753" i="14"/>
  <c r="F1754" i="14"/>
  <c r="F1755" i="14"/>
  <c r="F1756" i="14"/>
  <c r="F1757" i="14"/>
  <c r="F1758" i="14"/>
  <c r="F1759" i="14"/>
  <c r="F1760" i="14"/>
  <c r="F1761" i="14"/>
  <c r="F1762" i="14"/>
  <c r="F1763" i="14"/>
  <c r="F1764" i="14"/>
  <c r="F1765" i="14"/>
  <c r="F1766" i="14"/>
  <c r="F1767" i="14"/>
  <c r="F1768" i="14"/>
  <c r="F1769" i="14"/>
  <c r="F1770" i="14"/>
  <c r="F1771" i="14"/>
  <c r="F1772" i="14"/>
  <c r="F1773" i="14"/>
  <c r="F1774" i="14"/>
  <c r="F1775" i="14"/>
  <c r="F1776" i="14"/>
  <c r="F1777" i="14"/>
  <c r="F1778" i="14"/>
  <c r="F1779" i="14"/>
  <c r="F1780" i="14"/>
  <c r="F1781" i="14"/>
  <c r="F1782" i="14"/>
  <c r="F1783" i="14"/>
  <c r="F1784" i="14"/>
  <c r="F1785" i="14"/>
  <c r="F1786" i="14"/>
  <c r="F1787" i="14"/>
  <c r="F1788" i="14"/>
  <c r="F1789" i="14"/>
  <c r="F1790" i="14"/>
  <c r="F1791" i="14"/>
  <c r="F1792" i="14"/>
  <c r="F1793" i="14"/>
  <c r="F1794" i="14"/>
  <c r="F1795" i="14"/>
  <c r="F1796" i="14"/>
  <c r="F1797" i="14"/>
  <c r="F1798" i="14"/>
  <c r="F1799" i="14"/>
  <c r="F1800" i="14"/>
  <c r="F1801" i="14"/>
  <c r="F1802" i="14"/>
  <c r="F1803" i="14"/>
  <c r="F1804" i="14"/>
  <c r="F1805" i="14"/>
  <c r="F1806" i="14"/>
  <c r="F1807" i="14"/>
  <c r="F1808" i="14"/>
  <c r="F1809" i="14"/>
  <c r="F1810" i="14"/>
  <c r="F1811" i="14"/>
  <c r="F1812" i="14"/>
  <c r="F1813" i="14"/>
  <c r="F1814" i="14"/>
  <c r="F1815" i="14"/>
  <c r="F1816" i="14"/>
  <c r="F1817" i="14"/>
  <c r="F1818" i="14"/>
  <c r="F1819" i="14"/>
  <c r="F1820" i="14"/>
  <c r="F1821" i="14"/>
  <c r="F1822" i="14"/>
  <c r="F1823" i="14"/>
  <c r="F1824" i="14"/>
  <c r="F1825" i="14"/>
  <c r="F1826" i="14"/>
  <c r="F1827" i="14"/>
  <c r="F1828" i="14"/>
  <c r="F1829" i="14"/>
  <c r="F1830" i="14"/>
  <c r="F1831" i="14"/>
  <c r="F1832" i="14"/>
  <c r="F1833" i="14"/>
  <c r="F1834" i="14"/>
  <c r="F1835" i="14"/>
  <c r="F1836" i="14"/>
  <c r="F1837" i="14"/>
  <c r="F1838" i="14"/>
  <c r="F1839" i="14"/>
  <c r="F1840" i="14"/>
  <c r="F1841" i="14"/>
  <c r="F1842" i="14"/>
  <c r="F1843" i="14"/>
  <c r="F1844" i="14"/>
  <c r="F1845" i="14"/>
  <c r="F1846" i="14"/>
  <c r="F1847" i="14"/>
  <c r="F1848" i="14"/>
  <c r="F1849" i="14"/>
  <c r="F1850" i="14"/>
  <c r="F1851" i="14"/>
  <c r="F1852" i="14"/>
  <c r="F1853" i="14"/>
  <c r="F1854" i="14"/>
  <c r="F1855" i="14"/>
  <c r="F1856" i="14"/>
  <c r="F1857" i="14"/>
  <c r="F1858" i="14"/>
  <c r="F1859" i="14"/>
  <c r="F1860" i="14"/>
  <c r="F1861" i="14"/>
  <c r="F1862" i="14"/>
  <c r="F1863" i="14"/>
  <c r="F1864" i="14"/>
  <c r="F1865" i="14"/>
  <c r="F1866" i="14"/>
  <c r="F1867" i="14"/>
  <c r="F1868" i="14"/>
  <c r="F1869" i="14"/>
  <c r="F1870" i="14"/>
  <c r="F1871" i="14"/>
  <c r="F1872" i="14"/>
  <c r="F1873" i="14"/>
  <c r="F1874" i="14"/>
  <c r="F1875" i="14"/>
  <c r="F1876" i="14"/>
  <c r="F1877" i="14"/>
  <c r="F1878" i="14"/>
  <c r="F1879" i="14"/>
  <c r="F1880" i="14"/>
  <c r="F1881" i="14"/>
  <c r="F1882" i="14"/>
  <c r="F1883" i="14"/>
  <c r="F1884" i="14"/>
  <c r="F1885" i="14"/>
  <c r="F1886" i="14"/>
  <c r="F1887" i="14"/>
  <c r="F1888" i="14"/>
  <c r="F1889" i="14"/>
  <c r="F1890" i="14"/>
  <c r="F1891" i="14"/>
  <c r="F1892" i="14"/>
  <c r="F1893" i="14"/>
  <c r="F1894" i="14"/>
  <c r="F1895" i="14"/>
  <c r="F1896" i="14"/>
  <c r="F1897" i="14"/>
  <c r="F1898" i="14"/>
  <c r="F1899" i="14"/>
  <c r="F1900" i="14"/>
  <c r="F1901" i="14"/>
  <c r="F1902" i="14"/>
  <c r="F1903" i="14"/>
  <c r="F1904" i="14"/>
  <c r="F1905" i="14"/>
  <c r="F1906" i="14"/>
  <c r="F1907" i="14"/>
  <c r="F1908" i="14"/>
  <c r="F1909" i="14"/>
  <c r="F1910" i="14"/>
  <c r="F1911" i="14"/>
  <c r="F1912" i="14"/>
  <c r="F1913" i="14"/>
  <c r="F1914" i="14"/>
  <c r="F1915" i="14"/>
  <c r="F1916" i="14"/>
  <c r="F1917" i="14"/>
  <c r="F1918" i="14"/>
  <c r="F1919" i="14"/>
  <c r="F1920" i="14"/>
  <c r="F1921" i="14"/>
  <c r="F1922" i="14"/>
  <c r="F1923" i="14"/>
  <c r="F1924" i="14"/>
  <c r="F1925" i="14"/>
  <c r="F1926" i="14"/>
  <c r="F1927" i="14"/>
  <c r="F1928" i="14"/>
  <c r="F1929" i="14"/>
  <c r="F1930" i="14"/>
  <c r="F1931" i="14"/>
  <c r="F1932" i="14"/>
  <c r="F1933" i="14"/>
  <c r="F1934" i="14"/>
  <c r="F1935" i="14"/>
  <c r="F1936" i="14"/>
  <c r="F1937" i="14"/>
  <c r="F1938" i="14"/>
  <c r="F1939" i="14"/>
  <c r="F1940" i="14"/>
  <c r="F1941" i="14"/>
  <c r="F1942" i="14"/>
  <c r="F1943" i="14"/>
  <c r="F1944" i="14"/>
  <c r="F1945" i="14"/>
  <c r="F1946" i="14"/>
  <c r="F1947" i="14"/>
  <c r="F1948" i="14"/>
  <c r="F1949" i="14"/>
  <c r="F1950" i="14"/>
  <c r="F1951" i="14"/>
  <c r="F1952" i="14"/>
  <c r="F1953" i="14"/>
  <c r="F1954" i="14"/>
  <c r="F1955" i="14"/>
  <c r="F1956" i="14"/>
  <c r="F1957" i="14"/>
  <c r="F1958" i="14"/>
  <c r="F1959" i="14"/>
  <c r="F1960" i="14"/>
  <c r="F1961" i="14"/>
  <c r="F1962" i="14"/>
  <c r="F1963" i="14"/>
  <c r="F1964" i="14"/>
  <c r="F1965" i="14"/>
  <c r="F1966" i="14"/>
  <c r="F1967" i="14"/>
  <c r="F1968" i="14"/>
  <c r="F1969" i="14"/>
  <c r="F1970" i="14"/>
  <c r="F1971" i="14"/>
  <c r="F1972" i="14"/>
  <c r="F1973" i="14"/>
  <c r="F1974" i="14"/>
  <c r="F1975" i="14"/>
  <c r="F1976" i="14"/>
  <c r="F1977" i="14"/>
  <c r="F1978" i="14"/>
  <c r="F1979" i="14"/>
  <c r="F1980" i="14"/>
  <c r="F1981" i="14"/>
  <c r="F1982" i="14"/>
  <c r="F1983" i="14"/>
  <c r="F1984" i="14"/>
  <c r="F1985" i="14"/>
  <c r="F1986" i="14"/>
  <c r="F1987" i="14"/>
  <c r="F1988" i="14"/>
  <c r="F1989" i="14"/>
  <c r="F1990" i="14"/>
  <c r="F1991" i="14"/>
  <c r="F1992" i="14"/>
  <c r="F1993" i="14"/>
  <c r="F1994" i="14"/>
  <c r="F1995" i="14"/>
  <c r="F1996" i="14"/>
  <c r="F1997" i="14"/>
  <c r="F1998" i="14"/>
  <c r="F1999" i="14"/>
  <c r="F2000" i="14"/>
  <c r="F2" i="14"/>
  <c r="M7" i="14" l="1"/>
  <c r="M8" i="14" s="1"/>
  <c r="M9" i="14" s="1"/>
  <c r="N6" i="14"/>
  <c r="N7" i="14" s="1"/>
  <c r="N8" i="14" s="1"/>
  <c r="N3" i="14"/>
  <c r="N4" i="14" s="1"/>
  <c r="N5" i="14" s="1"/>
  <c r="D2" i="42"/>
  <c r="D3" i="42"/>
  <c r="D4" i="42"/>
  <c r="D5" i="42"/>
  <c r="D6" i="42"/>
  <c r="D7" i="42"/>
  <c r="D8" i="42"/>
  <c r="D9" i="42"/>
  <c r="D10" i="42"/>
  <c r="D11" i="42"/>
  <c r="D12" i="42"/>
  <c r="D13" i="42"/>
  <c r="D14" i="42"/>
  <c r="D15" i="42"/>
  <c r="D16" i="42"/>
  <c r="D17" i="42"/>
  <c r="D18" i="42"/>
  <c r="D19" i="42"/>
  <c r="D20" i="42"/>
  <c r="D21" i="42"/>
  <c r="D22" i="42"/>
  <c r="D23" i="42"/>
  <c r="D24" i="42"/>
  <c r="N9" i="14" l="1"/>
  <c r="N10" i="14" s="1"/>
  <c r="M10" i="14"/>
  <c r="M11" i="14" s="1"/>
  <c r="C5" i="7"/>
  <c r="C6" i="7"/>
  <c r="C7" i="7"/>
  <c r="C8" i="7"/>
  <c r="C10" i="7"/>
  <c r="C15" i="7"/>
  <c r="C16" i="7"/>
  <c r="C17" i="7"/>
  <c r="C20" i="7"/>
  <c r="C21" i="7"/>
  <c r="C26" i="7"/>
  <c r="C28" i="7"/>
  <c r="C30" i="7"/>
  <c r="C31" i="7"/>
  <c r="C33" i="7"/>
  <c r="C35" i="7"/>
  <c r="C37" i="7"/>
  <c r="C41" i="7"/>
  <c r="C43" i="7"/>
  <c r="C44" i="7"/>
  <c r="C45" i="7"/>
  <c r="C48" i="7"/>
  <c r="C49" i="7"/>
  <c r="C52" i="7"/>
  <c r="C54" i="7"/>
  <c r="C55" i="7"/>
  <c r="C56" i="7"/>
  <c r="C57" i="7"/>
  <c r="C58" i="7"/>
  <c r="C62" i="7"/>
  <c r="C65" i="7"/>
  <c r="C68" i="7"/>
  <c r="C71" i="7"/>
  <c r="C73" i="7"/>
  <c r="C74" i="7"/>
  <c r="C76" i="7"/>
  <c r="C79" i="7"/>
  <c r="C80" i="7"/>
  <c r="C81" i="7"/>
  <c r="C82" i="7"/>
  <c r="C83" i="7"/>
  <c r="C84" i="7"/>
  <c r="C85" i="7"/>
  <c r="C86" i="7"/>
  <c r="C89" i="7"/>
  <c r="C91" i="7"/>
  <c r="C93" i="7"/>
  <c r="C94" i="7"/>
  <c r="C96" i="7"/>
  <c r="C99" i="7"/>
  <c r="C101" i="7"/>
  <c r="C103" i="7"/>
  <c r="C107" i="7"/>
  <c r="C109" i="7"/>
  <c r="C110" i="7"/>
  <c r="C111" i="7"/>
  <c r="C113" i="7"/>
  <c r="C115" i="7"/>
  <c r="C118" i="7"/>
  <c r="C120" i="7"/>
  <c r="C122" i="7"/>
  <c r="C123" i="7"/>
  <c r="C126" i="7"/>
  <c r="C128" i="7"/>
  <c r="C130" i="7"/>
  <c r="C131" i="7"/>
  <c r="C135" i="7"/>
  <c r="C136" i="7"/>
  <c r="C139" i="7"/>
  <c r="C140" i="7"/>
  <c r="C143" i="7"/>
  <c r="C144" i="7"/>
  <c r="C146" i="7"/>
  <c r="C147" i="7"/>
  <c r="C148" i="7"/>
  <c r="C149" i="7"/>
  <c r="C151" i="7"/>
  <c r="C154" i="7"/>
  <c r="C155" i="7"/>
  <c r="C158" i="7"/>
  <c r="C163" i="7"/>
  <c r="C164" i="7"/>
  <c r="C165" i="7"/>
  <c r="C168" i="7"/>
  <c r="C169" i="7"/>
  <c r="C170" i="7"/>
  <c r="C171" i="7"/>
  <c r="C175" i="7"/>
  <c r="C180" i="7"/>
  <c r="C183" i="7"/>
  <c r="C188" i="7"/>
  <c r="C190" i="7"/>
  <c r="C192" i="7"/>
  <c r="C193" i="7"/>
  <c r="C194" i="7"/>
  <c r="C2" i="7"/>
  <c r="M126" i="7"/>
  <c r="N126" i="7" s="1"/>
  <c r="O126" i="7" s="1"/>
  <c r="K126" i="7"/>
  <c r="J126" i="7"/>
  <c r="I126" i="7"/>
  <c r="F126" i="7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2" i="9"/>
  <c r="H2" i="9"/>
  <c r="J2" i="9"/>
  <c r="G41" i="14" l="1"/>
  <c r="G876" i="14"/>
  <c r="G950" i="14"/>
  <c r="G628" i="14"/>
  <c r="G1968" i="14"/>
  <c r="G1683" i="14"/>
  <c r="G1734" i="14"/>
  <c r="G1935" i="14"/>
  <c r="G1652" i="14"/>
  <c r="G1676" i="14"/>
  <c r="G1165" i="14"/>
  <c r="G557" i="14"/>
  <c r="G497" i="14"/>
  <c r="G712" i="14"/>
  <c r="G816" i="14"/>
  <c r="G49" i="14"/>
  <c r="G1994" i="14"/>
  <c r="G1112" i="14"/>
  <c r="G381" i="14"/>
  <c r="G1045" i="14"/>
  <c r="G453" i="14"/>
  <c r="G267" i="14"/>
  <c r="G83" i="14"/>
  <c r="G1276" i="14"/>
  <c r="G1462" i="14"/>
  <c r="G1432" i="14"/>
  <c r="G1318" i="14"/>
  <c r="G198" i="14"/>
  <c r="G1179" i="14"/>
  <c r="G618" i="14"/>
  <c r="G62" i="14"/>
  <c r="G769" i="14"/>
  <c r="G1456" i="14"/>
  <c r="G1106" i="14"/>
  <c r="M12" i="14"/>
  <c r="N11" i="14"/>
  <c r="G415" i="14"/>
  <c r="G750" i="14"/>
  <c r="G91" i="14"/>
  <c r="G167" i="14"/>
  <c r="G535" i="14"/>
  <c r="G408" i="14"/>
  <c r="G648" i="14"/>
  <c r="G846" i="14"/>
  <c r="G951" i="14"/>
  <c r="G1506" i="14"/>
  <c r="G1658" i="14"/>
  <c r="G1434" i="14"/>
  <c r="G1260" i="14"/>
  <c r="G1905" i="14"/>
  <c r="G359" i="14"/>
  <c r="G540" i="14"/>
  <c r="G1200" i="14"/>
  <c r="G692" i="14"/>
  <c r="G1236" i="14"/>
  <c r="G1142" i="14"/>
  <c r="G6" i="14"/>
  <c r="G632" i="14"/>
  <c r="G1779" i="14"/>
  <c r="G305" i="14"/>
  <c r="G823" i="14"/>
  <c r="G1383" i="14"/>
  <c r="G66" i="14"/>
  <c r="G1036" i="14"/>
  <c r="G766" i="14"/>
  <c r="G1837" i="14"/>
  <c r="G332" i="14"/>
  <c r="G429" i="14"/>
  <c r="G968" i="14"/>
  <c r="G186" i="14"/>
  <c r="G916" i="14"/>
  <c r="G1623" i="14"/>
  <c r="G393" i="14"/>
  <c r="G564" i="14"/>
  <c r="G1986" i="14"/>
  <c r="G328" i="14"/>
  <c r="G1005" i="14"/>
  <c r="G1028" i="14"/>
  <c r="G1161" i="14"/>
  <c r="G1425" i="14"/>
  <c r="G1610" i="14"/>
  <c r="G1237" i="14"/>
  <c r="G1032" i="14"/>
  <c r="G1186" i="14"/>
  <c r="G1598" i="14"/>
  <c r="G1846" i="14"/>
  <c r="G1548" i="14"/>
  <c r="G1659" i="14"/>
  <c r="G20" i="14"/>
  <c r="G704" i="14"/>
  <c r="G930" i="14"/>
  <c r="G1167" i="14"/>
  <c r="G1289" i="14"/>
  <c r="G1890" i="14"/>
  <c r="G1397" i="14"/>
  <c r="G1573" i="14"/>
  <c r="G1311" i="14"/>
  <c r="G1751" i="14"/>
  <c r="G102" i="14"/>
  <c r="G232" i="14"/>
  <c r="G306" i="14"/>
  <c r="G707" i="14"/>
  <c r="G1262" i="14"/>
  <c r="G1921" i="14"/>
  <c r="G931" i="14"/>
  <c r="G1485" i="14"/>
  <c r="G1743" i="14"/>
  <c r="G163" i="14"/>
  <c r="G565" i="14"/>
  <c r="G1758" i="14"/>
  <c r="G84" i="14"/>
  <c r="G486" i="14"/>
  <c r="G1007" i="14"/>
  <c r="G880" i="14"/>
  <c r="G1151" i="14"/>
  <c r="G1570" i="14"/>
  <c r="G1802" i="14"/>
  <c r="G1756" i="14"/>
  <c r="G1895" i="14"/>
  <c r="G610" i="14"/>
  <c r="G875" i="14"/>
  <c r="G1360" i="14"/>
  <c r="G1454" i="14"/>
  <c r="G1752" i="14"/>
  <c r="G1637" i="14"/>
  <c r="G251" i="14"/>
  <c r="G114" i="14"/>
  <c r="G745" i="14"/>
  <c r="G1293" i="14"/>
  <c r="G19" i="14"/>
  <c r="G104" i="14"/>
  <c r="G496" i="14"/>
  <c r="G1117" i="14"/>
  <c r="G569" i="14"/>
  <c r="G353" i="14"/>
  <c r="G684" i="14"/>
  <c r="G1630" i="14"/>
  <c r="G804" i="14"/>
  <c r="G1225" i="14"/>
  <c r="G1238" i="14"/>
  <c r="G641" i="14"/>
  <c r="G1072" i="14"/>
  <c r="G1121" i="14"/>
  <c r="G92" i="14"/>
  <c r="G1321" i="14"/>
  <c r="G1792" i="14"/>
  <c r="G1808" i="14"/>
  <c r="G431" i="14"/>
  <c r="G17" i="14"/>
  <c r="G911" i="14"/>
  <c r="G82" i="14"/>
  <c r="G936" i="14"/>
  <c r="G1400" i="14"/>
  <c r="G748" i="14"/>
  <c r="G142" i="14"/>
  <c r="G1086" i="14"/>
  <c r="G203" i="14"/>
  <c r="G334" i="14"/>
  <c r="G1079" i="14"/>
  <c r="G1459" i="14"/>
  <c r="G1657" i="14"/>
  <c r="G477" i="14"/>
  <c r="G935" i="14"/>
  <c r="G1145" i="14"/>
  <c r="G1647" i="14"/>
  <c r="G895" i="14"/>
  <c r="G1586" i="14"/>
  <c r="G925" i="14"/>
  <c r="G716" i="14"/>
  <c r="G1897" i="14"/>
  <c r="G210" i="14"/>
  <c r="G940" i="14"/>
  <c r="G111" i="14"/>
  <c r="G942" i="14"/>
  <c r="G840" i="14"/>
  <c r="G1346" i="14"/>
  <c r="G1371" i="14"/>
  <c r="G1776" i="14"/>
  <c r="G105" i="14"/>
  <c r="G394" i="14"/>
  <c r="G954" i="14"/>
  <c r="G803" i="14"/>
  <c r="G1314" i="14"/>
  <c r="G1989" i="14"/>
  <c r="G961" i="14"/>
  <c r="G1156" i="14"/>
  <c r="G1764" i="14"/>
  <c r="G833" i="14"/>
  <c r="G1351" i="14"/>
  <c r="G1617" i="14"/>
  <c r="G728" i="14"/>
  <c r="G1178" i="14"/>
  <c r="G1023" i="14"/>
  <c r="G960" i="14"/>
  <c r="G988" i="14"/>
  <c r="G1294" i="14"/>
  <c r="G397" i="14"/>
  <c r="G703" i="14"/>
  <c r="G602" i="14"/>
  <c r="G819" i="14"/>
  <c r="G1208" i="14"/>
  <c r="G1457" i="14"/>
  <c r="G1234" i="14"/>
  <c r="G666" i="14"/>
  <c r="G1993" i="14"/>
  <c r="G635" i="14"/>
  <c r="G1282" i="14"/>
  <c r="G1769" i="14"/>
  <c r="G897" i="14"/>
  <c r="G1159" i="14"/>
  <c r="G1292" i="14"/>
  <c r="G1856" i="14"/>
  <c r="G1825" i="14"/>
  <c r="G1883" i="14"/>
  <c r="G579" i="14"/>
  <c r="G152" i="14"/>
  <c r="G643" i="14"/>
  <c r="G1575" i="14"/>
  <c r="G549" i="14"/>
  <c r="G1188" i="14"/>
  <c r="G1013" i="14"/>
  <c r="G1471" i="14"/>
  <c r="G1488" i="14"/>
  <c r="G1545" i="14"/>
  <c r="G1912" i="14"/>
  <c r="G375" i="14"/>
  <c r="G672" i="14"/>
  <c r="G73" i="14"/>
  <c r="G1056" i="14"/>
  <c r="G1228" i="14"/>
  <c r="G1549" i="14"/>
  <c r="G132" i="14"/>
  <c r="G676" i="14"/>
  <c r="G1436" i="14"/>
  <c r="G1946" i="14"/>
  <c r="G1949" i="14"/>
  <c r="G551" i="14"/>
  <c r="G465" i="14"/>
  <c r="G1356" i="14"/>
  <c r="G594" i="14"/>
  <c r="G708" i="14"/>
  <c r="G1139" i="14"/>
  <c r="G1087" i="14"/>
  <c r="G1784" i="14"/>
  <c r="G1831" i="14"/>
  <c r="G199" i="14"/>
  <c r="G64" i="14"/>
  <c r="G1409" i="14"/>
  <c r="G1753" i="14"/>
  <c r="G470" i="14"/>
  <c r="G399" i="14"/>
  <c r="G88" i="14"/>
  <c r="G768" i="14"/>
  <c r="G867" i="14"/>
  <c r="G1940" i="14"/>
  <c r="G589" i="14"/>
  <c r="G1243" i="14"/>
  <c r="G1049" i="14"/>
  <c r="G1960" i="14"/>
  <c r="G1885" i="14"/>
  <c r="G838" i="14"/>
  <c r="G811" i="14"/>
  <c r="G1345" i="14"/>
  <c r="G1146" i="14"/>
  <c r="G756" i="14"/>
  <c r="G244" i="14"/>
  <c r="G702" i="14"/>
  <c r="G1278" i="14"/>
  <c r="G1606" i="14"/>
  <c r="G382" i="14"/>
  <c r="G322" i="14"/>
  <c r="G807" i="14"/>
  <c r="G1201" i="14"/>
  <c r="G1774" i="14"/>
  <c r="G344" i="14"/>
  <c r="G1322" i="14"/>
  <c r="G108" i="14"/>
  <c r="G1661" i="14"/>
  <c r="G749" i="14"/>
  <c r="G603" i="14"/>
  <c r="G290" i="14"/>
  <c r="G1589" i="14"/>
  <c r="G341" i="14"/>
  <c r="G338" i="14"/>
  <c r="G385" i="14"/>
  <c r="G1611" i="14"/>
  <c r="G342" i="14"/>
  <c r="G814" i="14"/>
  <c r="G858" i="14"/>
  <c r="G1455" i="14"/>
  <c r="G446" i="14"/>
  <c r="G1303" i="14"/>
  <c r="G1297" i="14"/>
  <c r="G371" i="14"/>
  <c r="G1029" i="14"/>
  <c r="G1057" i="14"/>
  <c r="G605" i="14"/>
  <c r="G1738" i="14"/>
  <c r="G459" i="14"/>
  <c r="G268" i="14"/>
  <c r="G1024" i="14"/>
  <c r="G1376" i="14"/>
  <c r="G1592" i="14"/>
  <c r="G1353" i="14"/>
  <c r="G1988" i="14"/>
  <c r="G410" i="14"/>
  <c r="G1468" i="14"/>
  <c r="G1026" i="14"/>
  <c r="G779" i="14"/>
  <c r="G1958" i="14"/>
  <c r="G1867" i="14"/>
  <c r="G693" i="14"/>
  <c r="G1696" i="14"/>
  <c r="G358" i="14"/>
  <c r="G513" i="14"/>
  <c r="G736" i="14"/>
  <c r="G417" i="14"/>
  <c r="G1957" i="14"/>
  <c r="G1786" i="14"/>
  <c r="G1719" i="14"/>
  <c r="G532" i="14"/>
  <c r="G932" i="14"/>
  <c r="G1226" i="14"/>
  <c r="G1009" i="14"/>
  <c r="G1190" i="14"/>
  <c r="G1633" i="14"/>
  <c r="G1651" i="14"/>
  <c r="G390" i="14"/>
  <c r="G209" i="14"/>
  <c r="G1035" i="14"/>
  <c r="G1748" i="14"/>
  <c r="G47" i="14"/>
  <c r="G287" i="14"/>
  <c r="G659" i="14"/>
  <c r="G815" i="14"/>
  <c r="G1039" i="14"/>
  <c r="G670" i="14"/>
  <c r="G1523" i="14"/>
  <c r="G1092" i="14"/>
  <c r="G1778" i="14"/>
  <c r="G1973" i="14"/>
  <c r="G339" i="14"/>
  <c r="G313" i="14"/>
  <c r="G1395" i="14"/>
  <c r="G1182" i="14"/>
  <c r="G1869" i="14"/>
  <c r="G412" i="14"/>
  <c r="G570" i="14"/>
  <c r="G1800" i="14"/>
  <c r="G1915" i="14"/>
  <c r="G993" i="14"/>
  <c r="G1176" i="14"/>
  <c r="G753" i="14"/>
  <c r="G1150" i="14"/>
  <c r="G1574" i="14"/>
  <c r="G205" i="14"/>
  <c r="G445" i="14"/>
  <c r="G174" i="14"/>
  <c r="G143" i="14"/>
  <c r="G480" i="14"/>
  <c r="G1379" i="14"/>
  <c r="G1563" i="14"/>
  <c r="G1108" i="14"/>
  <c r="G1609" i="14"/>
  <c r="G700" i="14"/>
  <c r="G1690" i="14"/>
  <c r="G277" i="14"/>
  <c r="G1091" i="14"/>
  <c r="G1312" i="14"/>
  <c r="G1884" i="14"/>
  <c r="G303" i="14"/>
  <c r="G560" i="14"/>
  <c r="G725" i="14"/>
  <c r="G872" i="14"/>
  <c r="G282" i="14"/>
  <c r="G350" i="14"/>
  <c r="G504" i="14"/>
  <c r="G1474" i="14"/>
  <c r="G529" i="14"/>
  <c r="G919" i="14"/>
  <c r="G688" i="14"/>
  <c r="G1402" i="14"/>
  <c r="G285" i="14"/>
  <c r="G914" i="14"/>
  <c r="G787" i="14"/>
  <c r="G1144" i="14"/>
  <c r="G1952" i="14"/>
  <c r="G1556" i="14"/>
  <c r="G1740" i="14"/>
  <c r="G1735" i="14"/>
  <c r="G229" i="14"/>
  <c r="G501" i="14"/>
  <c r="G851" i="14"/>
  <c r="G1578" i="14"/>
  <c r="G1858" i="14"/>
  <c r="G196" i="14"/>
  <c r="G590" i="14"/>
  <c r="G456" i="14"/>
  <c r="G883" i="14"/>
  <c r="G1290" i="14"/>
  <c r="G1450" i="14"/>
  <c r="G1626" i="14"/>
  <c r="G717" i="14"/>
  <c r="G1022" i="14"/>
  <c r="G746" i="14"/>
  <c r="G786" i="14"/>
  <c r="G1011" i="14"/>
  <c r="G638" i="14"/>
  <c r="G1315" i="14"/>
  <c r="G1284" i="14"/>
  <c r="G1842" i="14"/>
  <c r="G379" i="14"/>
  <c r="G404" i="14"/>
  <c r="G217" i="14"/>
  <c r="G1259" i="14"/>
  <c r="G1838" i="14"/>
  <c r="G8" i="14"/>
  <c r="G998" i="14"/>
  <c r="G864" i="14"/>
  <c r="G1708" i="14"/>
  <c r="G1654" i="14"/>
  <c r="G1391" i="14"/>
  <c r="G689" i="14"/>
  <c r="G1212" i="14"/>
  <c r="G1868" i="14"/>
  <c r="G315" i="14"/>
  <c r="G478" i="14"/>
  <c r="G973" i="14"/>
  <c r="G620" i="14"/>
  <c r="G886" i="14"/>
  <c r="G1536" i="14"/>
  <c r="G1704" i="14"/>
  <c r="G1565" i="14"/>
  <c r="G191" i="14"/>
  <c r="G250" i="14"/>
  <c r="G1240" i="14"/>
  <c r="G853" i="14"/>
  <c r="G1481" i="14"/>
  <c r="G945" i="14"/>
  <c r="G1882" i="14"/>
  <c r="G113" i="14"/>
  <c r="G57" i="14"/>
  <c r="G1298" i="14"/>
  <c r="G1348" i="14"/>
  <c r="G698" i="14"/>
  <c r="G1055" i="14"/>
  <c r="G1393" i="14"/>
  <c r="G1354" i="14"/>
  <c r="G367" i="14"/>
  <c r="G1071" i="14"/>
  <c r="G696" i="14"/>
  <c r="G992" i="14"/>
  <c r="G1295" i="14"/>
  <c r="G1020" i="14"/>
  <c r="G1406" i="14"/>
  <c r="G220" i="14"/>
  <c r="G913" i="14"/>
  <c r="G854" i="14"/>
  <c r="G1473" i="14"/>
  <c r="G1601" i="14"/>
  <c r="G1081" i="14"/>
  <c r="G1063" i="14"/>
  <c r="G505" i="14"/>
  <c r="G1766" i="14"/>
  <c r="G159" i="14"/>
  <c r="G654" i="14"/>
  <c r="G1482" i="14"/>
  <c r="G1222" i="14"/>
  <c r="G1985" i="14"/>
  <c r="G1210" i="14"/>
  <c r="G1172" i="14"/>
  <c r="G1412" i="14"/>
  <c r="G1532" i="14"/>
  <c r="G1557" i="14"/>
  <c r="G1793" i="14"/>
  <c r="G364" i="14"/>
  <c r="G1000" i="14"/>
  <c r="G625" i="14"/>
  <c r="G680" i="14"/>
  <c r="G783" i="14"/>
  <c r="G912" i="14"/>
  <c r="G1025" i="14"/>
  <c r="G937" i="14"/>
  <c r="G1061" i="14"/>
  <c r="G1850" i="14"/>
  <c r="G1959" i="14"/>
  <c r="G483" i="14"/>
  <c r="G1508" i="14"/>
  <c r="G1693" i="14"/>
  <c r="G1519" i="14"/>
  <c r="G1638" i="14"/>
  <c r="G1966" i="14"/>
  <c r="G887" i="14"/>
  <c r="G1385" i="14"/>
  <c r="G1524" i="14"/>
  <c r="G337" i="14"/>
  <c r="G1111" i="14"/>
  <c r="G1185" i="14"/>
  <c r="G1342" i="14"/>
  <c r="G747" i="14"/>
  <c r="G1067" i="14"/>
  <c r="G1232" i="14"/>
  <c r="G1594" i="14"/>
  <c r="G619" i="14"/>
  <c r="G957" i="14"/>
  <c r="G1138" i="14"/>
  <c r="G1323" i="14"/>
  <c r="G1326" i="14"/>
  <c r="G1888" i="14"/>
  <c r="G606" i="14"/>
  <c r="G861" i="14"/>
  <c r="G1249" i="14"/>
  <c r="G12" i="14"/>
  <c r="G1840" i="14"/>
  <c r="G1613" i="14"/>
  <c r="G1927" i="14"/>
  <c r="G294" i="14"/>
  <c r="G1361" i="14"/>
  <c r="G1451" i="14"/>
  <c r="G1997" i="14"/>
  <c r="G171" i="14"/>
  <c r="G587" i="14"/>
  <c r="G493" i="14"/>
  <c r="G944" i="14"/>
  <c r="G1599" i="14"/>
  <c r="G1646" i="14"/>
  <c r="G917" i="14"/>
  <c r="G719" i="14"/>
  <c r="G808" i="14"/>
  <c r="G1990" i="14"/>
  <c r="G1078" i="14"/>
  <c r="G1329" i="14"/>
  <c r="G473" i="14"/>
  <c r="G1239" i="14"/>
  <c r="G512" i="14"/>
  <c r="G821" i="14"/>
  <c r="G537" i="14"/>
  <c r="G1247" i="14"/>
  <c r="G1404" i="14"/>
  <c r="G293" i="14"/>
  <c r="G952" i="14"/>
  <c r="G1008" i="14"/>
  <c r="G1170" i="14"/>
  <c r="G1713" i="14"/>
  <c r="G164" i="14"/>
  <c r="G134" i="14"/>
  <c r="G567" i="14"/>
  <c r="G1607" i="14"/>
  <c r="G30" i="14"/>
  <c r="G534" i="14"/>
  <c r="G655" i="14"/>
  <c r="G1558" i="14"/>
  <c r="G1803" i="14"/>
  <c r="G310" i="14"/>
  <c r="G352" i="14"/>
  <c r="G802" i="14"/>
  <c r="G963" i="14"/>
  <c r="G1624" i="14"/>
  <c r="G1987" i="14"/>
  <c r="G444" i="14"/>
  <c r="G413" i="14"/>
  <c r="G740" i="14"/>
  <c r="G1568" i="14"/>
  <c r="G1571" i="14"/>
  <c r="G1852" i="14"/>
  <c r="G983" i="14"/>
  <c r="G1814" i="14"/>
  <c r="G583" i="14"/>
  <c r="G792" i="14"/>
  <c r="G955" i="14"/>
  <c r="G1122" i="14"/>
  <c r="G1206" i="14"/>
  <c r="G1865" i="14"/>
  <c r="G868" i="14"/>
  <c r="G1561" i="14"/>
  <c r="G780" i="14"/>
  <c r="G1421" i="14"/>
  <c r="G1673" i="14"/>
  <c r="G1857" i="14"/>
  <c r="G1583" i="14"/>
  <c r="G466" i="14"/>
  <c r="G1896" i="14"/>
  <c r="G366" i="14"/>
  <c r="G487" i="14"/>
  <c r="G320" i="14"/>
  <c r="G845" i="14"/>
  <c r="G1016" i="14"/>
  <c r="G516" i="14"/>
  <c r="G810" i="14"/>
  <c r="G965" i="14"/>
  <c r="G1093" i="14"/>
  <c r="G530" i="14"/>
  <c r="G687" i="14"/>
  <c r="G1634" i="14"/>
  <c r="G1648" i="14"/>
  <c r="G1830" i="14"/>
  <c r="G1641" i="14"/>
  <c r="G1706" i="14"/>
  <c r="G246" i="14"/>
  <c r="G1110" i="14"/>
  <c r="G1486" i="14"/>
  <c r="G43" i="14"/>
  <c r="G298" i="14"/>
  <c r="G1517" i="14"/>
  <c r="G195" i="14"/>
  <c r="G126" i="14"/>
  <c r="G1175" i="14"/>
  <c r="G1396" i="14"/>
  <c r="G1809" i="14"/>
  <c r="G1501" i="14"/>
  <c r="G997" i="14"/>
  <c r="G1577" i="14"/>
  <c r="G1355" i="14"/>
  <c r="G1366" i="14"/>
  <c r="G1656" i="14"/>
  <c r="G291" i="14"/>
  <c r="G1427" i="14"/>
  <c r="G538" i="14"/>
  <c r="G762" i="14"/>
  <c r="G536" i="14"/>
  <c r="G742" i="14"/>
  <c r="G865" i="14"/>
  <c r="G1603" i="14"/>
  <c r="G28" i="14"/>
  <c r="G276" i="14"/>
  <c r="G832" i="14"/>
  <c r="G1889" i="14"/>
  <c r="G1795" i="14"/>
  <c r="G1679" i="14"/>
  <c r="G120" i="14"/>
  <c r="G695" i="14"/>
  <c r="G1955" i="14"/>
  <c r="G885" i="14"/>
  <c r="G1164" i="14"/>
  <c r="G1518" i="14"/>
  <c r="G901" i="14"/>
  <c r="G1403" i="14"/>
  <c r="G1725" i="14"/>
  <c r="G151" i="14"/>
  <c r="G874" i="14"/>
  <c r="G938" i="14"/>
  <c r="G1785" i="14"/>
  <c r="G1511" i="14"/>
  <c r="G29" i="14"/>
  <c r="G80" i="14"/>
  <c r="G556" i="14"/>
  <c r="G690" i="14"/>
  <c r="G524" i="14"/>
  <c r="G98" i="14"/>
  <c r="G3" i="14"/>
  <c r="G236" i="14"/>
  <c r="G53" i="14"/>
  <c r="G494" i="14"/>
  <c r="G782" i="14"/>
  <c r="G52" i="14"/>
  <c r="G1718" i="14"/>
  <c r="G1715" i="14"/>
  <c r="G124" i="14"/>
  <c r="G489" i="14"/>
  <c r="G894" i="14"/>
  <c r="G1527" i="14"/>
  <c r="G1969" i="14"/>
  <c r="G1804" i="14"/>
  <c r="G323" i="14"/>
  <c r="G87" i="14"/>
  <c r="G239" i="14"/>
  <c r="G1245" i="14"/>
  <c r="G112" i="14"/>
  <c r="G9" i="14"/>
  <c r="G617" i="14"/>
  <c r="G857" i="14"/>
  <c r="G1737" i="14"/>
  <c r="G1844" i="14"/>
  <c r="G454" i="14"/>
  <c r="G686" i="14"/>
  <c r="G1118" i="14"/>
  <c r="G656" i="14"/>
  <c r="G634" i="14"/>
  <c r="G653" i="14"/>
  <c r="G1893" i="14"/>
  <c r="G1909" i="14"/>
  <c r="G1943" i="14"/>
  <c r="G651" i="14"/>
  <c r="G794" i="14"/>
  <c r="G764" i="14"/>
  <c r="G1925" i="14"/>
  <c r="G1477" i="14"/>
  <c r="G1951" i="14"/>
  <c r="G274" i="14"/>
  <c r="G1327" i="14"/>
  <c r="G1065" i="14"/>
  <c r="G1991" i="14"/>
  <c r="G99" i="14"/>
  <c r="G314" i="14"/>
  <c r="G971" i="14"/>
  <c r="G309" i="14"/>
  <c r="G400" i="14"/>
  <c r="G843" i="14"/>
  <c r="G1223" i="14"/>
  <c r="G694" i="14"/>
  <c r="G910" i="14"/>
  <c r="G679" i="14"/>
  <c r="G1184" i="14"/>
  <c r="G1566" i="14"/>
  <c r="G436" i="14"/>
  <c r="G214" i="14"/>
  <c r="G335" i="14"/>
  <c r="G639" i="14"/>
  <c r="G726" i="14"/>
  <c r="G731" i="14"/>
  <c r="G1154" i="14"/>
  <c r="G793" i="14"/>
  <c r="G427" i="14"/>
  <c r="G520" i="14"/>
  <c r="G709" i="14"/>
  <c r="G1143" i="14"/>
  <c r="G785" i="14"/>
  <c r="G1461" i="14"/>
  <c r="G153" i="14"/>
  <c r="G1075" i="14"/>
  <c r="G977" i="14"/>
  <c r="G1974" i="14"/>
  <c r="G76" i="14"/>
  <c r="G140" i="14"/>
  <c r="G986" i="14"/>
  <c r="G763" i="14"/>
  <c r="G1255" i="14"/>
  <c r="G969" i="14"/>
  <c r="G664" i="14"/>
  <c r="G720" i="14"/>
  <c r="G1127" i="14"/>
  <c r="G1288" i="14"/>
  <c r="G1100" i="14"/>
  <c r="G1147" i="14"/>
  <c r="G1644" i="14"/>
  <c r="G975" i="14"/>
  <c r="G1256" i="14"/>
  <c r="G921" i="14"/>
  <c r="G1691" i="14"/>
  <c r="G1878" i="14"/>
  <c r="G1716" i="14"/>
  <c r="G1054" i="14"/>
  <c r="G1199" i="14"/>
  <c r="G1216" i="14"/>
  <c r="G1494" i="14"/>
  <c r="G1839" i="14"/>
  <c r="G299" i="14"/>
  <c r="G1660" i="14"/>
  <c r="G1975" i="14"/>
  <c r="G461" i="14"/>
  <c r="G374" i="14"/>
  <c r="G15" i="14"/>
  <c r="G701" i="14"/>
  <c r="G580" i="14"/>
  <c r="G691" i="14"/>
  <c r="G1060" i="14"/>
  <c r="G1616" i="14"/>
  <c r="G243" i="14"/>
  <c r="G307" i="14"/>
  <c r="G241" i="14"/>
  <c r="G58" i="14"/>
  <c r="G777" i="14"/>
  <c r="G1420" i="14"/>
  <c r="G136" i="14"/>
  <c r="G304" i="14"/>
  <c r="G818" i="14"/>
  <c r="G1193" i="14"/>
  <c r="G1685" i="14"/>
  <c r="G1813" i="14"/>
  <c r="G1853" i="14"/>
  <c r="G180" i="14"/>
  <c r="G14" i="14"/>
  <c r="G254" i="14"/>
  <c r="G101" i="14"/>
  <c r="G368" i="14"/>
  <c r="G1129" i="14"/>
  <c r="G479" i="14"/>
  <c r="G837" i="14"/>
  <c r="G959" i="14"/>
  <c r="G842" i="14"/>
  <c r="G1207" i="14"/>
  <c r="G1531" i="14"/>
  <c r="G1173" i="14"/>
  <c r="G1309" i="14"/>
  <c r="G33" i="14"/>
  <c r="G1984" i="14"/>
  <c r="G1439" i="14"/>
  <c r="G1350" i="14"/>
  <c r="G1526" i="14"/>
  <c r="G751" i="14"/>
  <c r="G1980" i="14"/>
  <c r="G311" i="14"/>
  <c r="G248" i="14"/>
  <c r="G1233" i="14"/>
  <c r="G667" i="14"/>
  <c r="G711" i="14"/>
  <c r="G60" i="14"/>
  <c r="G847" i="14"/>
  <c r="G1818" i="14"/>
  <c r="G979" i="14"/>
  <c r="G1824" i="14"/>
  <c r="G1445" i="14"/>
  <c r="G1033" i="14"/>
  <c r="G1286" i="14"/>
  <c r="G1692" i="14"/>
  <c r="G123" i="14"/>
  <c r="G78" i="14"/>
  <c r="G278" i="14"/>
  <c r="G663" i="14"/>
  <c r="G657" i="14"/>
  <c r="G1964" i="14"/>
  <c r="G252" i="14"/>
  <c r="G608" i="14"/>
  <c r="G738" i="14"/>
  <c r="G739" i="14"/>
  <c r="G1587" i="14"/>
  <c r="G1149" i="14"/>
  <c r="G395" i="14"/>
  <c r="G727" i="14"/>
  <c r="G228" i="14"/>
  <c r="G1316" i="14"/>
  <c r="G1956" i="14"/>
  <c r="G1595" i="14"/>
  <c r="G850" i="14"/>
  <c r="G1507" i="14"/>
  <c r="G1967" i="14"/>
  <c r="G46" i="14"/>
  <c r="G25" i="14"/>
  <c r="G439" i="14"/>
  <c r="G941" i="14"/>
  <c r="G522" i="14"/>
  <c r="G1231" i="14"/>
  <c r="G1197" i="14"/>
  <c r="G645" i="14"/>
  <c r="G1331" i="14"/>
  <c r="G1089" i="14"/>
  <c r="G356" i="14"/>
  <c r="G790" i="14"/>
  <c r="G799" i="14"/>
  <c r="G915" i="14"/>
  <c r="G1931" i="14"/>
  <c r="G125" i="14"/>
  <c r="G1136" i="14"/>
  <c r="G1515" i="14"/>
  <c r="G1189" i="14"/>
  <c r="G184" i="14"/>
  <c r="G1560" i="14"/>
  <c r="G1209" i="14"/>
  <c r="G1562" i="14"/>
  <c r="G1196" i="14"/>
  <c r="G347" i="14"/>
  <c r="G71" i="14"/>
  <c r="G826" i="14"/>
  <c r="G705" i="14"/>
  <c r="G1698" i="14"/>
  <c r="G440" i="14"/>
  <c r="G1480" i="14"/>
  <c r="G1483" i="14"/>
  <c r="G1220" i="14"/>
  <c r="G1424" i="14"/>
  <c r="G1305" i="14"/>
  <c r="G1902" i="14"/>
  <c r="G2" i="14"/>
  <c r="G157" i="14"/>
  <c r="G760" i="14"/>
  <c r="G506" i="14"/>
  <c r="G1620" i="14"/>
  <c r="G317" i="14"/>
  <c r="G926" i="14"/>
  <c r="G1510" i="14"/>
  <c r="G527" i="14"/>
  <c r="G218" i="14"/>
  <c r="G1131" i="14"/>
  <c r="G1359" i="14"/>
  <c r="G1367" i="14"/>
  <c r="G984" i="14"/>
  <c r="G1279" i="14"/>
  <c r="G1168" i="14"/>
  <c r="G1612" i="14"/>
  <c r="G953" i="14"/>
  <c r="G1759" i="14"/>
  <c r="G234" i="14"/>
  <c r="G844" i="14"/>
  <c r="G1724" i="14"/>
  <c r="G1812" i="14"/>
  <c r="G1663" i="14"/>
  <c r="G48" i="14"/>
  <c r="G448" i="14"/>
  <c r="G435" i="14"/>
  <c r="G633" i="14"/>
  <c r="G402" i="14"/>
  <c r="G1224" i="14"/>
  <c r="G1448" i="14"/>
  <c r="G1435" i="14"/>
  <c r="G1768" i="14"/>
  <c r="G215" i="14"/>
  <c r="G128" i="14"/>
  <c r="G791" i="14"/>
  <c r="G1588" i="14"/>
  <c r="G599" i="14"/>
  <c r="G40" i="14"/>
  <c r="G50" i="14"/>
  <c r="G1860" i="14"/>
  <c r="G1855" i="14"/>
  <c r="G1871" i="14"/>
  <c r="G1983" i="14"/>
  <c r="G813" i="14"/>
  <c r="G1914" i="14"/>
  <c r="G1567" i="14"/>
  <c r="G1879" i="14"/>
  <c r="G93" i="14"/>
  <c r="G406" i="14"/>
  <c r="G414" i="14"/>
  <c r="G1082" i="14"/>
  <c r="G1836" i="14"/>
  <c r="G325" i="14"/>
  <c r="G95" i="14"/>
  <c r="G56" i="14"/>
  <c r="G1125" i="14"/>
  <c r="G1798" i="14"/>
  <c r="G319" i="14"/>
  <c r="G774" i="14"/>
  <c r="G1672" i="14"/>
  <c r="G909" i="14"/>
  <c r="G1104" i="14"/>
  <c r="G1826" i="14"/>
  <c r="G35" i="14"/>
  <c r="G550" i="14"/>
  <c r="G626" i="14"/>
  <c r="G1218" i="14"/>
  <c r="G411" i="14"/>
  <c r="G237" i="14"/>
  <c r="G160" i="14"/>
  <c r="G1006" i="14"/>
  <c r="G1241" i="14"/>
  <c r="G1187" i="14"/>
  <c r="G377" i="14"/>
  <c r="G1584" i="14"/>
  <c r="G1214" i="14"/>
  <c r="G525" i="14"/>
  <c r="G1381" i="14"/>
  <c r="G640" i="14"/>
  <c r="G553" i="14"/>
  <c r="G675" i="14"/>
  <c r="G1615" i="14"/>
  <c r="G51" i="14"/>
  <c r="G442" i="14"/>
  <c r="G1377" i="14"/>
  <c r="G1258" i="14"/>
  <c r="G1550" i="14"/>
  <c r="G1628" i="14"/>
  <c r="G179" i="14"/>
  <c r="G1141" i="14"/>
  <c r="G1285" i="14"/>
  <c r="G284" i="14"/>
  <c r="G292" i="14"/>
  <c r="G1928" i="14"/>
  <c r="G1954" i="14"/>
  <c r="G1917" i="14"/>
  <c r="G147" i="14"/>
  <c r="G1335" i="14"/>
  <c r="G1375" i="14"/>
  <c r="G1552" i="14"/>
  <c r="G1041" i="14"/>
  <c r="G1580" i="14"/>
  <c r="G1930" i="14"/>
  <c r="G389" i="14"/>
  <c r="G485" i="14"/>
  <c r="G1319" i="14"/>
  <c r="G1153" i="14"/>
  <c r="G1945" i="14"/>
  <c r="G1730" i="14"/>
  <c r="G283" i="14"/>
  <c r="G515" i="14"/>
  <c r="G462" i="14"/>
  <c r="G765" i="14"/>
  <c r="G890" i="14"/>
  <c r="G674" i="14"/>
  <c r="G891" i="14"/>
  <c r="G162" i="14"/>
  <c r="G1650" i="14"/>
  <c r="G767" i="14"/>
  <c r="G855" i="14"/>
  <c r="G946" i="14"/>
  <c r="G1114" i="14"/>
  <c r="G1050" i="14"/>
  <c r="G1848" i="14"/>
  <c r="G1976" i="14"/>
  <c r="G1711" i="14"/>
  <c r="G74" i="14"/>
  <c r="G170" i="14"/>
  <c r="G166" i="14"/>
  <c r="G1806" i="14"/>
  <c r="G116" i="14"/>
  <c r="G1313" i="14"/>
  <c r="G1419" i="14"/>
  <c r="G1762" i="14"/>
  <c r="G1875" i="14"/>
  <c r="G1509" i="14"/>
  <c r="G378" i="14"/>
  <c r="G835" i="14"/>
  <c r="G924" i="14"/>
  <c r="G889" i="14"/>
  <c r="G1608" i="14"/>
  <c r="G806" i="14"/>
  <c r="G1244" i="14"/>
  <c r="G1310" i="14"/>
  <c r="G1992" i="14"/>
  <c r="G1835" i="14"/>
  <c r="G1701" i="14"/>
  <c r="G468" i="14"/>
  <c r="G384" i="14"/>
  <c r="G508" i="14"/>
  <c r="G1394" i="14"/>
  <c r="G1134" i="14"/>
  <c r="G1790" i="14"/>
  <c r="G1333" i="14"/>
  <c r="G514" i="14"/>
  <c r="G1343" i="14"/>
  <c r="G729" i="14"/>
  <c r="G1709" i="14"/>
  <c r="G331" i="14"/>
  <c r="G178" i="14"/>
  <c r="G776" i="14"/>
  <c r="G706" i="14"/>
  <c r="G1163" i="14"/>
  <c r="G264" i="14"/>
  <c r="G1287" i="14"/>
  <c r="G1449" i="14"/>
  <c r="G1670" i="14"/>
  <c r="G109" i="14"/>
  <c r="G834" i="14"/>
  <c r="G158" i="14"/>
  <c r="G138" i="14"/>
  <c r="G934" i="14"/>
  <c r="G321" i="14"/>
  <c r="G683" i="14"/>
  <c r="G1502" i="14"/>
  <c r="G1614" i="14"/>
  <c r="G495" i="14"/>
  <c r="G544" i="14"/>
  <c r="G561" i="14"/>
  <c r="G247" i="14"/>
  <c r="G416" i="14"/>
  <c r="G1408" i="14"/>
  <c r="G1325" i="14"/>
  <c r="G1749" i="14"/>
  <c r="G1765" i="14"/>
  <c r="G141" i="14"/>
  <c r="G1299" i="14"/>
  <c r="G1653" i="14"/>
  <c r="G148" i="14"/>
  <c r="G665" i="14"/>
  <c r="G860" i="14"/>
  <c r="G1643" i="14"/>
  <c r="G1694" i="14"/>
  <c r="G1349" i="14"/>
  <c r="G555" i="14"/>
  <c r="G405" i="14"/>
  <c r="G713" i="14"/>
  <c r="G1399" i="14"/>
  <c r="G873" i="14"/>
  <c r="G1689" i="14"/>
  <c r="G1962" i="14"/>
  <c r="G1221" i="14"/>
  <c r="G1687" i="14"/>
  <c r="G592" i="14"/>
  <c r="G1251" i="14"/>
  <c r="G222" i="14"/>
  <c r="G1281" i="14"/>
  <c r="G1854" i="14"/>
  <c r="G1699" i="14"/>
  <c r="G1863" i="14"/>
  <c r="G430" i="14"/>
  <c r="G463" i="14"/>
  <c r="G841" i="14"/>
  <c r="G1378" i="14"/>
  <c r="G1953" i="14"/>
  <c r="G1819" i="14"/>
  <c r="G1910" i="14"/>
  <c r="G117" i="14"/>
  <c r="G1498" i="14"/>
  <c r="G1763" i="14"/>
  <c r="G1924" i="14"/>
  <c r="G54" i="14"/>
  <c r="G55" i="14"/>
  <c r="G492" i="14"/>
  <c r="G1489" i="14"/>
  <c r="G1642" i="14"/>
  <c r="G1631" i="14"/>
  <c r="G1828" i="14"/>
  <c r="G584" i="14"/>
  <c r="G1195" i="14"/>
  <c r="G1267" i="14"/>
  <c r="G658" i="14"/>
  <c r="G622" i="14"/>
  <c r="G612" i="14"/>
  <c r="G1495" i="14"/>
  <c r="G1680" i="14"/>
  <c r="G1636" i="14"/>
  <c r="G225" i="14"/>
  <c r="G1215" i="14"/>
  <c r="G450" i="14"/>
  <c r="G1933" i="14"/>
  <c r="G559" i="14"/>
  <c r="G1362" i="14"/>
  <c r="G825" i="14"/>
  <c r="G1365" i="14"/>
  <c r="G1157" i="14"/>
  <c r="G616" i="14"/>
  <c r="G1263" i="14"/>
  <c r="G796" i="14"/>
  <c r="G1358" i="14"/>
  <c r="G1757" i="14"/>
  <c r="G460" i="14"/>
  <c r="G426" i="14"/>
  <c r="G1043" i="14"/>
  <c r="G1881" i="14"/>
  <c r="G1773" i="14"/>
  <c r="G1815" i="14"/>
  <c r="G1431" i="14"/>
  <c r="G1336" i="14"/>
  <c r="G1273" i="14"/>
  <c r="G1308" i="14"/>
  <c r="G1392" i="14"/>
  <c r="G1266" i="14"/>
  <c r="G1572" i="14"/>
  <c r="G1944" i="14"/>
  <c r="G336" i="14"/>
  <c r="G424" i="14"/>
  <c r="G1950" i="14"/>
  <c r="G308" i="14"/>
  <c r="G348" i="14"/>
  <c r="G388" i="14"/>
  <c r="G38" i="14"/>
  <c r="G7" i="14"/>
  <c r="G391" i="14"/>
  <c r="G18" i="14"/>
  <c r="G1723" i="14"/>
  <c r="G1389" i="14"/>
  <c r="G1948" i="14"/>
  <c r="G221" i="14"/>
  <c r="G469" i="14"/>
  <c r="G72" i="14"/>
  <c r="G902" i="14"/>
  <c r="G1090" i="14"/>
  <c r="G1466" i="14"/>
  <c r="G349" i="14"/>
  <c r="G598" i="14"/>
  <c r="G630" i="14"/>
  <c r="G754" i="14"/>
  <c r="G386" i="14"/>
  <c r="G363" i="14"/>
  <c r="G577" i="14"/>
  <c r="G586" i="14"/>
  <c r="G34" i="14"/>
  <c r="G1103" i="14"/>
  <c r="G1046" i="14"/>
  <c r="G1916" i="14"/>
  <c r="G644" i="14"/>
  <c r="G1886" i="14"/>
  <c r="G4" i="14"/>
  <c r="G1053" i="14"/>
  <c r="G1640" i="14"/>
  <c r="G1755" i="14"/>
  <c r="G419" i="14"/>
  <c r="G685" i="14"/>
  <c r="G595" i="14"/>
  <c r="G730" i="14"/>
  <c r="G1097" i="14"/>
  <c r="G980" i="14"/>
  <c r="G999" i="14"/>
  <c r="G1602" i="14"/>
  <c r="G1781" i="14"/>
  <c r="G181" i="14"/>
  <c r="G1052" i="14"/>
  <c r="G1849" i="14"/>
  <c r="G1684" i="14"/>
  <c r="G11" i="14"/>
  <c r="G1444" i="14"/>
  <c r="G523" i="14"/>
  <c r="G839" i="14"/>
  <c r="G1268" i="14"/>
  <c r="G1407" i="14"/>
  <c r="G1369" i="14"/>
  <c r="G1211" i="14"/>
  <c r="G1728" i="14"/>
  <c r="G1832" i="14"/>
  <c r="G1579" i="14"/>
  <c r="G275" i="14"/>
  <c r="G949" i="14"/>
  <c r="G1665" i="14"/>
  <c r="G1810" i="14"/>
  <c r="G458" i="14"/>
  <c r="G1542" i="14"/>
  <c r="G1919" i="14"/>
  <c r="G1822" i="14"/>
  <c r="G451" i="14"/>
  <c r="G269" i="14"/>
  <c r="G351" i="14"/>
  <c r="G943" i="14"/>
  <c r="G1829" i="14"/>
  <c r="G789" i="14"/>
  <c r="G677" i="14"/>
  <c r="G771" i="14"/>
  <c r="G849" i="14"/>
  <c r="G44" i="14"/>
  <c r="G273" i="14"/>
  <c r="G1058" i="14"/>
  <c r="G1467" i="14"/>
  <c r="G69" i="14"/>
  <c r="G528" i="14"/>
  <c r="G600" i="14"/>
  <c r="G1034" i="14"/>
  <c r="G1380" i="14"/>
  <c r="G2000" i="14"/>
  <c r="G1533" i="14"/>
  <c r="G1625" i="14"/>
  <c r="G5" i="14"/>
  <c r="G958" i="14"/>
  <c r="G1961" i="14"/>
  <c r="G1789" i="14"/>
  <c r="G345" i="14"/>
  <c r="G346" i="14"/>
  <c r="G1115" i="14"/>
  <c r="G1113" i="14"/>
  <c r="G1137" i="14"/>
  <c r="G828" i="14"/>
  <c r="G1688" i="14"/>
  <c r="G1841" i="14"/>
  <c r="G718" i="14"/>
  <c r="G848" i="14"/>
  <c r="G904" i="14"/>
  <c r="G614" i="14"/>
  <c r="G1337" i="14"/>
  <c r="G107" i="14"/>
  <c r="G343" i="14"/>
  <c r="G296" i="14"/>
  <c r="G668" i="14"/>
  <c r="G962" i="14"/>
  <c r="G1591" i="14"/>
  <c r="G797" i="14"/>
  <c r="G1109" i="14"/>
  <c r="G253" i="14"/>
  <c r="G1152" i="14"/>
  <c r="G744" i="14"/>
  <c r="G1535" i="14"/>
  <c r="G16" i="14"/>
  <c r="G265" i="14"/>
  <c r="G409" i="14"/>
  <c r="G1585" i="14"/>
  <c r="G263" i="14"/>
  <c r="G1453" i="14"/>
  <c r="G805" i="14"/>
  <c r="G892" i="14"/>
  <c r="G1901" i="14"/>
  <c r="G31" i="14"/>
  <c r="G773" i="14"/>
  <c r="G1539" i="14"/>
  <c r="G188" i="14"/>
  <c r="G361" i="14"/>
  <c r="G1416" i="14"/>
  <c r="G905" i="14"/>
  <c r="G1257" i="14"/>
  <c r="G1780" i="14"/>
  <c r="G262" i="14"/>
  <c r="G526" i="14"/>
  <c r="G918" i="14"/>
  <c r="G1003" i="14"/>
  <c r="G1253" i="14"/>
  <c r="G1469" i="14"/>
  <c r="G223" i="14"/>
  <c r="G488" i="14"/>
  <c r="G572" i="14"/>
  <c r="G778" i="14"/>
  <c r="G1799" i="14"/>
  <c r="G383" i="14"/>
  <c r="G923" i="14"/>
  <c r="G471" i="14"/>
  <c r="G1339" i="14"/>
  <c r="G1437" i="14"/>
  <c r="G1731" i="14"/>
  <c r="G1851" i="14"/>
  <c r="G1703" i="14"/>
  <c r="G613" i="14"/>
  <c r="G118" i="14"/>
  <c r="G376" i="14"/>
  <c r="G369" i="14"/>
  <c r="G1981" i="14"/>
  <c r="G182" i="14"/>
  <c r="G169" i="14"/>
  <c r="G266" i="14"/>
  <c r="G1073" i="14"/>
  <c r="G1544" i="14"/>
  <c r="G817" i="14"/>
  <c r="G1105" i="14"/>
  <c r="G722" i="14"/>
  <c r="G1304" i="14"/>
  <c r="G1475" i="14"/>
  <c r="G1388" i="14"/>
  <c r="G1493" i="14"/>
  <c r="G991" i="14"/>
  <c r="G1076" i="14"/>
  <c r="G1344" i="14"/>
  <c r="G1387" i="14"/>
  <c r="G1012" i="14"/>
  <c r="G1405" i="14"/>
  <c r="G1674" i="14"/>
  <c r="G1317" i="14"/>
  <c r="G581" i="14"/>
  <c r="G150" i="14"/>
  <c r="G90" i="14"/>
  <c r="G1892" i="14"/>
  <c r="G1807" i="14"/>
  <c r="G154" i="14"/>
  <c r="G604" i="14"/>
  <c r="G1538" i="14"/>
  <c r="G1130" i="14"/>
  <c r="G1770" i="14"/>
  <c r="G165" i="14"/>
  <c r="G330" i="14"/>
  <c r="G784" i="14"/>
  <c r="G682" i="14"/>
  <c r="G1908" i="14"/>
  <c r="G357" i="14"/>
  <c r="G533" i="14"/>
  <c r="G432" i="14"/>
  <c r="G827" i="14"/>
  <c r="G1554" i="14"/>
  <c r="G1398" i="14"/>
  <c r="G206" i="14"/>
  <c r="G1088" i="14"/>
  <c r="G1275" i="14"/>
  <c r="G1543" i="14"/>
  <c r="G1037" i="14"/>
  <c r="G1553" i="14"/>
  <c r="G1999" i="14"/>
  <c r="G144" i="14"/>
  <c r="G1932" i="14"/>
  <c r="G204" i="14"/>
  <c r="G240" i="14"/>
  <c r="G982" i="14"/>
  <c r="G920" i="14"/>
  <c r="G474" i="14"/>
  <c r="G1382" i="14"/>
  <c r="G1682" i="14"/>
  <c r="G1934" i="14"/>
  <c r="G1460" i="14"/>
  <c r="G1891" i="14"/>
  <c r="G761" i="14"/>
  <c r="G1870" i="14"/>
  <c r="G631" i="14"/>
  <c r="G798" i="14"/>
  <c r="G898" i="14"/>
  <c r="G1324" i="14"/>
  <c r="G258" i="14"/>
  <c r="G1978" i="14"/>
  <c r="G1707" i="14"/>
  <c r="G1900" i="14"/>
  <c r="G1821" i="14"/>
  <c r="G187" i="14"/>
  <c r="G365" i="14"/>
  <c r="G521" i="14"/>
  <c r="G970" i="14"/>
  <c r="G1452" i="14"/>
  <c r="G302" i="14"/>
  <c r="G967" i="14"/>
  <c r="G1068" i="14"/>
  <c r="G1744" i="14"/>
  <c r="G119" i="14"/>
  <c r="G1937" i="14"/>
  <c r="G1874" i="14"/>
  <c r="G1678" i="14"/>
  <c r="G475" i="14"/>
  <c r="G245" i="14"/>
  <c r="G1386" i="14"/>
  <c r="G422" i="14"/>
  <c r="G207" i="14"/>
  <c r="G24" i="14"/>
  <c r="G122" i="14"/>
  <c r="G1478" i="14"/>
  <c r="G566" i="14"/>
  <c r="G1098" i="14"/>
  <c r="G1476" i="14"/>
  <c r="G1880" i="14"/>
  <c r="G1754" i="14"/>
  <c r="G1787" i="14"/>
  <c r="G1261" i="14"/>
  <c r="G279" i="14"/>
  <c r="G933" i="14"/>
  <c r="G882" i="14"/>
  <c r="G1274" i="14"/>
  <c r="G1906" i="14"/>
  <c r="G928" i="14"/>
  <c r="G922" i="14"/>
  <c r="G1370" i="14"/>
  <c r="G139" i="14"/>
  <c r="G545" i="14"/>
  <c r="G1463" i="14"/>
  <c r="G1440" i="14"/>
  <c r="G1996" i="14"/>
  <c r="G1733" i="14"/>
  <c r="G509" i="14"/>
  <c r="G541" i="14"/>
  <c r="G231" i="14"/>
  <c r="G752" i="14"/>
  <c r="G1084" i="14"/>
  <c r="G502" i="14"/>
  <c r="G1250" i="14"/>
  <c r="G1522" i="14"/>
  <c r="G852" i="14"/>
  <c r="G1775" i="14"/>
  <c r="G212" i="14"/>
  <c r="G1433" i="14"/>
  <c r="G1791" i="14"/>
  <c r="G39" i="14"/>
  <c r="G63" i="14"/>
  <c r="G896" i="14"/>
  <c r="G1155" i="14"/>
  <c r="G1739" i="14"/>
  <c r="G597" i="14"/>
  <c r="G1094" i="14"/>
  <c r="G1447" i="14"/>
  <c r="G1555" i="14"/>
  <c r="G978" i="14"/>
  <c r="G1712" i="14"/>
  <c r="G131" i="14"/>
  <c r="G373" i="14"/>
  <c r="G1340" i="14"/>
  <c r="G1677" i="14"/>
  <c r="G575" i="14"/>
  <c r="G137" i="14"/>
  <c r="G129" i="14"/>
  <c r="G1357" i="14"/>
  <c r="G200" i="14"/>
  <c r="G627" i="14"/>
  <c r="G1873" i="14"/>
  <c r="G1794" i="14"/>
  <c r="G1096" i="14"/>
  <c r="G193" i="14"/>
  <c r="G836" i="14"/>
  <c r="G1597" i="14"/>
  <c r="G1817" i="14"/>
  <c r="G1530" i="14"/>
  <c r="G1428" i="14"/>
  <c r="G1158" i="14"/>
  <c r="G1373" i="14"/>
  <c r="G519" i="14"/>
  <c r="G354" i="14"/>
  <c r="G224" i="14"/>
  <c r="G281" i="14"/>
  <c r="G1504" i="14"/>
  <c r="G775" i="14"/>
  <c r="G1582" i="14"/>
  <c r="G1229" i="14"/>
  <c r="G398" i="14"/>
  <c r="G652" i="14"/>
  <c r="G257" i="14"/>
  <c r="G1132" i="14"/>
  <c r="G1864" i="14"/>
  <c r="G1805" i="14"/>
  <c r="G1941" i="14"/>
  <c r="G110" i="14"/>
  <c r="G1102" i="14"/>
  <c r="G26" i="14"/>
  <c r="G671" i="14"/>
  <c r="G649" i="14"/>
  <c r="G723" i="14"/>
  <c r="G1180" i="14"/>
  <c r="G1500" i="14"/>
  <c r="G85" i="14"/>
  <c r="G175" i="14"/>
  <c r="G1015" i="14"/>
  <c r="G866" i="14"/>
  <c r="G1252" i="14"/>
  <c r="G1811" i="14"/>
  <c r="G1939" i="14"/>
  <c r="G22" i="14"/>
  <c r="G995" i="14"/>
  <c r="G1529" i="14"/>
  <c r="G1746" i="14"/>
  <c r="G1732" i="14"/>
  <c r="G990" i="14"/>
  <c r="G1306" i="14"/>
  <c r="G401" i="14"/>
  <c r="G1181" i="14"/>
  <c r="G1922" i="14"/>
  <c r="G156" i="14"/>
  <c r="G1019" i="14"/>
  <c r="G1581" i="14"/>
  <c r="G1913" i="14"/>
  <c r="G1998" i="14"/>
  <c r="G1938" i="14"/>
  <c r="G1700" i="14"/>
  <c r="G615" i="14"/>
  <c r="G1721" i="14"/>
  <c r="G518" i="14"/>
  <c r="G447" i="14"/>
  <c r="G669" i="14"/>
  <c r="G1010" i="14"/>
  <c r="G1363" i="14"/>
  <c r="G1047" i="14"/>
  <c r="G571" i="14"/>
  <c r="G201" i="14"/>
  <c r="G554" i="14"/>
  <c r="G1441" i="14"/>
  <c r="G1203" i="14"/>
  <c r="G724" i="14"/>
  <c r="G1820" i="14"/>
  <c r="G699" i="14"/>
  <c r="G881" i="14"/>
  <c r="G100" i="14"/>
  <c r="G642" i="14"/>
  <c r="G908" i="14"/>
  <c r="G1242" i="14"/>
  <c r="G1330" i="14"/>
  <c r="G1904" i="14"/>
  <c r="G662" i="14"/>
  <c r="G1771" i="14"/>
  <c r="G1926" i="14"/>
  <c r="G878" i="14"/>
  <c r="G588" i="14"/>
  <c r="G985" i="14"/>
  <c r="G591" i="14"/>
  <c r="G660" i="14"/>
  <c r="G562" i="14"/>
  <c r="G421" i="14"/>
  <c r="G216" i="14"/>
  <c r="G877" i="14"/>
  <c r="G1107" i="14"/>
  <c r="G423" i="14"/>
  <c r="G1171" i="14"/>
  <c r="G1907" i="14"/>
  <c r="G1894" i="14"/>
  <c r="G822" i="14"/>
  <c r="G1300" i="14"/>
  <c r="G1729" i="14"/>
  <c r="G1783" i="14"/>
  <c r="G547" i="14"/>
  <c r="G517" i="14"/>
  <c r="G573" i="14"/>
  <c r="G1726" i="14"/>
  <c r="G1341" i="14"/>
  <c r="G172" i="14"/>
  <c r="G1051" i="14"/>
  <c r="G929" i="14"/>
  <c r="G1204" i="14"/>
  <c r="G1675" i="14"/>
  <c r="G235" i="14"/>
  <c r="G507" i="14"/>
  <c r="G607" i="14"/>
  <c r="G362" i="14"/>
  <c r="G1202" i="14"/>
  <c r="G1559" i="14"/>
  <c r="G1972" i="14"/>
  <c r="G743" i="14"/>
  <c r="G1120" i="14"/>
  <c r="G1666" i="14"/>
  <c r="G438" i="14"/>
  <c r="G869" i="14"/>
  <c r="G441" i="14"/>
  <c r="G1099" i="14"/>
  <c r="G1374" i="14"/>
  <c r="G1503" i="14"/>
  <c r="G510" i="14"/>
  <c r="G755" i="14"/>
  <c r="G1128" i="14"/>
  <c r="G1166" i="14"/>
  <c r="G1918" i="14"/>
  <c r="G585" i="14"/>
  <c r="G1479" i="14"/>
  <c r="G1576" i="14"/>
  <c r="G972" i="14"/>
  <c r="G1547" i="14"/>
  <c r="G1977" i="14"/>
  <c r="G1876" i="14"/>
  <c r="G316" i="14"/>
  <c r="G1639" i="14"/>
  <c r="G1777" i="14"/>
  <c r="G1101" i="14"/>
  <c r="G490" i="14"/>
  <c r="G1627" i="14"/>
  <c r="G558" i="14"/>
  <c r="G23" i="14"/>
  <c r="G312" i="14"/>
  <c r="G548" i="14"/>
  <c r="G611" i="14"/>
  <c r="G1160" i="14"/>
  <c r="G1430" i="14"/>
  <c r="G1720" i="14"/>
  <c r="G1710" i="14"/>
  <c r="G1750" i="14"/>
  <c r="G289" i="14"/>
  <c r="G1162" i="14"/>
  <c r="G1596" i="14"/>
  <c r="G1702" i="14"/>
  <c r="G568" i="14"/>
  <c r="G1487" i="14"/>
  <c r="G1782" i="14"/>
  <c r="G260" i="14"/>
  <c r="G133" i="14"/>
  <c r="G280" i="14"/>
  <c r="G1664" i="14"/>
  <c r="G1833" i="14"/>
  <c r="G1747" i="14"/>
  <c r="G1080" i="14"/>
  <c r="G1368" i="14"/>
  <c r="G697" i="14"/>
  <c r="G1269" i="14"/>
  <c r="G403" i="14"/>
  <c r="G10" i="14"/>
  <c r="G1030" i="14"/>
  <c r="G1126" i="14"/>
  <c r="G249" i="14"/>
  <c r="G770" i="14"/>
  <c r="G1423" i="14"/>
  <c r="G1192" i="14"/>
  <c r="G1512" i="14"/>
  <c r="G1761" i="14"/>
  <c r="G86" i="14"/>
  <c r="G327" i="14"/>
  <c r="G994" i="14"/>
  <c r="G1074" i="14"/>
  <c r="G646" i="14"/>
  <c r="G286" i="14"/>
  <c r="G1248" i="14"/>
  <c r="G1272" i="14"/>
  <c r="G1546" i="14"/>
  <c r="G1920" i="14"/>
  <c r="G387" i="14"/>
  <c r="G966" i="14"/>
  <c r="G1520" i="14"/>
  <c r="G1277" i="14"/>
  <c r="G1619" i="14"/>
  <c r="G256" i="14"/>
  <c r="G65" i="14"/>
  <c r="G45" i="14"/>
  <c r="G1982" i="14"/>
  <c r="G1823" i="14"/>
  <c r="G219" i="14"/>
  <c r="G574" i="14"/>
  <c r="G1064" i="14"/>
  <c r="G721" i="14"/>
  <c r="G211" i="14"/>
  <c r="G542" i="14"/>
  <c r="G947" i="14"/>
  <c r="G900" i="14"/>
  <c r="G1622" i="14"/>
  <c r="G893" i="14"/>
  <c r="G1038" i="14"/>
  <c r="G270" i="14"/>
  <c r="G242" i="14"/>
  <c r="G1040" i="14"/>
  <c r="G500" i="14"/>
  <c r="G197" i="14"/>
  <c r="G168" i="14"/>
  <c r="G989" i="14"/>
  <c r="G862" i="14"/>
  <c r="G714" i="14"/>
  <c r="G1801" i="14"/>
  <c r="G1741" i="14"/>
  <c r="G1695" i="14"/>
  <c r="G173" i="14"/>
  <c r="G333" i="14"/>
  <c r="G81" i="14"/>
  <c r="G1929" i="14"/>
  <c r="G1001" i="14"/>
  <c r="G1401" i="14"/>
  <c r="G1426" i="14"/>
  <c r="G1540" i="14"/>
  <c r="G1174" i="14"/>
  <c r="G1605" i="14"/>
  <c r="G464" i="14"/>
  <c r="G673" i="14"/>
  <c r="G189" i="14"/>
  <c r="G609" i="14"/>
  <c r="G1767" i="14"/>
  <c r="G1031" i="14"/>
  <c r="G1464" i="14"/>
  <c r="G629" i="14"/>
  <c r="G758" i="14"/>
  <c r="G1942" i="14"/>
  <c r="G1963" i="14"/>
  <c r="G1903" i="14"/>
  <c r="G106" i="14"/>
  <c r="G661" i="14"/>
  <c r="G1328" i="14"/>
  <c r="G1414" i="14"/>
  <c r="G552" i="14"/>
  <c r="G1505" i="14"/>
  <c r="G1621" i="14"/>
  <c r="G1686" i="14"/>
  <c r="G1077" i="14"/>
  <c r="G948" i="14"/>
  <c r="G956" i="14"/>
  <c r="G1742" i="14"/>
  <c r="G380" i="14"/>
  <c r="G741" i="14"/>
  <c r="G1283" i="14"/>
  <c r="G1291" i="14"/>
  <c r="G733" i="14"/>
  <c r="G1528" i="14"/>
  <c r="G1655" i="14"/>
  <c r="G79" i="14"/>
  <c r="G543" i="14"/>
  <c r="G974" i="14"/>
  <c r="G481" i="14"/>
  <c r="G324" i="14"/>
  <c r="G503" i="14"/>
  <c r="G624" i="14"/>
  <c r="G678" i="14"/>
  <c r="G1296" i="14"/>
  <c r="G1417" i="14"/>
  <c r="G531" i="14"/>
  <c r="G457" i="14"/>
  <c r="G1270" i="14"/>
  <c r="G21" i="14"/>
  <c r="G97" i="14"/>
  <c r="G1760" i="14"/>
  <c r="G67" i="14"/>
  <c r="G511" i="14"/>
  <c r="G1745" i="14"/>
  <c r="G1667" i="14"/>
  <c r="G1671" i="14"/>
  <c r="G582" i="14"/>
  <c r="G1083" i="14"/>
  <c r="G1062" i="14"/>
  <c r="G871" i="14"/>
  <c r="G1429" i="14"/>
  <c r="G601" i="14"/>
  <c r="G1217" i="14"/>
  <c r="G1618" i="14"/>
  <c r="G1635" i="14"/>
  <c r="G1669" i="14"/>
  <c r="G36" i="14"/>
  <c r="G428" i="14"/>
  <c r="G77" i="14"/>
  <c r="G1095" i="14"/>
  <c r="G1219" i="14"/>
  <c r="G732" i="14"/>
  <c r="G1866" i="14"/>
  <c r="G734" i="14"/>
  <c r="G1014" i="14"/>
  <c r="G161" i="14"/>
  <c r="G1499" i="14"/>
  <c r="G820" i="14"/>
  <c r="G884" i="14"/>
  <c r="G1834" i="14"/>
  <c r="G1717" i="14"/>
  <c r="G906" i="14"/>
  <c r="G1911" i="14"/>
  <c r="G208" i="14"/>
  <c r="G1280" i="14"/>
  <c r="G1521" i="14"/>
  <c r="G1230" i="14"/>
  <c r="G1861" i="14"/>
  <c r="G710" i="14"/>
  <c r="G623" i="14"/>
  <c r="G1364" i="14"/>
  <c r="G1492" i="14"/>
  <c r="G1632" i="14"/>
  <c r="G1191" i="14"/>
  <c r="G1714" i="14"/>
  <c r="G927" i="14"/>
  <c r="G89" i="14"/>
  <c r="G1496" i="14"/>
  <c r="G1446" i="14"/>
  <c r="G1681" i="14"/>
  <c r="G115" i="14"/>
  <c r="G1004" i="14"/>
  <c r="G1332" i="14"/>
  <c r="G1970" i="14"/>
  <c r="G491" i="14"/>
  <c r="G1600" i="14"/>
  <c r="G300" i="14"/>
  <c r="G396" i="14"/>
  <c r="G37" i="14"/>
  <c r="G233" i="14"/>
  <c r="G888" i="14"/>
  <c r="G1265" i="14"/>
  <c r="G1772" i="14"/>
  <c r="G70" i="14"/>
  <c r="G94" i="14"/>
  <c r="G1119" i="14"/>
  <c r="G1235" i="14"/>
  <c r="G255" i="14"/>
  <c r="G981" i="14"/>
  <c r="G1384" i="14"/>
  <c r="G1513" i="14"/>
  <c r="G1140" i="14"/>
  <c r="G103" i="14"/>
  <c r="G596" i="14"/>
  <c r="G824" i="14"/>
  <c r="G1796" i="14"/>
  <c r="G155" i="14"/>
  <c r="G499" i="14"/>
  <c r="G295" i="14"/>
  <c r="G226" i="14"/>
  <c r="G272" i="14"/>
  <c r="G130" i="14"/>
  <c r="G1697" i="14"/>
  <c r="G1899" i="14"/>
  <c r="G326" i="14"/>
  <c r="G1069" i="14"/>
  <c r="G1042" i="14"/>
  <c r="G795" i="14"/>
  <c r="G1352" i="14"/>
  <c r="G1458" i="14"/>
  <c r="G1564" i="14"/>
  <c r="G576" i="14"/>
  <c r="G681" i="14"/>
  <c r="G1490" i="14"/>
  <c r="G355" i="14"/>
  <c r="G213" i="14"/>
  <c r="G1194" i="14"/>
  <c r="G1390" i="14"/>
  <c r="G1213" i="14"/>
  <c r="G1541" i="14"/>
  <c r="G75" i="14"/>
  <c r="G563" i="14"/>
  <c r="G812" i="14"/>
  <c r="G27" i="14"/>
  <c r="G879" i="14"/>
  <c r="G498" i="14"/>
  <c r="G1002" i="14"/>
  <c r="G1044" i="14"/>
  <c r="G1722" i="14"/>
  <c r="G1662" i="14"/>
  <c r="G301" i="14"/>
  <c r="G757" i="14"/>
  <c r="G1264" i="14"/>
  <c r="G1645" i="14"/>
  <c r="G831" i="14"/>
  <c r="G987" i="14"/>
  <c r="G1307" i="14"/>
  <c r="G194" i="14"/>
  <c r="G1936" i="14"/>
  <c r="G1727" i="14"/>
  <c r="G781" i="14"/>
  <c r="G433" i="14"/>
  <c r="G259" i="14"/>
  <c r="G190" i="14"/>
  <c r="G318" i="14"/>
  <c r="G297" i="14"/>
  <c r="G1410" i="14"/>
  <c r="G261" i="14"/>
  <c r="G183" i="14"/>
  <c r="G578" i="14"/>
  <c r="G1177" i="14"/>
  <c r="G1465" i="14"/>
  <c r="G1302" i="14"/>
  <c r="G1843" i="14"/>
  <c r="G68" i="14"/>
  <c r="G735" i="14"/>
  <c r="G443" i="14"/>
  <c r="G467" i="14"/>
  <c r="G329" i="14"/>
  <c r="G121" i="14"/>
  <c r="G1514" i="14"/>
  <c r="G482" i="14"/>
  <c r="G425" i="14"/>
  <c r="G1070" i="14"/>
  <c r="G637" i="14"/>
  <c r="G809" i="14"/>
  <c r="G32" i="14"/>
  <c r="G370" i="14"/>
  <c r="G1649" i="14"/>
  <c r="G437" i="14"/>
  <c r="G271" i="14"/>
  <c r="G1133" i="14"/>
  <c r="G192" i="14"/>
  <c r="G1085" i="14"/>
  <c r="G176" i="14"/>
  <c r="G859" i="14"/>
  <c r="G737" i="14"/>
  <c r="G407" i="14"/>
  <c r="G146" i="14"/>
  <c r="G1183" i="14"/>
  <c r="G1797" i="14"/>
  <c r="G1965" i="14"/>
  <c r="G1027" i="14"/>
  <c r="G1347" i="14"/>
  <c r="G1859" i="14"/>
  <c r="G1971" i="14"/>
  <c r="G1443" i="14"/>
  <c r="G1516" i="14"/>
  <c r="G1845" i="14"/>
  <c r="G830" i="14"/>
  <c r="G1048" i="14"/>
  <c r="G1534" i="14"/>
  <c r="G145" i="14"/>
  <c r="G715" i="14"/>
  <c r="G829" i="14"/>
  <c r="G759" i="14"/>
  <c r="G801" i="14"/>
  <c r="G1590" i="14"/>
  <c r="G1668" i="14"/>
  <c r="G1205" i="14"/>
  <c r="G452" i="14"/>
  <c r="G135" i="14"/>
  <c r="G1472" i="14"/>
  <c r="G621" i="14"/>
  <c r="G1947" i="14"/>
  <c r="G1887" i="14"/>
  <c r="G1066" i="14"/>
  <c r="G788" i="14"/>
  <c r="G127" i="14"/>
  <c r="G360" i="14"/>
  <c r="G870" i="14"/>
  <c r="G899" i="14"/>
  <c r="G1254" i="14"/>
  <c r="G1995" i="14"/>
  <c r="G476" i="14"/>
  <c r="G856" i="14"/>
  <c r="G1438" i="14"/>
  <c r="G1629" i="14"/>
  <c r="G420" i="14"/>
  <c r="G1124" i="14"/>
  <c r="G1271" i="14"/>
  <c r="G1497" i="14"/>
  <c r="G1227" i="14"/>
  <c r="G1847" i="14"/>
  <c r="G434" i="14"/>
  <c r="G1059" i="14"/>
  <c r="G1827" i="14"/>
  <c r="G1788" i="14"/>
  <c r="G392" i="14"/>
  <c r="G484" i="14"/>
  <c r="G546" i="14"/>
  <c r="G1537" i="14"/>
  <c r="G1198" i="14"/>
  <c r="G149" i="14"/>
  <c r="G863" i="14"/>
  <c r="G372" i="14"/>
  <c r="G1017" i="14"/>
  <c r="G227" i="14"/>
  <c r="G340" i="14"/>
  <c r="G1135" i="14"/>
  <c r="G1525" i="14"/>
  <c r="G1898" i="14"/>
  <c r="G42" i="14"/>
  <c r="G772" i="14"/>
  <c r="G1169" i="14"/>
  <c r="G1411" i="14"/>
  <c r="G455" i="14"/>
  <c r="G202" i="14"/>
  <c r="G903" i="14"/>
  <c r="G1442" i="14"/>
  <c r="G1491" i="14"/>
  <c r="G96" i="14"/>
  <c r="G1148" i="14"/>
  <c r="G1816" i="14"/>
  <c r="G238" i="14"/>
  <c r="G1979" i="14"/>
  <c r="G1413" i="14"/>
  <c r="G650" i="14"/>
  <c r="G1872" i="14"/>
  <c r="G1705" i="14"/>
  <c r="G59" i="14"/>
  <c r="G288" i="14"/>
  <c r="G593" i="14"/>
  <c r="G1123" i="14"/>
  <c r="G800" i="14"/>
  <c r="G907" i="14"/>
  <c r="G996" i="14"/>
  <c r="G1736" i="14"/>
  <c r="G13" i="14"/>
  <c r="G61" i="14"/>
  <c r="G472" i="14"/>
  <c r="G177" i="14"/>
  <c r="G185" i="14"/>
  <c r="G1415" i="14"/>
  <c r="G1320" i="14"/>
  <c r="G1593" i="14"/>
  <c r="G1116" i="14"/>
  <c r="G976" i="14"/>
  <c r="G636" i="14"/>
  <c r="G418" i="14"/>
  <c r="G1484" i="14"/>
  <c r="G1334" i="14"/>
  <c r="G1301" i="14"/>
  <c r="G230" i="14"/>
  <c r="G1246" i="14"/>
  <c r="G1422" i="14"/>
  <c r="G1923" i="14"/>
  <c r="G539" i="14"/>
  <c r="G939" i="14"/>
  <c r="G964" i="14"/>
  <c r="G1569" i="14"/>
  <c r="G1418" i="14"/>
  <c r="G1470" i="14"/>
  <c r="G1877" i="14"/>
  <c r="G1021" i="14"/>
  <c r="G1018" i="14"/>
  <c r="G449" i="14"/>
  <c r="G1338" i="14"/>
  <c r="G1372" i="14"/>
  <c r="G1862" i="14"/>
  <c r="G1551" i="14"/>
  <c r="G647" i="14"/>
  <c r="G1604" i="14"/>
  <c r="C195" i="7"/>
  <c r="C172" i="7"/>
  <c r="C156" i="7"/>
  <c r="C127" i="7"/>
  <c r="C66" i="7"/>
  <c r="C50" i="7"/>
  <c r="C34" i="7"/>
  <c r="C124" i="7"/>
  <c r="C191" i="7"/>
  <c r="C150" i="7"/>
  <c r="C137" i="7"/>
  <c r="C121" i="7"/>
  <c r="C104" i="7"/>
  <c r="C87" i="7"/>
  <c r="C77" i="7"/>
  <c r="C29" i="7"/>
  <c r="C9" i="7"/>
  <c r="C141" i="7"/>
  <c r="C92" i="7"/>
  <c r="C90" i="7"/>
  <c r="C11" i="7"/>
  <c r="C189" i="7"/>
  <c r="C166" i="7"/>
  <c r="C119" i="7"/>
  <c r="C102" i="7"/>
  <c r="C75" i="7"/>
  <c r="C27" i="7"/>
  <c r="C63" i="7"/>
  <c r="C108" i="7"/>
  <c r="C59" i="7"/>
  <c r="C184" i="7"/>
  <c r="C132" i="7"/>
  <c r="C116" i="7"/>
  <c r="C100" i="7"/>
  <c r="C42" i="7"/>
  <c r="C22" i="7"/>
  <c r="C32" i="7"/>
  <c r="C152" i="7"/>
  <c r="C46" i="7"/>
  <c r="C181" i="7"/>
  <c r="C114" i="7"/>
  <c r="C97" i="7"/>
  <c r="C72" i="7"/>
  <c r="C38" i="7"/>
  <c r="C3" i="7"/>
  <c r="C176" i="7"/>
  <c r="C159" i="7"/>
  <c r="C145" i="7"/>
  <c r="C129" i="7"/>
  <c r="C112" i="7"/>
  <c r="C95" i="7"/>
  <c r="C69" i="7"/>
  <c r="C53" i="7"/>
  <c r="C36" i="7"/>
  <c r="C18" i="7"/>
  <c r="G126" i="7"/>
  <c r="H126" i="7" s="1"/>
  <c r="M13" i="14" l="1"/>
  <c r="N12" i="14"/>
  <c r="C182" i="7"/>
  <c r="C64" i="7"/>
  <c r="C19" i="7"/>
  <c r="C160" i="7"/>
  <c r="C47" i="7"/>
  <c r="C185" i="7"/>
  <c r="C167" i="7"/>
  <c r="C78" i="7"/>
  <c r="C138" i="7"/>
  <c r="C157" i="7"/>
  <c r="C39" i="7"/>
  <c r="C70" i="7"/>
  <c r="C23" i="7"/>
  <c r="C98" i="7"/>
  <c r="C142" i="7"/>
  <c r="C173" i="7"/>
  <c r="C133" i="7"/>
  <c r="C125" i="7"/>
  <c r="C177" i="7"/>
  <c r="C153" i="7"/>
  <c r="C60" i="7"/>
  <c r="C88" i="7"/>
  <c r="C51" i="7"/>
  <c r="C4" i="7"/>
  <c r="C117" i="7"/>
  <c r="C12" i="7"/>
  <c r="C105" i="7"/>
  <c r="C67" i="7"/>
  <c r="M14" i="14" l="1"/>
  <c r="M15" i="14" s="1"/>
  <c r="M16" i="14" s="1"/>
  <c r="N13" i="14"/>
  <c r="N14" i="14" s="1"/>
  <c r="N15" i="14" s="1"/>
  <c r="C161" i="7"/>
  <c r="C106" i="7"/>
  <c r="C178" i="7"/>
  <c r="C40" i="7"/>
  <c r="C13" i="7"/>
  <c r="C174" i="7"/>
  <c r="C186" i="7"/>
  <c r="C61" i="7"/>
  <c r="C134" i="7"/>
  <c r="C24" i="7"/>
  <c r="M17" i="14" l="1"/>
  <c r="M18" i="14" s="1"/>
  <c r="N16" i="14"/>
  <c r="N17" i="14" s="1"/>
  <c r="C179" i="7"/>
  <c r="C187" i="7"/>
  <c r="C25" i="7"/>
  <c r="C14" i="7"/>
  <c r="C162" i="7"/>
  <c r="M19" i="14" l="1"/>
  <c r="M20" i="14" s="1"/>
  <c r="N18" i="14"/>
  <c r="N19" i="14" s="1"/>
  <c r="M21" i="14" l="1"/>
  <c r="M22" i="14" s="1"/>
  <c r="M23" i="14" s="1"/>
  <c r="N20" i="14"/>
  <c r="N21" i="14" s="1"/>
  <c r="N22" i="14" s="1"/>
  <c r="M24" i="14" l="1"/>
  <c r="N23" i="14"/>
  <c r="M25" i="14" l="1"/>
  <c r="M26" i="14" s="1"/>
  <c r="M27" i="14" s="1"/>
  <c r="N24" i="14"/>
  <c r="N25" i="14" s="1"/>
  <c r="N26" i="14" s="1"/>
  <c r="M28" i="14" l="1"/>
  <c r="M29" i="14" s="1"/>
  <c r="M30" i="14" s="1"/>
  <c r="N27" i="14"/>
  <c r="N28" i="14" s="1"/>
  <c r="N29" i="14" s="1"/>
  <c r="M31" i="14" l="1"/>
  <c r="M32" i="14" s="1"/>
  <c r="N30" i="14"/>
  <c r="N31" i="14" s="1"/>
  <c r="M33" i="14" l="1"/>
  <c r="M34" i="14" s="1"/>
  <c r="M35" i="14" s="1"/>
  <c r="M36" i="14" s="1"/>
  <c r="N32" i="14"/>
  <c r="N33" i="14" s="1"/>
  <c r="N34" i="14" s="1"/>
  <c r="N35" i="14" s="1"/>
  <c r="M37" i="14" l="1"/>
  <c r="M38" i="14" s="1"/>
  <c r="M39" i="14" s="1"/>
  <c r="N36" i="14"/>
  <c r="N37" i="14" s="1"/>
  <c r="N38" i="14" s="1"/>
  <c r="M40" i="14" l="1"/>
  <c r="M41" i="14" s="1"/>
  <c r="M42" i="14" s="1"/>
  <c r="N39" i="14"/>
  <c r="N40" i="14" s="1"/>
  <c r="N41" i="14" s="1"/>
  <c r="M43" i="14" l="1"/>
  <c r="N42" i="14"/>
  <c r="N43" i="14" s="1"/>
  <c r="N44" i="14" l="1"/>
  <c r="M44" i="14"/>
  <c r="M45" i="14" s="1"/>
  <c r="M46" i="14" l="1"/>
  <c r="N45" i="14"/>
  <c r="M47" i="14" l="1"/>
  <c r="M48" i="14" s="1"/>
  <c r="N46" i="14"/>
  <c r="M49" i="14" l="1"/>
  <c r="N48" i="14"/>
  <c r="N47" i="14"/>
  <c r="M50" i="14" l="1"/>
  <c r="M51" i="14" s="1"/>
  <c r="M52" i="14" s="1"/>
  <c r="N49" i="14"/>
  <c r="N50" i="14" s="1"/>
  <c r="N51" i="14" s="1"/>
  <c r="M53" i="14" l="1"/>
  <c r="M54" i="14" s="1"/>
  <c r="M55" i="14" s="1"/>
  <c r="N52" i="14"/>
  <c r="N53" i="14" s="1"/>
  <c r="N54" i="14" s="1"/>
  <c r="M56" i="14" l="1"/>
  <c r="N55" i="14"/>
  <c r="M57" i="14" l="1"/>
  <c r="M58" i="14" s="1"/>
  <c r="M59" i="14" s="1"/>
  <c r="N56" i="14"/>
  <c r="N57" i="14" s="1"/>
  <c r="N58" i="14" s="1"/>
  <c r="M60" i="14" l="1"/>
  <c r="M61" i="14" s="1"/>
  <c r="M62" i="14" s="1"/>
  <c r="M63" i="14" s="1"/>
  <c r="N59" i="14"/>
  <c r="N60" i="14" s="1"/>
  <c r="N61" i="14" s="1"/>
  <c r="N62" i="14" s="1"/>
  <c r="M64" i="14" l="1"/>
  <c r="M65" i="14" s="1"/>
  <c r="M66" i="14" s="1"/>
  <c r="N63" i="14"/>
  <c r="N64" i="14" s="1"/>
  <c r="N65" i="14" s="1"/>
  <c r="M67" i="14" l="1"/>
  <c r="M68" i="14" s="1"/>
  <c r="M69" i="14" s="1"/>
  <c r="N66" i="14"/>
  <c r="N67" i="14" s="1"/>
  <c r="N68" i="14" s="1"/>
  <c r="M70" i="14" l="1"/>
  <c r="M71" i="14" s="1"/>
  <c r="M72" i="14" s="1"/>
  <c r="N69" i="14"/>
  <c r="N70" i="14" s="1"/>
  <c r="N71" i="14" s="1"/>
  <c r="M73" i="14" l="1"/>
  <c r="M74" i="14" s="1"/>
  <c r="M75" i="14" s="1"/>
  <c r="M76" i="14" s="1"/>
  <c r="N72" i="14"/>
  <c r="N73" i="14" s="1"/>
  <c r="N74" i="14" s="1"/>
  <c r="N75" i="14" s="1"/>
  <c r="M77" i="14" l="1"/>
  <c r="M78" i="14" s="1"/>
  <c r="M79" i="14" s="1"/>
  <c r="M80" i="14" s="1"/>
  <c r="N76" i="14"/>
  <c r="N77" i="14" s="1"/>
  <c r="N78" i="14" s="1"/>
  <c r="N79" i="14" s="1"/>
  <c r="M81" i="14" l="1"/>
  <c r="N80" i="14"/>
  <c r="M82" i="14" l="1"/>
  <c r="M83" i="14" s="1"/>
  <c r="M84" i="14" s="1"/>
  <c r="M85" i="14" s="1"/>
  <c r="N81" i="14"/>
  <c r="N82" i="14" s="1"/>
  <c r="N83" i="14" s="1"/>
  <c r="N84" i="14" s="1"/>
  <c r="M86" i="14" l="1"/>
  <c r="N85" i="14"/>
  <c r="M87" i="14" l="1"/>
  <c r="M88" i="14" s="1"/>
  <c r="N86" i="14"/>
  <c r="N87" i="14" s="1"/>
  <c r="M89" i="14" l="1"/>
  <c r="M90" i="14" s="1"/>
  <c r="M91" i="14" s="1"/>
  <c r="N88" i="14"/>
  <c r="N89" i="14" s="1"/>
  <c r="N90" i="14" s="1"/>
  <c r="M92" i="14" l="1"/>
  <c r="M93" i="14" s="1"/>
  <c r="M94" i="14" s="1"/>
  <c r="N91" i="14"/>
  <c r="N92" i="14" s="1"/>
  <c r="N93" i="14" s="1"/>
  <c r="M95" i="14" l="1"/>
  <c r="M96" i="14" s="1"/>
  <c r="N94" i="14"/>
  <c r="N95" i="14" s="1"/>
  <c r="M97" i="14" l="1"/>
  <c r="M98" i="14" s="1"/>
  <c r="M99" i="14" s="1"/>
  <c r="M100" i="14" s="1"/>
  <c r="N96" i="14"/>
  <c r="N97" i="14" s="1"/>
  <c r="N98" i="14" s="1"/>
  <c r="N99" i="14" s="1"/>
  <c r="M101" i="14" l="1"/>
  <c r="M102" i="14" s="1"/>
  <c r="M103" i="14" s="1"/>
  <c r="N100" i="14"/>
  <c r="N101" i="14" s="1"/>
  <c r="N102" i="14" s="1"/>
  <c r="M104" i="14" l="1"/>
  <c r="M105" i="14" s="1"/>
  <c r="M106" i="14" s="1"/>
  <c r="M107" i="14" s="1"/>
  <c r="N103" i="14"/>
  <c r="M108" i="14" l="1"/>
  <c r="M109" i="14" s="1"/>
  <c r="M110" i="14" s="1"/>
  <c r="M111" i="14" s="1"/>
  <c r="N107" i="14"/>
  <c r="N108" i="14" s="1"/>
  <c r="N109" i="14" s="1"/>
  <c r="N110" i="14" s="1"/>
  <c r="N104" i="14"/>
  <c r="N105" i="14" s="1"/>
  <c r="N106" i="14" s="1"/>
  <c r="M112" i="14" l="1"/>
  <c r="M113" i="14" s="1"/>
  <c r="M114" i="14" s="1"/>
  <c r="N111" i="14"/>
  <c r="N112" i="14" s="1"/>
  <c r="N113" i="14" s="1"/>
  <c r="M115" i="14" l="1"/>
  <c r="M116" i="14" s="1"/>
  <c r="M117" i="14" s="1"/>
  <c r="M118" i="14" s="1"/>
  <c r="N114" i="14"/>
  <c r="M119" i="14" l="1"/>
  <c r="M120" i="14" s="1"/>
  <c r="M121" i="14" s="1"/>
  <c r="M122" i="14" s="1"/>
  <c r="N118" i="14"/>
  <c r="N119" i="14" s="1"/>
  <c r="N120" i="14" s="1"/>
  <c r="N121" i="14" s="1"/>
  <c r="N115" i="14"/>
  <c r="N116" i="14" s="1"/>
  <c r="N117" i="14" s="1"/>
  <c r="M123" i="14" l="1"/>
  <c r="N122" i="14"/>
  <c r="M124" i="14" l="1"/>
  <c r="N123" i="14"/>
  <c r="M125" i="14" l="1"/>
  <c r="M126" i="14" s="1"/>
  <c r="M127" i="14" s="1"/>
  <c r="M128" i="14" s="1"/>
  <c r="N124" i="14"/>
  <c r="N125" i="14" s="1"/>
  <c r="N126" i="14" s="1"/>
  <c r="N127" i="14" s="1"/>
  <c r="M129" i="14" l="1"/>
  <c r="M130" i="14" s="1"/>
  <c r="M131" i="14" s="1"/>
  <c r="N128" i="14"/>
  <c r="N129" i="14" s="1"/>
  <c r="N130" i="14" s="1"/>
  <c r="M132" i="14" l="1"/>
  <c r="N131" i="14"/>
  <c r="M133" i="14" l="1"/>
  <c r="M134" i="14" s="1"/>
  <c r="N132" i="14"/>
  <c r="N133" i="14" s="1"/>
  <c r="M135" i="14" l="1"/>
  <c r="M136" i="14" s="1"/>
  <c r="M137" i="14" s="1"/>
  <c r="M138" i="14" s="1"/>
  <c r="N134" i="14"/>
  <c r="N135" i="14" s="1"/>
  <c r="N136" i="14" s="1"/>
  <c r="N137" i="14" s="1"/>
  <c r="M139" i="14" l="1"/>
  <c r="M140" i="14" s="1"/>
  <c r="M141" i="14" s="1"/>
  <c r="N138" i="14"/>
  <c r="N139" i="14" s="1"/>
  <c r="N140" i="14" s="1"/>
  <c r="M142" i="14" l="1"/>
  <c r="N141" i="14"/>
  <c r="N142" i="14" s="1"/>
  <c r="M143" i="14" l="1"/>
  <c r="M144" i="14" s="1"/>
  <c r="M145" i="14" s="1"/>
  <c r="N143" i="14" l="1"/>
  <c r="N144" i="14" s="1"/>
  <c r="M146" i="14"/>
  <c r="M147" i="14" s="1"/>
  <c r="M148" i="14" s="1"/>
  <c r="M149" i="14" s="1"/>
  <c r="N145" i="14"/>
  <c r="N146" i="14" s="1"/>
  <c r="N147" i="14" s="1"/>
  <c r="N148" i="14" s="1"/>
  <c r="M150" i="14" l="1"/>
  <c r="M151" i="14" s="1"/>
  <c r="M152" i="14" s="1"/>
  <c r="M153" i="14" s="1"/>
  <c r="N149" i="14"/>
  <c r="N150" i="14" s="1"/>
  <c r="N151" i="14" s="1"/>
  <c r="N152" i="14" s="1"/>
  <c r="M154" i="14" l="1"/>
  <c r="M155" i="14" s="1"/>
  <c r="M156" i="14" s="1"/>
  <c r="N153" i="14"/>
  <c r="N154" i="14" s="1"/>
  <c r="N155" i="14" s="1"/>
  <c r="M157" i="14" l="1"/>
  <c r="M158" i="14" s="1"/>
  <c r="M159" i="14" s="1"/>
  <c r="M160" i="14" s="1"/>
  <c r="N156" i="14"/>
  <c r="N157" i="14" s="1"/>
  <c r="N158" i="14" s="1"/>
  <c r="N159" i="14" s="1"/>
  <c r="M161" i="14" l="1"/>
  <c r="M162" i="14" s="1"/>
  <c r="N160" i="14"/>
  <c r="N161" i="14" s="1"/>
  <c r="M163" i="14" l="1"/>
  <c r="M164" i="14" s="1"/>
  <c r="N162" i="14"/>
  <c r="N163" i="14" s="1"/>
  <c r="M165" i="14" l="1"/>
  <c r="M166" i="14" s="1"/>
  <c r="N164" i="14"/>
  <c r="N165" i="14" s="1"/>
  <c r="M167" i="14" l="1"/>
  <c r="M168" i="14" s="1"/>
  <c r="M169" i="14" s="1"/>
  <c r="M170" i="14" s="1"/>
  <c r="N166" i="14"/>
  <c r="N167" i="14" s="1"/>
  <c r="N168" i="14" s="1"/>
  <c r="N169" i="14" s="1"/>
  <c r="M171" i="14" l="1"/>
  <c r="M172" i="14" s="1"/>
  <c r="N170" i="14"/>
  <c r="M173" i="14" l="1"/>
  <c r="M174" i="14" s="1"/>
  <c r="M175" i="14" s="1"/>
  <c r="M176" i="14" s="1"/>
  <c r="N172" i="14"/>
  <c r="N173" i="14" s="1"/>
  <c r="N174" i="14" s="1"/>
  <c r="N175" i="14" s="1"/>
  <c r="N171" i="14"/>
  <c r="M177" i="14" l="1"/>
  <c r="M178" i="14" s="1"/>
  <c r="M179" i="14" s="1"/>
  <c r="N176" i="14"/>
  <c r="N177" i="14" s="1"/>
  <c r="N178" i="14" s="1"/>
  <c r="M180" i="14" l="1"/>
  <c r="M181" i="14" s="1"/>
  <c r="N179" i="14"/>
  <c r="N180" i="14" s="1"/>
  <c r="M182" i="14" l="1"/>
  <c r="M183" i="14" s="1"/>
  <c r="M184" i="14" s="1"/>
  <c r="M185" i="14" s="1"/>
  <c r="N181" i="14"/>
  <c r="N182" i="14" s="1"/>
  <c r="N183" i="14" s="1"/>
  <c r="N184" i="14" s="1"/>
  <c r="M186" i="14" l="1"/>
  <c r="N185" i="14"/>
  <c r="N186" i="14" s="1"/>
  <c r="M187" i="14" l="1"/>
  <c r="M188" i="14" s="1"/>
  <c r="M189" i="14" s="1"/>
  <c r="M190" i="14" l="1"/>
  <c r="M191" i="14" s="1"/>
  <c r="M192" i="14" s="1"/>
  <c r="N189" i="14"/>
  <c r="N190" i="14" s="1"/>
  <c r="N191" i="14" s="1"/>
  <c r="N187" i="14"/>
  <c r="N188" i="14" s="1"/>
  <c r="M193" i="14" l="1"/>
  <c r="N192" i="14"/>
  <c r="M194" i="14" l="1"/>
  <c r="M195" i="14" s="1"/>
  <c r="M196" i="14" s="1"/>
  <c r="N193" i="14"/>
  <c r="N194" i="14" s="1"/>
  <c r="N195" i="14" s="1"/>
  <c r="M197" i="14" l="1"/>
  <c r="M198" i="14" s="1"/>
  <c r="N196" i="14"/>
  <c r="N197" i="14" s="1"/>
  <c r="M199" i="14" l="1"/>
  <c r="M200" i="14" s="1"/>
  <c r="M201" i="14" s="1"/>
  <c r="N198" i="14"/>
  <c r="N199" i="14" s="1"/>
  <c r="N200" i="14" s="1"/>
  <c r="M202" i="14" l="1"/>
  <c r="M203" i="14" s="1"/>
  <c r="M204" i="14" s="1"/>
  <c r="N201" i="14"/>
  <c r="N202" i="14" s="1"/>
  <c r="N203" i="14" s="1"/>
  <c r="M205" i="14" l="1"/>
  <c r="M206" i="14" s="1"/>
  <c r="M207" i="14" s="1"/>
  <c r="N204" i="14"/>
  <c r="N205" i="14" s="1"/>
  <c r="N206" i="14" s="1"/>
  <c r="M208" i="14" l="1"/>
  <c r="M209" i="14" s="1"/>
  <c r="M210" i="14" s="1"/>
  <c r="M211" i="14" s="1"/>
  <c r="N207" i="14"/>
  <c r="N208" i="14" s="1"/>
  <c r="N209" i="14" s="1"/>
  <c r="N210" i="14" s="1"/>
  <c r="M212" i="14" l="1"/>
  <c r="N211" i="14"/>
  <c r="M213" i="14" l="1"/>
  <c r="M214" i="14" s="1"/>
  <c r="N212" i="14"/>
  <c r="N213" i="14" s="1"/>
  <c r="M215" i="14" l="1"/>
  <c r="M216" i="14" s="1"/>
  <c r="N214" i="14"/>
  <c r="N215" i="14" s="1"/>
  <c r="M217" i="14" l="1"/>
  <c r="M218" i="14" s="1"/>
  <c r="N216" i="14"/>
  <c r="N217" i="14" s="1"/>
  <c r="M219" i="14" l="1"/>
  <c r="M220" i="14" s="1"/>
  <c r="M221" i="14" s="1"/>
  <c r="N218" i="14"/>
  <c r="N219" i="14" s="1"/>
  <c r="N220" i="14" s="1"/>
  <c r="M222" i="14" l="1"/>
  <c r="M223" i="14" s="1"/>
  <c r="M224" i="14" s="1"/>
  <c r="M225" i="14" s="1"/>
  <c r="N221" i="14"/>
  <c r="N222" i="14" s="1"/>
  <c r="N223" i="14" s="1"/>
  <c r="N224" i="14" s="1"/>
  <c r="M226" i="14" l="1"/>
  <c r="M227" i="14" s="1"/>
  <c r="M228" i="14" s="1"/>
  <c r="M229" i="14" s="1"/>
  <c r="N225" i="14"/>
  <c r="N226" i="14" s="1"/>
  <c r="N227" i="14" s="1"/>
  <c r="N228" i="14" s="1"/>
  <c r="M230" i="14" l="1"/>
  <c r="M231" i="14" s="1"/>
  <c r="N229" i="14"/>
  <c r="N230" i="14" s="1"/>
  <c r="M232" i="14" l="1"/>
  <c r="M233" i="14" s="1"/>
  <c r="M234" i="14" s="1"/>
  <c r="M235" i="14" s="1"/>
  <c r="N231" i="14"/>
  <c r="N232" i="14" s="1"/>
  <c r="N233" i="14" s="1"/>
  <c r="N234" i="14" s="1"/>
  <c r="M236" i="14" l="1"/>
  <c r="N235" i="14"/>
  <c r="M237" i="14" l="1"/>
  <c r="N236" i="14"/>
  <c r="M238" i="14" l="1"/>
  <c r="M239" i="14" s="1"/>
  <c r="M240" i="14" s="1"/>
  <c r="M241" i="14" s="1"/>
  <c r="N237" i="14"/>
  <c r="N238" i="14" s="1"/>
  <c r="N239" i="14" s="1"/>
  <c r="N240" i="14" s="1"/>
  <c r="M242" i="14" l="1"/>
  <c r="M243" i="14" s="1"/>
  <c r="M244" i="14" s="1"/>
  <c r="M245" i="14" s="1"/>
  <c r="N241" i="14"/>
  <c r="N242" i="14" s="1"/>
  <c r="N243" i="14" s="1"/>
  <c r="N244" i="14" s="1"/>
  <c r="M246" i="14" l="1"/>
  <c r="N245" i="14"/>
  <c r="M247" i="14" l="1"/>
  <c r="N246" i="14"/>
  <c r="N247" i="14" s="1"/>
  <c r="M248" i="14" l="1"/>
  <c r="M249" i="14" l="1"/>
  <c r="M250" i="14" s="1"/>
  <c r="M251" i="14" s="1"/>
  <c r="M252" i="14" s="1"/>
  <c r="N248" i="14"/>
  <c r="N249" i="14" s="1"/>
  <c r="N250" i="14" s="1"/>
  <c r="N251" i="14" s="1"/>
  <c r="M253" i="14" l="1"/>
  <c r="M254" i="14" s="1"/>
  <c r="M255" i="14" s="1"/>
  <c r="N252" i="14"/>
  <c r="N253" i="14" s="1"/>
  <c r="N254" i="14" s="1"/>
  <c r="M256" i="14" l="1"/>
  <c r="M257" i="14" s="1"/>
  <c r="N255" i="14"/>
  <c r="N256" i="14" s="1"/>
  <c r="M258" i="14" l="1"/>
  <c r="N257" i="14"/>
  <c r="M259" i="14" l="1"/>
  <c r="M260" i="14" s="1"/>
  <c r="N258" i="14"/>
  <c r="N259" i="14" s="1"/>
  <c r="M261" i="14" l="1"/>
  <c r="M262" i="14" s="1"/>
  <c r="M263" i="14" s="1"/>
  <c r="M264" i="14" s="1"/>
  <c r="N260" i="14"/>
  <c r="N261" i="14" s="1"/>
  <c r="N262" i="14" s="1"/>
  <c r="N263" i="14" s="1"/>
  <c r="M265" i="14" l="1"/>
  <c r="M266" i="14" s="1"/>
  <c r="M267" i="14" s="1"/>
  <c r="M268" i="14" s="1"/>
  <c r="N264" i="14"/>
  <c r="M269" i="14" l="1"/>
  <c r="N268" i="14"/>
  <c r="N265" i="14"/>
  <c r="N266" i="14" s="1"/>
  <c r="N267" i="14" s="1"/>
  <c r="M270" i="14" l="1"/>
  <c r="M271" i="14" s="1"/>
  <c r="N269" i="14"/>
  <c r="M272" i="14" l="1"/>
  <c r="M273" i="14" s="1"/>
  <c r="M274" i="14" s="1"/>
  <c r="M275" i="14" s="1"/>
  <c r="N271" i="14"/>
  <c r="N272" i="14" s="1"/>
  <c r="N273" i="14" s="1"/>
  <c r="N274" i="14" s="1"/>
  <c r="N270" i="14"/>
  <c r="M276" i="14" l="1"/>
  <c r="M277" i="14" s="1"/>
  <c r="N275" i="14"/>
  <c r="N276" i="14" s="1"/>
  <c r="M278" i="14" l="1"/>
  <c r="M279" i="14" s="1"/>
  <c r="N277" i="14"/>
  <c r="N278" i="14" s="1"/>
  <c r="M280" i="14" l="1"/>
  <c r="M281" i="14" s="1"/>
  <c r="N279" i="14"/>
  <c r="N280" i="14" s="1"/>
  <c r="M282" i="14" l="1"/>
  <c r="N281" i="14"/>
  <c r="M283" i="14" l="1"/>
  <c r="M284" i="14" s="1"/>
  <c r="M285" i="14" s="1"/>
  <c r="N282" i="14"/>
  <c r="N283" i="14" s="1"/>
  <c r="N284" i="14" s="1"/>
  <c r="M286" i="14" l="1"/>
  <c r="M287" i="14" s="1"/>
  <c r="M288" i="14" s="1"/>
  <c r="M289" i="14" s="1"/>
  <c r="N285" i="14"/>
  <c r="M290" i="14" l="1"/>
  <c r="M291" i="14" s="1"/>
  <c r="N289" i="14"/>
  <c r="N290" i="14" s="1"/>
  <c r="N291" i="14" s="1"/>
  <c r="N286" i="14"/>
  <c r="N287" i="14" s="1"/>
  <c r="N288" i="14" s="1"/>
  <c r="M292" i="14" l="1"/>
  <c r="M293" i="14" s="1"/>
  <c r="M294" i="14" l="1"/>
  <c r="M295" i="14" s="1"/>
  <c r="N293" i="14"/>
  <c r="N292" i="14"/>
  <c r="M296" i="14" l="1"/>
  <c r="M297" i="14" s="1"/>
  <c r="M298" i="14" s="1"/>
  <c r="N295" i="14"/>
  <c r="N296" i="14" s="1"/>
  <c r="N297" i="14" s="1"/>
  <c r="N294" i="14"/>
  <c r="M299" i="14" l="1"/>
  <c r="M300" i="14" s="1"/>
  <c r="N298" i="14"/>
  <c r="N299" i="14" s="1"/>
  <c r="M301" i="14" l="1"/>
  <c r="M302" i="14" s="1"/>
  <c r="M303" i="14" s="1"/>
  <c r="N300" i="14"/>
  <c r="N301" i="14" s="1"/>
  <c r="N302" i="14" s="1"/>
  <c r="M304" i="14" l="1"/>
  <c r="M305" i="14" s="1"/>
  <c r="N303" i="14"/>
  <c r="M306" i="14" l="1"/>
  <c r="N305" i="14"/>
  <c r="N304" i="14"/>
  <c r="M307" i="14" l="1"/>
  <c r="N306" i="14"/>
  <c r="M308" i="14" l="1"/>
  <c r="M309" i="14" s="1"/>
  <c r="M310" i="14" s="1"/>
  <c r="M311" i="14" s="1"/>
  <c r="N307" i="14"/>
  <c r="N308" i="14" s="1"/>
  <c r="N309" i="14" s="1"/>
  <c r="N310" i="14" s="1"/>
  <c r="M312" i="14" l="1"/>
  <c r="M313" i="14" s="1"/>
  <c r="N311" i="14"/>
  <c r="N312" i="14" s="1"/>
  <c r="M314" i="14" l="1"/>
  <c r="M315" i="14" s="1"/>
  <c r="N313" i="14"/>
  <c r="N314" i="14" s="1"/>
  <c r="M316" i="14" l="1"/>
  <c r="M317" i="14" s="1"/>
  <c r="M318" i="14" s="1"/>
  <c r="M319" i="14" s="1"/>
  <c r="N315" i="14"/>
  <c r="N316" i="14" s="1"/>
  <c r="N317" i="14" s="1"/>
  <c r="N318" i="14" s="1"/>
  <c r="M320" i="14" l="1"/>
  <c r="M321" i="14" s="1"/>
  <c r="M322" i="14" s="1"/>
  <c r="M323" i="14" s="1"/>
  <c r="N319" i="14"/>
  <c r="N320" i="14" s="1"/>
  <c r="N321" i="14" s="1"/>
  <c r="N322" i="14" s="1"/>
  <c r="M324" i="14" l="1"/>
  <c r="M325" i="14" s="1"/>
  <c r="M326" i="14" s="1"/>
  <c r="M327" i="14" s="1"/>
  <c r="N323" i="14"/>
  <c r="N324" i="14" s="1"/>
  <c r="N325" i="14" s="1"/>
  <c r="N326" i="14" s="1"/>
  <c r="M328" i="14" l="1"/>
  <c r="M329" i="14" s="1"/>
  <c r="M330" i="14" s="1"/>
  <c r="M331" i="14" s="1"/>
  <c r="N327" i="14"/>
  <c r="N328" i="14" s="1"/>
  <c r="N329" i="14" s="1"/>
  <c r="N330" i="14" s="1"/>
  <c r="M332" i="14" l="1"/>
  <c r="N331" i="14"/>
  <c r="M333" i="14" l="1"/>
  <c r="N332" i="14"/>
  <c r="M334" i="14" l="1"/>
  <c r="M335" i="14" s="1"/>
  <c r="M336" i="14" s="1"/>
  <c r="M337" i="14" s="1"/>
  <c r="N333" i="14"/>
  <c r="N334" i="14" s="1"/>
  <c r="N335" i="14" s="1"/>
  <c r="N336" i="14" s="1"/>
  <c r="M338" i="14" l="1"/>
  <c r="N337" i="14"/>
  <c r="M339" i="14" l="1"/>
  <c r="M340" i="14" s="1"/>
  <c r="M341" i="14" s="1"/>
  <c r="N338" i="14"/>
  <c r="N339" i="14" s="1"/>
  <c r="N340" i="14" s="1"/>
  <c r="M342" i="14" l="1"/>
  <c r="M343" i="14" s="1"/>
  <c r="N341" i="14"/>
  <c r="N342" i="14" s="1"/>
  <c r="M344" i="14" l="1"/>
  <c r="N343" i="14"/>
  <c r="M345" i="14" l="1"/>
  <c r="M346" i="14" s="1"/>
  <c r="M347" i="14" s="1"/>
  <c r="N344" i="14"/>
  <c r="N345" i="14" s="1"/>
  <c r="N346" i="14" s="1"/>
  <c r="M348" i="14" l="1"/>
  <c r="M349" i="14" s="1"/>
  <c r="M350" i="14" s="1"/>
  <c r="M351" i="14" s="1"/>
  <c r="N347" i="14"/>
  <c r="N348" i="14" s="1"/>
  <c r="N349" i="14" s="1"/>
  <c r="N350" i="14" s="1"/>
  <c r="M352" i="14" l="1"/>
  <c r="N351" i="14"/>
  <c r="N352" i="14" s="1"/>
  <c r="M353" i="14" l="1"/>
  <c r="M354" i="14" s="1"/>
  <c r="M355" i="14" s="1"/>
  <c r="M356" i="14" l="1"/>
  <c r="M357" i="14" s="1"/>
  <c r="M358" i="14" s="1"/>
  <c r="M359" i="14" s="1"/>
  <c r="N355" i="14"/>
  <c r="N356" i="14" s="1"/>
  <c r="N357" i="14" s="1"/>
  <c r="N358" i="14" s="1"/>
  <c r="N353" i="14"/>
  <c r="N354" i="14" s="1"/>
  <c r="M360" i="14" l="1"/>
  <c r="N359" i="14"/>
  <c r="M361" i="14" l="1"/>
  <c r="N360" i="14"/>
  <c r="M362" i="14" l="1"/>
  <c r="N361" i="14"/>
  <c r="M363" i="14" l="1"/>
  <c r="N362" i="14"/>
  <c r="M364" i="14" l="1"/>
  <c r="M365" i="14" s="1"/>
  <c r="M366" i="14" s="1"/>
  <c r="N363" i="14"/>
  <c r="N364" i="14" s="1"/>
  <c r="N365" i="14" s="1"/>
  <c r="M367" i="14" l="1"/>
  <c r="M368" i="14" s="1"/>
  <c r="N366" i="14"/>
  <c r="N367" i="14" s="1"/>
  <c r="M369" i="14" l="1"/>
  <c r="M370" i="14" s="1"/>
  <c r="M371" i="14" s="1"/>
  <c r="N368" i="14"/>
  <c r="N369" i="14" s="1"/>
  <c r="N370" i="14" s="1"/>
  <c r="M372" i="14" l="1"/>
  <c r="M373" i="14" s="1"/>
  <c r="M374" i="14" s="1"/>
  <c r="M375" i="14" s="1"/>
  <c r="N371" i="14"/>
  <c r="N372" i="14" s="1"/>
  <c r="N373" i="14" s="1"/>
  <c r="N374" i="14" s="1"/>
  <c r="M376" i="14" l="1"/>
  <c r="M377" i="14" s="1"/>
  <c r="M378" i="14" s="1"/>
  <c r="N375" i="14"/>
  <c r="N376" i="14" s="1"/>
  <c r="N377" i="14" s="1"/>
  <c r="M379" i="14" l="1"/>
  <c r="N378" i="14"/>
  <c r="N379" i="14" s="1"/>
  <c r="M380" i="14" l="1"/>
  <c r="M381" i="14" l="1"/>
  <c r="M382" i="14" s="1"/>
  <c r="N380" i="14"/>
  <c r="N381" i="14" s="1"/>
  <c r="M383" i="14" l="1"/>
  <c r="M384" i="14" s="1"/>
  <c r="M385" i="14" s="1"/>
  <c r="M386" i="14" s="1"/>
  <c r="N382" i="14"/>
  <c r="N383" i="14" s="1"/>
  <c r="N384" i="14" s="1"/>
  <c r="N385" i="14" s="1"/>
  <c r="M387" i="14" l="1"/>
  <c r="N386" i="14"/>
  <c r="N387" i="14" s="1"/>
  <c r="M388" i="14" l="1"/>
  <c r="M389" i="14" s="1"/>
  <c r="M390" i="14" s="1"/>
  <c r="M391" i="14" l="1"/>
  <c r="N390" i="14"/>
  <c r="N388" i="14"/>
  <c r="N389" i="14" s="1"/>
  <c r="M392" i="14" l="1"/>
  <c r="M393" i="14" s="1"/>
  <c r="M394" i="14" s="1"/>
  <c r="M395" i="14" s="1"/>
  <c r="N391" i="14"/>
  <c r="N392" i="14" s="1"/>
  <c r="N393" i="14" s="1"/>
  <c r="N394" i="14" s="1"/>
  <c r="M396" i="14" l="1"/>
  <c r="M397" i="14" s="1"/>
  <c r="M398" i="14" s="1"/>
  <c r="N395" i="14"/>
  <c r="N396" i="14" s="1"/>
  <c r="N397" i="14" s="1"/>
  <c r="M399" i="14" l="1"/>
  <c r="M400" i="14" s="1"/>
  <c r="M401" i="14" s="1"/>
  <c r="M402" i="14" s="1"/>
  <c r="N398" i="14"/>
  <c r="N399" i="14" s="1"/>
  <c r="N400" i="14" s="1"/>
  <c r="N401" i="14" s="1"/>
  <c r="M403" i="14" l="1"/>
  <c r="M404" i="14" s="1"/>
  <c r="M405" i="14" s="1"/>
  <c r="M406" i="14" s="1"/>
  <c r="N402" i="14"/>
  <c r="N403" i="14" s="1"/>
  <c r="N404" i="14" s="1"/>
  <c r="N405" i="14" s="1"/>
  <c r="M407" i="14" l="1"/>
  <c r="M408" i="14" s="1"/>
  <c r="M409" i="14" s="1"/>
  <c r="M410" i="14" s="1"/>
  <c r="N406" i="14"/>
  <c r="N407" i="14" s="1"/>
  <c r="N408" i="14" s="1"/>
  <c r="N409" i="14" s="1"/>
  <c r="M411" i="14" l="1"/>
  <c r="N410" i="14"/>
  <c r="M412" i="14" l="1"/>
  <c r="M413" i="14" s="1"/>
  <c r="N411" i="14"/>
  <c r="N412" i="14" s="1"/>
  <c r="M414" i="14" l="1"/>
  <c r="M415" i="14" s="1"/>
  <c r="M416" i="14" s="1"/>
  <c r="M417" i="14" s="1"/>
  <c r="N413" i="14"/>
  <c r="N414" i="14" s="1"/>
  <c r="N415" i="14" s="1"/>
  <c r="N416" i="14" s="1"/>
  <c r="M418" i="14" l="1"/>
  <c r="M419" i="14" s="1"/>
  <c r="M420" i="14" s="1"/>
  <c r="N417" i="14"/>
  <c r="N418" i="14" s="1"/>
  <c r="N419" i="14" s="1"/>
  <c r="M421" i="14" l="1"/>
  <c r="M422" i="14" s="1"/>
  <c r="M423" i="14" s="1"/>
  <c r="N420" i="14"/>
  <c r="N421" i="14" s="1"/>
  <c r="N422" i="14" s="1"/>
  <c r="M424" i="14" l="1"/>
  <c r="M425" i="14" s="1"/>
  <c r="M426" i="14" s="1"/>
  <c r="N423" i="14"/>
  <c r="N424" i="14" s="1"/>
  <c r="N425" i="14" s="1"/>
  <c r="M427" i="14" l="1"/>
  <c r="M428" i="14" s="1"/>
  <c r="M429" i="14" s="1"/>
  <c r="M430" i="14" s="1"/>
  <c r="N426" i="14"/>
  <c r="N427" i="14" s="1"/>
  <c r="N428" i="14" s="1"/>
  <c r="N429" i="14" s="1"/>
  <c r="M431" i="14" l="1"/>
  <c r="N430" i="14"/>
  <c r="M432" i="14" l="1"/>
  <c r="M433" i="14" s="1"/>
  <c r="M434" i="14" s="1"/>
  <c r="M435" i="14" s="1"/>
  <c r="N431" i="14"/>
  <c r="N432" i="14" s="1"/>
  <c r="N433" i="14" s="1"/>
  <c r="N434" i="14" s="1"/>
  <c r="M436" i="14" l="1"/>
  <c r="N435" i="14"/>
  <c r="M437" i="14" l="1"/>
  <c r="N436" i="14"/>
  <c r="M438" i="14" l="1"/>
  <c r="M439" i="14" s="1"/>
  <c r="N437" i="14"/>
  <c r="N438" i="14" s="1"/>
  <c r="M440" i="14" l="1"/>
  <c r="N439" i="14"/>
  <c r="M441" i="14" l="1"/>
  <c r="M442" i="14" s="1"/>
  <c r="N440" i="14"/>
  <c r="N441" i="14" s="1"/>
  <c r="M443" i="14" l="1"/>
  <c r="M444" i="14" s="1"/>
  <c r="M445" i="14" s="1"/>
  <c r="N442" i="14"/>
  <c r="N443" i="14" s="1"/>
  <c r="N444" i="14" s="1"/>
  <c r="M446" i="14" l="1"/>
  <c r="N445" i="14"/>
  <c r="M447" i="14" l="1"/>
  <c r="M448" i="14" s="1"/>
  <c r="M449" i="14" s="1"/>
  <c r="N446" i="14"/>
  <c r="N447" i="14" s="1"/>
  <c r="N448" i="14" s="1"/>
  <c r="M450" i="14" l="1"/>
  <c r="M451" i="14" s="1"/>
  <c r="M452" i="14" s="1"/>
  <c r="M453" i="14" s="1"/>
  <c r="N449" i="14"/>
  <c r="N450" i="14" s="1"/>
  <c r="N451" i="14" s="1"/>
  <c r="N452" i="14" s="1"/>
  <c r="M454" i="14" l="1"/>
  <c r="N453" i="14"/>
  <c r="M455" i="14" l="1"/>
  <c r="M456" i="14" s="1"/>
  <c r="M457" i="14" s="1"/>
  <c r="M458" i="14" s="1"/>
  <c r="N454" i="14"/>
  <c r="N455" i="14" s="1"/>
  <c r="N456" i="14" s="1"/>
  <c r="N457" i="14" s="1"/>
  <c r="M459" i="14" l="1"/>
  <c r="M460" i="14" s="1"/>
  <c r="M461" i="14" s="1"/>
  <c r="N458" i="14"/>
  <c r="N459" i="14" s="1"/>
  <c r="N460" i="14" s="1"/>
  <c r="M462" i="14" l="1"/>
  <c r="M463" i="14" s="1"/>
  <c r="N461" i="14"/>
  <c r="N462" i="14" s="1"/>
  <c r="M464" i="14" l="1"/>
  <c r="M465" i="14" s="1"/>
  <c r="M466" i="14" s="1"/>
  <c r="N463" i="14"/>
  <c r="N464" i="14" s="1"/>
  <c r="N465" i="14" s="1"/>
  <c r="M467" i="14" l="1"/>
  <c r="M468" i="14" s="1"/>
  <c r="M469" i="14" s="1"/>
  <c r="N466" i="14"/>
  <c r="N467" i="14" s="1"/>
  <c r="N468" i="14" s="1"/>
  <c r="M470" i="14" l="1"/>
  <c r="N469" i="14"/>
  <c r="M471" i="14" l="1"/>
  <c r="N470" i="14"/>
  <c r="M472" i="14" l="1"/>
  <c r="M473" i="14" s="1"/>
  <c r="N471" i="14"/>
  <c r="N472" i="14" s="1"/>
  <c r="M474" i="14" l="1"/>
  <c r="M475" i="14" s="1"/>
  <c r="M476" i="14" s="1"/>
  <c r="N473" i="14"/>
  <c r="N474" i="14" s="1"/>
  <c r="N475" i="14" s="1"/>
  <c r="M477" i="14" l="1"/>
  <c r="M478" i="14" s="1"/>
  <c r="M479" i="14" s="1"/>
  <c r="M480" i="14" s="1"/>
  <c r="N476" i="14"/>
  <c r="N477" i="14" s="1"/>
  <c r="N478" i="14" s="1"/>
  <c r="N479" i="14" s="1"/>
  <c r="M481" i="14" l="1"/>
  <c r="M482" i="14" s="1"/>
  <c r="M483" i="14" s="1"/>
  <c r="N480" i="14"/>
  <c r="N481" i="14" s="1"/>
  <c r="N482" i="14" s="1"/>
  <c r="M484" i="14" l="1"/>
  <c r="M485" i="14" s="1"/>
  <c r="M486" i="14" s="1"/>
  <c r="N483" i="14"/>
  <c r="N484" i="14" s="1"/>
  <c r="N485" i="14" s="1"/>
  <c r="M487" i="14" l="1"/>
  <c r="N486" i="14"/>
  <c r="M488" i="14" l="1"/>
  <c r="N487" i="14"/>
  <c r="M489" i="14" l="1"/>
  <c r="N488" i="14"/>
  <c r="M490" i="14" l="1"/>
  <c r="M491" i="14" s="1"/>
  <c r="N489" i="14"/>
  <c r="N490" i="14" s="1"/>
  <c r="M492" i="14" l="1"/>
  <c r="M493" i="14" s="1"/>
  <c r="M494" i="14" s="1"/>
  <c r="N491" i="14"/>
  <c r="N492" i="14" s="1"/>
  <c r="N493" i="14" s="1"/>
  <c r="M495" i="14" l="1"/>
  <c r="M496" i="14" s="1"/>
  <c r="M497" i="14" s="1"/>
  <c r="M498" i="14" s="1"/>
  <c r="N494" i="14"/>
  <c r="N495" i="14" s="1"/>
  <c r="N496" i="14" s="1"/>
  <c r="N497" i="14" s="1"/>
  <c r="M499" i="14" l="1"/>
  <c r="N498" i="14"/>
  <c r="M500" i="14" l="1"/>
  <c r="M501" i="14" s="1"/>
  <c r="M502" i="14" s="1"/>
  <c r="N499" i="14"/>
  <c r="N500" i="14" s="1"/>
  <c r="N501" i="14" s="1"/>
  <c r="M503" i="14" l="1"/>
  <c r="M504" i="14" s="1"/>
  <c r="M505" i="14" s="1"/>
  <c r="M506" i="14" s="1"/>
  <c r="N502" i="14"/>
  <c r="N503" i="14" s="1"/>
  <c r="N504" i="14" s="1"/>
  <c r="N505" i="14" s="1"/>
  <c r="M507" i="14" l="1"/>
  <c r="M508" i="14" s="1"/>
  <c r="N506" i="14"/>
  <c r="N507" i="14" s="1"/>
  <c r="M509" i="14" l="1"/>
  <c r="M510" i="14" s="1"/>
  <c r="M511" i="14" s="1"/>
  <c r="M512" i="14" s="1"/>
  <c r="N508" i="14"/>
  <c r="N509" i="14" s="1"/>
  <c r="N510" i="14" s="1"/>
  <c r="N511" i="14" s="1"/>
  <c r="M513" i="14" l="1"/>
  <c r="N512" i="14"/>
  <c r="M514" i="14" l="1"/>
  <c r="M515" i="14" s="1"/>
  <c r="N513" i="14"/>
  <c r="N514" i="14" s="1"/>
  <c r="M516" i="14" l="1"/>
  <c r="M517" i="14" s="1"/>
  <c r="N515" i="14"/>
  <c r="N516" i="14" s="1"/>
  <c r="M518" i="14" l="1"/>
  <c r="M519" i="14" s="1"/>
  <c r="M520" i="14" s="1"/>
  <c r="N517" i="14"/>
  <c r="N518" i="14" s="1"/>
  <c r="N519" i="14" s="1"/>
  <c r="M521" i="14" l="1"/>
  <c r="M522" i="14" s="1"/>
  <c r="N520" i="14"/>
  <c r="N521" i="14" s="1"/>
  <c r="M523" i="14" l="1"/>
  <c r="M524" i="14" s="1"/>
  <c r="N522" i="14"/>
  <c r="N523" i="14" s="1"/>
  <c r="M525" i="14" l="1"/>
  <c r="M526" i="14" s="1"/>
  <c r="M527" i="14" s="1"/>
  <c r="N524" i="14"/>
  <c r="N525" i="14" s="1"/>
  <c r="N526" i="14" s="1"/>
  <c r="M528" i="14" l="1"/>
  <c r="N527" i="14"/>
  <c r="N528" i="14" s="1"/>
  <c r="M529" i="14" l="1"/>
  <c r="M530" i="14" s="1"/>
  <c r="M531" i="14" s="1"/>
  <c r="M532" i="14" l="1"/>
  <c r="M533" i="14" s="1"/>
  <c r="N531" i="14"/>
  <c r="N532" i="14" s="1"/>
  <c r="N529" i="14"/>
  <c r="N530" i="14" s="1"/>
  <c r="M534" i="14" l="1"/>
  <c r="M535" i="14" s="1"/>
  <c r="N533" i="14"/>
  <c r="N534" i="14" l="1"/>
  <c r="M536" i="14"/>
  <c r="M537" i="14" s="1"/>
  <c r="M538" i="14" s="1"/>
  <c r="M539" i="14" s="1"/>
  <c r="N535" i="14"/>
  <c r="N536" i="14" s="1"/>
  <c r="N537" i="14" s="1"/>
  <c r="N538" i="14" s="1"/>
  <c r="M540" i="14" l="1"/>
  <c r="M541" i="14" s="1"/>
  <c r="N539" i="14"/>
  <c r="N540" i="14" s="1"/>
  <c r="M542" i="14" l="1"/>
  <c r="M543" i="14" s="1"/>
  <c r="M544" i="14" s="1"/>
  <c r="M545" i="14" s="1"/>
  <c r="N541" i="14"/>
  <c r="N542" i="14" s="1"/>
  <c r="N543" i="14" s="1"/>
  <c r="N544" i="14" s="1"/>
  <c r="M546" i="14" l="1"/>
  <c r="N545" i="14"/>
  <c r="M547" i="14" l="1"/>
  <c r="N546" i="14"/>
  <c r="M548" i="14" l="1"/>
  <c r="M549" i="14" s="1"/>
  <c r="N547" i="14"/>
  <c r="M550" i="14" l="1"/>
  <c r="N549" i="14"/>
  <c r="N548" i="14"/>
  <c r="M551" i="14" l="1"/>
  <c r="M552" i="14" s="1"/>
  <c r="M553" i="14" s="1"/>
  <c r="M554" i="14" s="1"/>
  <c r="N550" i="14"/>
  <c r="N551" i="14" s="1"/>
  <c r="N552" i="14" s="1"/>
  <c r="N553" i="14" s="1"/>
  <c r="M555" i="14" l="1"/>
  <c r="M556" i="14" s="1"/>
  <c r="N554" i="14"/>
  <c r="N555" i="14" s="1"/>
  <c r="M557" i="14" l="1"/>
  <c r="M558" i="14" s="1"/>
  <c r="N556" i="14"/>
  <c r="N557" i="14" s="1"/>
  <c r="M559" i="14" l="1"/>
  <c r="M560" i="14" s="1"/>
  <c r="M561" i="14" s="1"/>
  <c r="M562" i="14" s="1"/>
  <c r="N558" i="14"/>
  <c r="N559" i="14" s="1"/>
  <c r="N560" i="14" s="1"/>
  <c r="N561" i="14" s="1"/>
  <c r="M563" i="14" l="1"/>
  <c r="N562" i="14"/>
  <c r="M564" i="14" l="1"/>
  <c r="M565" i="14" s="1"/>
  <c r="N563" i="14"/>
  <c r="N564" i="14" s="1"/>
  <c r="M566" i="14" l="1"/>
  <c r="M567" i="14" s="1"/>
  <c r="M568" i="14" s="1"/>
  <c r="N565" i="14"/>
  <c r="N566" i="14" s="1"/>
  <c r="N567" i="14" s="1"/>
  <c r="M569" i="14" l="1"/>
  <c r="M570" i="14" s="1"/>
  <c r="N568" i="14"/>
  <c r="N569" i="14" s="1"/>
  <c r="M571" i="14" l="1"/>
  <c r="M572" i="14" s="1"/>
  <c r="M573" i="14" s="1"/>
  <c r="M574" i="14" s="1"/>
  <c r="N570" i="14"/>
  <c r="N571" i="14" s="1"/>
  <c r="N572" i="14" s="1"/>
  <c r="N573" i="14" s="1"/>
  <c r="M575" i="14" l="1"/>
  <c r="M576" i="14" s="1"/>
  <c r="M577" i="14" s="1"/>
  <c r="M578" i="14" s="1"/>
  <c r="N574" i="14"/>
  <c r="N575" i="14" s="1"/>
  <c r="N576" i="14" s="1"/>
  <c r="N577" i="14" s="1"/>
  <c r="M579" i="14" l="1"/>
  <c r="M580" i="14" s="1"/>
  <c r="N578" i="14"/>
  <c r="N579" i="14" s="1"/>
  <c r="M581" i="14" l="1"/>
  <c r="N580" i="14"/>
  <c r="M582" i="14" l="1"/>
  <c r="M583" i="14" s="1"/>
  <c r="M584" i="14" s="1"/>
  <c r="N581" i="14"/>
  <c r="M585" i="14" l="1"/>
  <c r="M586" i="14" s="1"/>
  <c r="M587" i="14" s="1"/>
  <c r="N584" i="14"/>
  <c r="N585" i="14" s="1"/>
  <c r="N586" i="14" s="1"/>
  <c r="N582" i="14"/>
  <c r="N583" i="14" s="1"/>
  <c r="M588" i="14" l="1"/>
  <c r="N587" i="14"/>
  <c r="M589" i="14" l="1"/>
  <c r="M590" i="14" s="1"/>
  <c r="N588" i="14"/>
  <c r="N589" i="14" s="1"/>
  <c r="M591" i="14" l="1"/>
  <c r="N590" i="14"/>
  <c r="N591" i="14" s="1"/>
  <c r="M592" i="14" l="1"/>
  <c r="M593" i="14" s="1"/>
  <c r="M594" i="14" s="1"/>
  <c r="M595" i="14" l="1"/>
  <c r="M596" i="14" s="1"/>
  <c r="M597" i="14" s="1"/>
  <c r="N594" i="14"/>
  <c r="N595" i="14" s="1"/>
  <c r="N596" i="14" s="1"/>
  <c r="N592" i="14"/>
  <c r="N593" i="14" s="1"/>
  <c r="M598" i="14" l="1"/>
  <c r="N597" i="14"/>
  <c r="N598" i="14" s="1"/>
  <c r="M599" i="14" l="1"/>
  <c r="M600" i="14" s="1"/>
  <c r="M601" i="14" s="1"/>
  <c r="M602" i="14" l="1"/>
  <c r="M603" i="14" s="1"/>
  <c r="N601" i="14"/>
  <c r="N602" i="14" s="1"/>
  <c r="N599" i="14"/>
  <c r="N600" i="14" s="1"/>
  <c r="M604" i="14" l="1"/>
  <c r="M605" i="14" s="1"/>
  <c r="N603" i="14"/>
  <c r="N604" i="14" s="1"/>
  <c r="M606" i="14" l="1"/>
  <c r="M607" i="14" s="1"/>
  <c r="M608" i="14" s="1"/>
  <c r="M609" i="14" s="1"/>
  <c r="N605" i="14"/>
  <c r="N606" i="14" s="1"/>
  <c r="N607" i="14" s="1"/>
  <c r="N608" i="14" s="1"/>
  <c r="M610" i="14" l="1"/>
  <c r="M611" i="14" s="1"/>
  <c r="M612" i="14" s="1"/>
  <c r="N609" i="14"/>
  <c r="N610" i="14" s="1"/>
  <c r="N611" i="14" s="1"/>
  <c r="M613" i="14" l="1"/>
  <c r="M614" i="14" s="1"/>
  <c r="M615" i="14" s="1"/>
  <c r="N612" i="14"/>
  <c r="N613" i="14" s="1"/>
  <c r="N614" i="14" s="1"/>
  <c r="M616" i="14" l="1"/>
  <c r="M617" i="14" s="1"/>
  <c r="N615" i="14"/>
  <c r="N616" i="14" s="1"/>
  <c r="M618" i="14" l="1"/>
  <c r="N617" i="14"/>
  <c r="M619" i="14" l="1"/>
  <c r="N618" i="14"/>
  <c r="M620" i="14" l="1"/>
  <c r="M621" i="14" s="1"/>
  <c r="M622" i="14" s="1"/>
  <c r="M623" i="14" s="1"/>
  <c r="N619" i="14"/>
  <c r="N620" i="14" s="1"/>
  <c r="N621" i="14" s="1"/>
  <c r="N622" i="14" s="1"/>
  <c r="M624" i="14" l="1"/>
  <c r="N623" i="14"/>
  <c r="M625" i="14" l="1"/>
  <c r="N624" i="14"/>
  <c r="M626" i="14" l="1"/>
  <c r="M627" i="14" s="1"/>
  <c r="M628" i="14" s="1"/>
  <c r="M629" i="14" s="1"/>
  <c r="N625" i="14"/>
  <c r="M630" i="14" l="1"/>
  <c r="M631" i="14" s="1"/>
  <c r="M632" i="14" s="1"/>
  <c r="M633" i="14" s="1"/>
  <c r="N629" i="14"/>
  <c r="N630" i="14" s="1"/>
  <c r="N631" i="14" s="1"/>
  <c r="N632" i="14" s="1"/>
  <c r="N626" i="14"/>
  <c r="N627" i="14" s="1"/>
  <c r="N628" i="14" s="1"/>
  <c r="M634" i="14" l="1"/>
  <c r="M635" i="14" s="1"/>
  <c r="M636" i="14" s="1"/>
  <c r="M637" i="14" s="1"/>
  <c r="N633" i="14"/>
  <c r="N634" i="14" s="1"/>
  <c r="N635" i="14" s="1"/>
  <c r="N636" i="14" s="1"/>
  <c r="M638" i="14" l="1"/>
  <c r="N637" i="14"/>
  <c r="M639" i="14" l="1"/>
  <c r="M640" i="14" s="1"/>
  <c r="M641" i="14" s="1"/>
  <c r="M642" i="14" s="1"/>
  <c r="N638" i="14"/>
  <c r="M643" i="14" l="1"/>
  <c r="N642" i="14"/>
  <c r="N639" i="14"/>
  <c r="N640" i="14" s="1"/>
  <c r="N641" i="14" s="1"/>
  <c r="M644" i="14" l="1"/>
  <c r="M645" i="14" s="1"/>
  <c r="N643" i="14"/>
  <c r="N644" i="14" s="1"/>
  <c r="M646" i="14" l="1"/>
  <c r="N645" i="14"/>
  <c r="M647" i="14" l="1"/>
  <c r="M648" i="14" s="1"/>
  <c r="N646" i="14"/>
  <c r="N647" i="14" s="1"/>
  <c r="M649" i="14" l="1"/>
  <c r="N648" i="14"/>
  <c r="M650" i="14" l="1"/>
  <c r="M651" i="14" s="1"/>
  <c r="N649" i="14"/>
  <c r="N650" i="14" s="1"/>
  <c r="M652" i="14" l="1"/>
  <c r="M653" i="14" s="1"/>
  <c r="M654" i="14" s="1"/>
  <c r="M655" i="14" s="1"/>
  <c r="N651" i="14"/>
  <c r="N652" i="14" l="1"/>
  <c r="N653" i="14" s="1"/>
  <c r="N654" i="14" s="1"/>
  <c r="M656" i="14"/>
  <c r="N655" i="14"/>
  <c r="M657" i="14" l="1"/>
  <c r="N656" i="14"/>
  <c r="M658" i="14" l="1"/>
  <c r="M659" i="14" s="1"/>
  <c r="M660" i="14" s="1"/>
  <c r="N657" i="14"/>
  <c r="N658" i="14" s="1"/>
  <c r="N659" i="14" s="1"/>
  <c r="M661" i="14" l="1"/>
  <c r="M662" i="14" s="1"/>
  <c r="N660" i="14"/>
  <c r="N661" i="14" s="1"/>
  <c r="M663" i="14" l="1"/>
  <c r="N662" i="14"/>
  <c r="N663" i="14" s="1"/>
  <c r="M664" i="14" l="1"/>
  <c r="M665" i="14" l="1"/>
  <c r="M666" i="14" s="1"/>
  <c r="M667" i="14" s="1"/>
  <c r="N664" i="14"/>
  <c r="M668" i="14" l="1"/>
  <c r="M669" i="14" s="1"/>
  <c r="M670" i="14" s="1"/>
  <c r="M671" i="14" s="1"/>
  <c r="N667" i="14"/>
  <c r="N665" i="14"/>
  <c r="N666" i="14" s="1"/>
  <c r="N668" i="14" l="1"/>
  <c r="N669" i="14" s="1"/>
  <c r="N670" i="14" s="1"/>
  <c r="M672" i="14"/>
  <c r="M673" i="14" s="1"/>
  <c r="M674" i="14" s="1"/>
  <c r="M675" i="14" s="1"/>
  <c r="N671" i="14"/>
  <c r="N672" i="14" s="1"/>
  <c r="N673" i="14" s="1"/>
  <c r="N674" i="14" s="1"/>
  <c r="M676" i="14" l="1"/>
  <c r="M677" i="14" s="1"/>
  <c r="M678" i="14" s="1"/>
  <c r="N675" i="14"/>
  <c r="N676" i="14" s="1"/>
  <c r="N677" i="14" s="1"/>
  <c r="M679" i="14" l="1"/>
  <c r="M680" i="14" s="1"/>
  <c r="N678" i="14"/>
  <c r="N679" i="14" s="1"/>
  <c r="M681" i="14" l="1"/>
  <c r="M682" i="14" s="1"/>
  <c r="M683" i="14" s="1"/>
  <c r="N680" i="14"/>
  <c r="N681" i="14" s="1"/>
  <c r="N682" i="14" s="1"/>
  <c r="M684" i="14" l="1"/>
  <c r="M685" i="14" s="1"/>
  <c r="M686" i="14" s="1"/>
  <c r="M687" i="14" s="1"/>
  <c r="N683" i="14"/>
  <c r="N684" i="14" s="1"/>
  <c r="N685" i="14" s="1"/>
  <c r="N686" i="14" s="1"/>
  <c r="M688" i="14" l="1"/>
  <c r="M689" i="14" s="1"/>
  <c r="M690" i="14" s="1"/>
  <c r="N687" i="14"/>
  <c r="N688" i="14" s="1"/>
  <c r="N689" i="14" s="1"/>
  <c r="M691" i="14" l="1"/>
  <c r="M692" i="14" s="1"/>
  <c r="M693" i="14" s="1"/>
  <c r="N690" i="14"/>
  <c r="N691" i="14" s="1"/>
  <c r="N692" i="14" s="1"/>
  <c r="M694" i="14" l="1"/>
  <c r="M695" i="14" s="1"/>
  <c r="M696" i="14" s="1"/>
  <c r="M697" i="14" s="1"/>
  <c r="N693" i="14"/>
  <c r="N694" i="14" s="1"/>
  <c r="N695" i="14" s="1"/>
  <c r="N696" i="14" s="1"/>
  <c r="M698" i="14" l="1"/>
  <c r="M699" i="14" s="1"/>
  <c r="M700" i="14" s="1"/>
  <c r="N697" i="14"/>
  <c r="N698" i="14" s="1"/>
  <c r="N699" i="14" s="1"/>
  <c r="M701" i="14" l="1"/>
  <c r="M702" i="14" s="1"/>
  <c r="M703" i="14" s="1"/>
  <c r="N700" i="14"/>
  <c r="N701" i="14" s="1"/>
  <c r="N702" i="14" s="1"/>
  <c r="M704" i="14" l="1"/>
  <c r="M705" i="14" s="1"/>
  <c r="M706" i="14" s="1"/>
  <c r="M707" i="14" s="1"/>
  <c r="N703" i="14"/>
  <c r="N704" i="14" s="1"/>
  <c r="N705" i="14" s="1"/>
  <c r="N706" i="14" s="1"/>
  <c r="M708" i="14" l="1"/>
  <c r="M709" i="14" s="1"/>
  <c r="N707" i="14"/>
  <c r="N708" i="14" s="1"/>
  <c r="M710" i="14" l="1"/>
  <c r="M711" i="14" s="1"/>
  <c r="M712" i="14" s="1"/>
  <c r="M713" i="14" s="1"/>
  <c r="N709" i="14"/>
  <c r="N710" i="14" s="1"/>
  <c r="N711" i="14" s="1"/>
  <c r="N712" i="14" s="1"/>
  <c r="M714" i="14" l="1"/>
  <c r="M715" i="14" s="1"/>
  <c r="M716" i="14" s="1"/>
  <c r="N713" i="14"/>
  <c r="N714" i="14" s="1"/>
  <c r="N715" i="14" s="1"/>
  <c r="M717" i="14" l="1"/>
  <c r="M718" i="14" s="1"/>
  <c r="N716" i="14"/>
  <c r="N717" i="14" s="1"/>
  <c r="M719" i="14" l="1"/>
  <c r="N718" i="14"/>
  <c r="M720" i="14" l="1"/>
  <c r="M721" i="14" s="1"/>
  <c r="N719" i="14"/>
  <c r="N720" i="14" s="1"/>
  <c r="M722" i="14" l="1"/>
  <c r="M723" i="14" s="1"/>
  <c r="N721" i="14"/>
  <c r="N722" i="14" s="1"/>
  <c r="M724" i="14" l="1"/>
  <c r="N723" i="14"/>
  <c r="M725" i="14" l="1"/>
  <c r="M726" i="14" s="1"/>
  <c r="M727" i="14" s="1"/>
  <c r="M728" i="14" s="1"/>
  <c r="N724" i="14"/>
  <c r="N725" i="14" s="1"/>
  <c r="N726" i="14" s="1"/>
  <c r="N727" i="14" s="1"/>
  <c r="M729" i="14" l="1"/>
  <c r="M730" i="14" s="1"/>
  <c r="M731" i="14" s="1"/>
  <c r="N728" i="14"/>
  <c r="N729" i="14" s="1"/>
  <c r="N730" i="14" s="1"/>
  <c r="M732" i="14" l="1"/>
  <c r="M733" i="14" s="1"/>
  <c r="N731" i="14"/>
  <c r="N732" i="14" s="1"/>
  <c r="M734" i="14" l="1"/>
  <c r="M735" i="14" s="1"/>
  <c r="M736" i="14" s="1"/>
  <c r="M737" i="14" s="1"/>
  <c r="N733" i="14"/>
  <c r="N734" i="14" s="1"/>
  <c r="N735" i="14" s="1"/>
  <c r="N736" i="14" s="1"/>
  <c r="M738" i="14" l="1"/>
  <c r="N737" i="14"/>
  <c r="M739" i="14" l="1"/>
  <c r="M740" i="14" s="1"/>
  <c r="M741" i="14" s="1"/>
  <c r="M742" i="14" s="1"/>
  <c r="N738" i="14"/>
  <c r="N739" i="14" s="1"/>
  <c r="N740" i="14" s="1"/>
  <c r="N741" i="14" s="1"/>
  <c r="M743" i="14" l="1"/>
  <c r="N742" i="14"/>
  <c r="M744" i="14" l="1"/>
  <c r="M745" i="14" s="1"/>
  <c r="N743" i="14"/>
  <c r="N744" i="14" s="1"/>
  <c r="M746" i="14" l="1"/>
  <c r="N745" i="14"/>
  <c r="M747" i="14" l="1"/>
  <c r="M748" i="14" s="1"/>
  <c r="M749" i="14" s="1"/>
  <c r="M750" i="14" s="1"/>
  <c r="N746" i="14"/>
  <c r="N747" i="14" l="1"/>
  <c r="N748" i="14" s="1"/>
  <c r="N749" i="14" s="1"/>
  <c r="M751" i="14"/>
  <c r="N750" i="14"/>
  <c r="M752" i="14" l="1"/>
  <c r="M753" i="14" s="1"/>
  <c r="M754" i="14" s="1"/>
  <c r="N751" i="14"/>
  <c r="N752" i="14" s="1"/>
  <c r="N753" i="14" s="1"/>
  <c r="M755" i="14" l="1"/>
  <c r="M756" i="14" s="1"/>
  <c r="N754" i="14"/>
  <c r="N755" i="14" s="1"/>
  <c r="M757" i="14" l="1"/>
  <c r="M758" i="14" s="1"/>
  <c r="M759" i="14" s="1"/>
  <c r="N756" i="14"/>
  <c r="N757" i="14" s="1"/>
  <c r="N758" i="14" s="1"/>
  <c r="M760" i="14" l="1"/>
  <c r="M761" i="14" s="1"/>
  <c r="N759" i="14"/>
  <c r="N760" i="14" s="1"/>
  <c r="M762" i="14" l="1"/>
  <c r="M763" i="14" s="1"/>
  <c r="N761" i="14"/>
  <c r="N762" i="14" s="1"/>
  <c r="M764" i="14" l="1"/>
  <c r="N763" i="14"/>
  <c r="M765" i="14" l="1"/>
  <c r="M766" i="14" s="1"/>
  <c r="M767" i="14" s="1"/>
  <c r="N764" i="14"/>
  <c r="N765" i="14" s="1"/>
  <c r="N766" i="14" s="1"/>
  <c r="M768" i="14" l="1"/>
  <c r="M769" i="14" s="1"/>
  <c r="M770" i="14" s="1"/>
  <c r="N767" i="14"/>
  <c r="N768" i="14" s="1"/>
  <c r="N769" i="14" s="1"/>
  <c r="M771" i="14" l="1"/>
  <c r="N770" i="14"/>
  <c r="M772" i="14" l="1"/>
  <c r="M773" i="14" s="1"/>
  <c r="N771" i="14"/>
  <c r="N772" i="14" s="1"/>
  <c r="M774" i="14" l="1"/>
  <c r="M775" i="14" s="1"/>
  <c r="M776" i="14" s="1"/>
  <c r="M777" i="14" s="1"/>
  <c r="N773" i="14"/>
  <c r="N774" i="14" s="1"/>
  <c r="N775" i="14" s="1"/>
  <c r="N776" i="14" s="1"/>
  <c r="M778" i="14" l="1"/>
  <c r="M779" i="14" s="1"/>
  <c r="M780" i="14" s="1"/>
  <c r="N777" i="14"/>
  <c r="N778" i="14" s="1"/>
  <c r="N779" i="14" s="1"/>
  <c r="M781" i="14" l="1"/>
  <c r="M782" i="14" s="1"/>
  <c r="N780" i="14"/>
  <c r="N781" i="14" s="1"/>
  <c r="M783" i="14" l="1"/>
  <c r="M784" i="14" s="1"/>
  <c r="M785" i="14" s="1"/>
  <c r="M786" i="14" s="1"/>
  <c r="N782" i="14"/>
  <c r="N783" i="14" s="1"/>
  <c r="N784" i="14" s="1"/>
  <c r="N785" i="14" s="1"/>
  <c r="M787" i="14" l="1"/>
  <c r="M788" i="14" s="1"/>
  <c r="M789" i="14" s="1"/>
  <c r="N786" i="14"/>
  <c r="N787" i="14" s="1"/>
  <c r="N788" i="14" s="1"/>
  <c r="M790" i="14" l="1"/>
  <c r="M791" i="14" s="1"/>
  <c r="M792" i="14" s="1"/>
  <c r="N789" i="14"/>
  <c r="N790" i="14" s="1"/>
  <c r="N791" i="14" s="1"/>
  <c r="M793" i="14" l="1"/>
  <c r="M794" i="14" s="1"/>
  <c r="M795" i="14" s="1"/>
  <c r="M796" i="14" s="1"/>
  <c r="N792" i="14"/>
  <c r="N793" i="14" s="1"/>
  <c r="N794" i="14" s="1"/>
  <c r="N795" i="14" s="1"/>
  <c r="M797" i="14" l="1"/>
  <c r="M798" i="14" s="1"/>
  <c r="M799" i="14" s="1"/>
  <c r="M800" i="14" s="1"/>
  <c r="N796" i="14"/>
  <c r="N797" i="14" s="1"/>
  <c r="N798" i="14" s="1"/>
  <c r="N799" i="14" s="1"/>
  <c r="M801" i="14" l="1"/>
  <c r="M802" i="14" s="1"/>
  <c r="N800" i="14"/>
  <c r="N801" i="14" s="1"/>
  <c r="M803" i="14" l="1"/>
  <c r="N802" i="14"/>
  <c r="M804" i="14" l="1"/>
  <c r="M805" i="14" s="1"/>
  <c r="M806" i="14" s="1"/>
  <c r="N803" i="14"/>
  <c r="N804" i="14" s="1"/>
  <c r="N805" i="14" s="1"/>
  <c r="M807" i="14" l="1"/>
  <c r="M808" i="14" s="1"/>
  <c r="M809" i="14" s="1"/>
  <c r="N806" i="14"/>
  <c r="N807" i="14" s="1"/>
  <c r="N808" i="14" s="1"/>
  <c r="M810" i="14" l="1"/>
  <c r="M811" i="14" s="1"/>
  <c r="M812" i="14" s="1"/>
  <c r="M813" i="14" s="1"/>
  <c r="N809" i="14"/>
  <c r="N810" i="14" s="1"/>
  <c r="N811" i="14" s="1"/>
  <c r="N812" i="14" s="1"/>
  <c r="M814" i="14" l="1"/>
  <c r="M815" i="14" s="1"/>
  <c r="M816" i="14" s="1"/>
  <c r="M817" i="14" s="1"/>
  <c r="N813" i="14"/>
  <c r="N814" i="14" s="1"/>
  <c r="N815" i="14" s="1"/>
  <c r="N816" i="14" s="1"/>
  <c r="M818" i="14" l="1"/>
  <c r="M819" i="14" s="1"/>
  <c r="M820" i="14" s="1"/>
  <c r="N817" i="14"/>
  <c r="N818" i="14" s="1"/>
  <c r="N819" i="14" s="1"/>
  <c r="M821" i="14" l="1"/>
  <c r="M822" i="14" s="1"/>
  <c r="M823" i="14" s="1"/>
  <c r="N820" i="14"/>
  <c r="N821" i="14" s="1"/>
  <c r="N822" i="14" s="1"/>
  <c r="M824" i="14" l="1"/>
  <c r="N823" i="14"/>
  <c r="M825" i="14" l="1"/>
  <c r="M826" i="14" s="1"/>
  <c r="N824" i="14"/>
  <c r="N825" i="14" s="1"/>
  <c r="M827" i="14" l="1"/>
  <c r="N826" i="14"/>
  <c r="N827" i="14" s="1"/>
  <c r="M828" i="14" l="1"/>
  <c r="M829" i="14" l="1"/>
  <c r="M830" i="14" s="1"/>
  <c r="N828" i="14"/>
  <c r="N829" i="14" s="1"/>
  <c r="M831" i="14" l="1"/>
  <c r="N830" i="14"/>
  <c r="M832" i="14" l="1"/>
  <c r="N831" i="14"/>
  <c r="N832" i="14" s="1"/>
  <c r="M833" i="14" l="1"/>
  <c r="M834" i="14" s="1"/>
  <c r="M835" i="14" s="1"/>
  <c r="M836" i="14" l="1"/>
  <c r="M837" i="14" s="1"/>
  <c r="M838" i="14" s="1"/>
  <c r="N835" i="14"/>
  <c r="N836" i="14" s="1"/>
  <c r="N837" i="14" s="1"/>
  <c r="N833" i="14"/>
  <c r="N834" i="14" s="1"/>
  <c r="M839" i="14" l="1"/>
  <c r="N838" i="14"/>
  <c r="M840" i="14" l="1"/>
  <c r="M841" i="14" s="1"/>
  <c r="M842" i="14" s="1"/>
  <c r="N839" i="14"/>
  <c r="N840" i="14" s="1"/>
  <c r="N841" i="14" s="1"/>
  <c r="M843" i="14" l="1"/>
  <c r="M844" i="14" s="1"/>
  <c r="M845" i="14" s="1"/>
  <c r="N842" i="14"/>
  <c r="N843" i="14" s="1"/>
  <c r="N844" i="14" s="1"/>
  <c r="M846" i="14" l="1"/>
  <c r="M847" i="14" s="1"/>
  <c r="N845" i="14"/>
  <c r="N846" i="14" s="1"/>
  <c r="M848" i="14" l="1"/>
  <c r="M849" i="14" s="1"/>
  <c r="M850" i="14" s="1"/>
  <c r="N847" i="14"/>
  <c r="N848" i="14" s="1"/>
  <c r="N849" i="14" s="1"/>
  <c r="M851" i="14" l="1"/>
  <c r="N850" i="14"/>
  <c r="M852" i="14" l="1"/>
  <c r="M853" i="14" s="1"/>
  <c r="M854" i="14" s="1"/>
  <c r="M855" i="14" s="1"/>
  <c r="N851" i="14"/>
  <c r="N852" i="14" s="1"/>
  <c r="N853" i="14" s="1"/>
  <c r="N854" i="14" s="1"/>
  <c r="M856" i="14" l="1"/>
  <c r="N855" i="14"/>
  <c r="M857" i="14" l="1"/>
  <c r="M858" i="14" s="1"/>
  <c r="M859" i="14" s="1"/>
  <c r="N856" i="14"/>
  <c r="N857" i="14" s="1"/>
  <c r="N858" i="14" s="1"/>
  <c r="M860" i="14" l="1"/>
  <c r="M861" i="14" s="1"/>
  <c r="N859" i="14"/>
  <c r="N860" i="14" s="1"/>
  <c r="M862" i="14" l="1"/>
  <c r="M863" i="14" s="1"/>
  <c r="M864" i="14" s="1"/>
  <c r="M865" i="14" s="1"/>
  <c r="N861" i="14"/>
  <c r="N862" i="14" s="1"/>
  <c r="N863" i="14" s="1"/>
  <c r="N864" i="14" s="1"/>
  <c r="M866" i="14" l="1"/>
  <c r="M867" i="14" s="1"/>
  <c r="N865" i="14"/>
  <c r="N866" i="14" s="1"/>
  <c r="M868" i="14" l="1"/>
  <c r="M869" i="14" s="1"/>
  <c r="M870" i="14" s="1"/>
  <c r="M871" i="14" s="1"/>
  <c r="N867" i="14"/>
  <c r="N868" i="14" s="1"/>
  <c r="N869" i="14" s="1"/>
  <c r="N870" i="14" s="1"/>
  <c r="M872" i="14" l="1"/>
  <c r="N871" i="14"/>
  <c r="M873" i="14" l="1"/>
  <c r="N872" i="14"/>
  <c r="M874" i="14" l="1"/>
  <c r="M875" i="14" s="1"/>
  <c r="N873" i="14"/>
  <c r="N874" i="14" s="1"/>
  <c r="M876" i="14" l="1"/>
  <c r="M877" i="14" s="1"/>
  <c r="N875" i="14"/>
  <c r="N876" i="14" s="1"/>
  <c r="M878" i="14" l="1"/>
  <c r="M879" i="14" s="1"/>
  <c r="M880" i="14" s="1"/>
  <c r="M881" i="14" s="1"/>
  <c r="N877" i="14"/>
  <c r="N878" i="14" s="1"/>
  <c r="N879" i="14" s="1"/>
  <c r="N880" i="14" s="1"/>
  <c r="M882" i="14" l="1"/>
  <c r="M883" i="14" s="1"/>
  <c r="N881" i="14"/>
  <c r="N882" i="14" s="1"/>
  <c r="M884" i="14" l="1"/>
  <c r="M885" i="14" s="1"/>
  <c r="M886" i="14" s="1"/>
  <c r="M887" i="14" s="1"/>
  <c r="N883" i="14"/>
  <c r="N884" i="14" s="1"/>
  <c r="N885" i="14" s="1"/>
  <c r="N886" i="14" s="1"/>
  <c r="M888" i="14" l="1"/>
  <c r="N887" i="14"/>
  <c r="N888" i="14" s="1"/>
  <c r="M889" i="14" l="1"/>
  <c r="M890" i="14" s="1"/>
  <c r="M891" i="14" s="1"/>
  <c r="M892" i="14" l="1"/>
  <c r="M893" i="14" s="1"/>
  <c r="M894" i="14" s="1"/>
  <c r="N891" i="14"/>
  <c r="N892" i="14" s="1"/>
  <c r="N893" i="14" s="1"/>
  <c r="N889" i="14"/>
  <c r="N890" i="14" s="1"/>
  <c r="M895" i="14" l="1"/>
  <c r="N894" i="14"/>
  <c r="M896" i="14" l="1"/>
  <c r="M897" i="14" s="1"/>
  <c r="M898" i="14" s="1"/>
  <c r="M899" i="14" s="1"/>
  <c r="N895" i="14"/>
  <c r="N896" i="14" s="1"/>
  <c r="N897" i="14" s="1"/>
  <c r="N898" i="14" s="1"/>
  <c r="M900" i="14" l="1"/>
  <c r="M901" i="14" s="1"/>
  <c r="M902" i="14" s="1"/>
  <c r="M903" i="14" s="1"/>
  <c r="N899" i="14"/>
  <c r="N900" i="14" s="1"/>
  <c r="N901" i="14" s="1"/>
  <c r="N902" i="14" s="1"/>
  <c r="M904" i="14" l="1"/>
  <c r="M905" i="14" s="1"/>
  <c r="M906" i="14" s="1"/>
  <c r="N903" i="14"/>
  <c r="N904" i="14" s="1"/>
  <c r="N905" i="14" s="1"/>
  <c r="M907" i="14" l="1"/>
  <c r="M908" i="14" s="1"/>
  <c r="M909" i="14" s="1"/>
  <c r="N906" i="14"/>
  <c r="N907" i="14" s="1"/>
  <c r="N908" i="14" s="1"/>
  <c r="M910" i="14" l="1"/>
  <c r="M911" i="14" s="1"/>
  <c r="M912" i="14" s="1"/>
  <c r="M913" i="14" s="1"/>
  <c r="N909" i="14"/>
  <c r="N910" i="14" s="1"/>
  <c r="N911" i="14" s="1"/>
  <c r="N912" i="14" s="1"/>
  <c r="M914" i="14" l="1"/>
  <c r="M915" i="14" s="1"/>
  <c r="M916" i="14" s="1"/>
  <c r="M917" i="14" s="1"/>
  <c r="N913" i="14"/>
  <c r="N914" i="14" s="1"/>
  <c r="N915" i="14" s="1"/>
  <c r="N916" i="14" s="1"/>
  <c r="M918" i="14" l="1"/>
  <c r="M919" i="14" s="1"/>
  <c r="N917" i="14"/>
  <c r="N918" i="14" s="1"/>
  <c r="M920" i="14" l="1"/>
  <c r="M921" i="14" s="1"/>
  <c r="N919" i="14"/>
  <c r="N920" i="14" s="1"/>
  <c r="M922" i="14" l="1"/>
  <c r="M923" i="14" s="1"/>
  <c r="M924" i="14" s="1"/>
  <c r="M925" i="14" s="1"/>
  <c r="N921" i="14"/>
  <c r="N922" i="14" s="1"/>
  <c r="N923" i="14" s="1"/>
  <c r="N924" i="14" s="1"/>
  <c r="M926" i="14" l="1"/>
  <c r="M927" i="14" s="1"/>
  <c r="M928" i="14" s="1"/>
  <c r="M929" i="14" s="1"/>
  <c r="N925" i="14"/>
  <c r="N926" i="14" s="1"/>
  <c r="N927" i="14" s="1"/>
  <c r="N928" i="14" s="1"/>
  <c r="M930" i="14" l="1"/>
  <c r="M931" i="14" s="1"/>
  <c r="M932" i="14" s="1"/>
  <c r="N929" i="14"/>
  <c r="N930" i="14" s="1"/>
  <c r="N931" i="14" s="1"/>
  <c r="M933" i="14" l="1"/>
  <c r="M934" i="14" s="1"/>
  <c r="M935" i="14" s="1"/>
  <c r="M936" i="14" s="1"/>
  <c r="N932" i="14"/>
  <c r="N933" i="14" s="1"/>
  <c r="N934" i="14" s="1"/>
  <c r="N935" i="14" s="1"/>
  <c r="M937" i="14" l="1"/>
  <c r="N936" i="14"/>
  <c r="M938" i="14" l="1"/>
  <c r="M939" i="14" s="1"/>
  <c r="N937" i="14"/>
  <c r="N938" i="14" s="1"/>
  <c r="M940" i="14" l="1"/>
  <c r="M941" i="14" s="1"/>
  <c r="M942" i="14" s="1"/>
  <c r="M943" i="14" s="1"/>
  <c r="N939" i="14"/>
  <c r="N940" i="14" s="1"/>
  <c r="N941" i="14" s="1"/>
  <c r="N942" i="14" s="1"/>
  <c r="M944" i="14" l="1"/>
  <c r="M945" i="14" s="1"/>
  <c r="M946" i="14" s="1"/>
  <c r="M947" i="14" s="1"/>
  <c r="N943" i="14"/>
  <c r="N944" i="14" s="1"/>
  <c r="N945" i="14" s="1"/>
  <c r="N946" i="14" s="1"/>
  <c r="M948" i="14" l="1"/>
  <c r="M949" i="14" s="1"/>
  <c r="M950" i="14" s="1"/>
  <c r="N947" i="14"/>
  <c r="N948" i="14" s="1"/>
  <c r="N949" i="14" s="1"/>
  <c r="M951" i="14" l="1"/>
  <c r="M952" i="14" s="1"/>
  <c r="M953" i="14" s="1"/>
  <c r="N950" i="14"/>
  <c r="N951" i="14" s="1"/>
  <c r="N952" i="14" s="1"/>
  <c r="M954" i="14" l="1"/>
  <c r="M955" i="14" s="1"/>
  <c r="N953" i="14"/>
  <c r="N954" i="14" s="1"/>
  <c r="M956" i="14" l="1"/>
  <c r="N955" i="14"/>
  <c r="M957" i="14" l="1"/>
  <c r="M958" i="14" s="1"/>
  <c r="M959" i="14" s="1"/>
  <c r="M960" i="14" s="1"/>
  <c r="N956" i="14"/>
  <c r="N957" i="14" s="1"/>
  <c r="N958" i="14" s="1"/>
  <c r="N959" i="14" s="1"/>
  <c r="M961" i="14" l="1"/>
  <c r="N960" i="14"/>
  <c r="M962" i="14" l="1"/>
  <c r="M963" i="14" s="1"/>
  <c r="M964" i="14" s="1"/>
  <c r="N961" i="14"/>
  <c r="N962" i="14" s="1"/>
  <c r="N963" i="14" s="1"/>
  <c r="M965" i="14" l="1"/>
  <c r="M966" i="14" s="1"/>
  <c r="M967" i="14" s="1"/>
  <c r="N964" i="14"/>
  <c r="N965" i="14" s="1"/>
  <c r="N966" i="14" s="1"/>
  <c r="M968" i="14" l="1"/>
  <c r="M969" i="14" s="1"/>
  <c r="N967" i="14"/>
  <c r="N968" i="14" s="1"/>
  <c r="M970" i="14" l="1"/>
  <c r="N969" i="14"/>
  <c r="M971" i="14" l="1"/>
  <c r="M972" i="14" s="1"/>
  <c r="M973" i="14" s="1"/>
  <c r="M974" i="14" s="1"/>
  <c r="N970" i="14"/>
  <c r="N971" i="14" s="1"/>
  <c r="N972" i="14" s="1"/>
  <c r="N973" i="14" s="1"/>
  <c r="M975" i="14" l="1"/>
  <c r="M976" i="14" s="1"/>
  <c r="M977" i="14" s="1"/>
  <c r="N974" i="14"/>
  <c r="N975" i="14" s="1"/>
  <c r="N976" i="14" s="1"/>
  <c r="M978" i="14" l="1"/>
  <c r="M979" i="14" s="1"/>
  <c r="M980" i="14" s="1"/>
  <c r="N977" i="14"/>
  <c r="N978" i="14" s="1"/>
  <c r="N979" i="14" s="1"/>
  <c r="M981" i="14" l="1"/>
  <c r="N980" i="14"/>
  <c r="M982" i="14" l="1"/>
  <c r="M983" i="14" s="1"/>
  <c r="M984" i="14" s="1"/>
  <c r="M985" i="14" s="1"/>
  <c r="N981" i="14"/>
  <c r="N982" i="14" s="1"/>
  <c r="N983" i="14" s="1"/>
  <c r="N984" i="14" s="1"/>
  <c r="M986" i="14" l="1"/>
  <c r="M987" i="14" s="1"/>
  <c r="M988" i="14" s="1"/>
  <c r="N985" i="14"/>
  <c r="N986" i="14" s="1"/>
  <c r="N987" i="14" s="1"/>
  <c r="M989" i="14" l="1"/>
  <c r="M990" i="14" s="1"/>
  <c r="N988" i="14"/>
  <c r="N989" i="14" s="1"/>
  <c r="M991" i="14" l="1"/>
  <c r="M992" i="14" s="1"/>
  <c r="N990" i="14"/>
  <c r="N991" i="14" s="1"/>
  <c r="M993" i="14" l="1"/>
  <c r="M994" i="14" s="1"/>
  <c r="M995" i="14" s="1"/>
  <c r="N992" i="14"/>
  <c r="N993" i="14" s="1"/>
  <c r="N994" i="14" s="1"/>
  <c r="N995" i="14" s="1"/>
  <c r="M996" i="14" l="1"/>
  <c r="M997" i="14" l="1"/>
  <c r="M998" i="14" s="1"/>
  <c r="N996" i="14"/>
  <c r="N997" i="14" s="1"/>
  <c r="M999" i="14" l="1"/>
  <c r="M1000" i="14" s="1"/>
  <c r="M1001" i="14" s="1"/>
  <c r="M1002" i="14" s="1"/>
  <c r="N998" i="14"/>
  <c r="N999" i="14" s="1"/>
  <c r="N1000" i="14" s="1"/>
  <c r="N1001" i="14" s="1"/>
  <c r="M1003" i="14" l="1"/>
  <c r="M1004" i="14" s="1"/>
  <c r="M1005" i="14" s="1"/>
  <c r="M1006" i="14" s="1"/>
  <c r="N1002" i="14"/>
  <c r="N1003" i="14" s="1"/>
  <c r="N1004" i="14" s="1"/>
  <c r="N1005" i="14" s="1"/>
  <c r="M1007" i="14" l="1"/>
  <c r="M1008" i="14" s="1"/>
  <c r="M1009" i="14" s="1"/>
  <c r="N1006" i="14"/>
  <c r="N1007" i="14" s="1"/>
  <c r="N1008" i="14" s="1"/>
  <c r="M1010" i="14" l="1"/>
  <c r="M1011" i="14" s="1"/>
  <c r="N1009" i="14"/>
  <c r="N1010" i="14" s="1"/>
  <c r="M1012" i="14" l="1"/>
  <c r="N1011" i="14"/>
  <c r="M1013" i="14" l="1"/>
  <c r="M1014" i="14" s="1"/>
  <c r="N1012" i="14"/>
  <c r="N1013" i="14" s="1"/>
  <c r="M1015" i="14" l="1"/>
  <c r="M1016" i="14" s="1"/>
  <c r="M1017" i="14" s="1"/>
  <c r="N1014" i="14"/>
  <c r="N1015" i="14" s="1"/>
  <c r="N1016" i="14" s="1"/>
  <c r="M1018" i="14" l="1"/>
  <c r="M1019" i="14" s="1"/>
  <c r="N1017" i="14"/>
  <c r="N1018" i="14" s="1"/>
  <c r="N1019" i="14" s="1"/>
  <c r="M1020" i="14" l="1"/>
  <c r="M1021" i="14" l="1"/>
  <c r="M1022" i="14" s="1"/>
  <c r="M1023" i="14" s="1"/>
  <c r="M1024" i="14" s="1"/>
  <c r="N1020" i="14"/>
  <c r="N1021" i="14" s="1"/>
  <c r="N1022" i="14" s="1"/>
  <c r="N1023" i="14" s="1"/>
  <c r="M1025" i="14" l="1"/>
  <c r="M1026" i="14" s="1"/>
  <c r="N1024" i="14"/>
  <c r="N1025" i="14" s="1"/>
  <c r="M1027" i="14" l="1"/>
  <c r="M1028" i="14" s="1"/>
  <c r="M1029" i="14" s="1"/>
  <c r="M1030" i="14" s="1"/>
  <c r="N1026" i="14"/>
  <c r="N1027" i="14" s="1"/>
  <c r="N1028" i="14" s="1"/>
  <c r="N1029" i="14" s="1"/>
  <c r="M1031" i="14" l="1"/>
  <c r="M1032" i="14" s="1"/>
  <c r="M1033" i="14" s="1"/>
  <c r="M1034" i="14" s="1"/>
  <c r="N1030" i="14"/>
  <c r="N1031" i="14" s="1"/>
  <c r="N1032" i="14" s="1"/>
  <c r="N1033" i="14" s="1"/>
  <c r="M1035" i="14" l="1"/>
  <c r="N1034" i="14"/>
  <c r="N1035" i="14" s="1"/>
  <c r="M1036" i="14" l="1"/>
  <c r="M1037" i="14" s="1"/>
  <c r="M1038" i="14" s="1"/>
  <c r="M1039" i="14" l="1"/>
  <c r="M1040" i="14" s="1"/>
  <c r="M1041" i="14" s="1"/>
  <c r="N1038" i="14"/>
  <c r="N1039" i="14" s="1"/>
  <c r="N1040" i="14" s="1"/>
  <c r="N1036" i="14"/>
  <c r="N1037" i="14" s="1"/>
  <c r="M1042" i="14" l="1"/>
  <c r="M1043" i="14" s="1"/>
  <c r="M1044" i="14" s="1"/>
  <c r="N1041" i="14"/>
  <c r="N1042" i="14" s="1"/>
  <c r="N1043" i="14" s="1"/>
  <c r="M1045" i="14" l="1"/>
  <c r="M1046" i="14" s="1"/>
  <c r="M1047" i="14" s="1"/>
  <c r="M1048" i="14" s="1"/>
  <c r="N1044" i="14"/>
  <c r="N1045" i="14" s="1"/>
  <c r="N1046" i="14" s="1"/>
  <c r="N1047" i="14" s="1"/>
  <c r="M1049" i="14" l="1"/>
  <c r="N1048" i="14"/>
  <c r="M1050" i="14" l="1"/>
  <c r="M1051" i="14" s="1"/>
  <c r="M1052" i="14" s="1"/>
  <c r="N1049" i="14"/>
  <c r="N1050" i="14" s="1"/>
  <c r="N1051" i="14" s="1"/>
  <c r="M1053" i="14" l="1"/>
  <c r="M1054" i="14" s="1"/>
  <c r="M1055" i="14" s="1"/>
  <c r="N1052" i="14"/>
  <c r="N1053" i="14" s="1"/>
  <c r="N1054" i="14" s="1"/>
  <c r="M1056" i="14" l="1"/>
  <c r="M1057" i="14" s="1"/>
  <c r="M1058" i="14" s="1"/>
  <c r="N1055" i="14"/>
  <c r="N1056" i="14" s="1"/>
  <c r="N1057" i="14" s="1"/>
  <c r="M1059" i="14" l="1"/>
  <c r="M1060" i="14" s="1"/>
  <c r="M1061" i="14" s="1"/>
  <c r="M1062" i="14" s="1"/>
  <c r="N1058" i="14"/>
  <c r="N1059" i="14" s="1"/>
  <c r="N1060" i="14" s="1"/>
  <c r="N1061" i="14" s="1"/>
  <c r="M1063" i="14" l="1"/>
  <c r="N1062" i="14"/>
  <c r="M1064" i="14" l="1"/>
  <c r="M1065" i="14" s="1"/>
  <c r="N1063" i="14"/>
  <c r="N1064" i="14" s="1"/>
  <c r="M1066" i="14" l="1"/>
  <c r="M1067" i="14" s="1"/>
  <c r="M1068" i="14" s="1"/>
  <c r="M1069" i="14" s="1"/>
  <c r="N1065" i="14"/>
  <c r="N1066" i="14" s="1"/>
  <c r="N1067" i="14" s="1"/>
  <c r="N1068" i="14" s="1"/>
  <c r="M1070" i="14" l="1"/>
  <c r="M1071" i="14" s="1"/>
  <c r="N1069" i="14"/>
  <c r="N1070" i="14" s="1"/>
  <c r="M1072" i="14" l="1"/>
  <c r="N1071" i="14"/>
  <c r="M1073" i="14" l="1"/>
  <c r="M1074" i="14" s="1"/>
  <c r="N1072" i="14"/>
  <c r="N1073" i="14" s="1"/>
  <c r="M1075" i="14" l="1"/>
  <c r="N1074" i="14"/>
  <c r="M1076" i="14" l="1"/>
  <c r="M1077" i="14" s="1"/>
  <c r="N1075" i="14"/>
  <c r="N1076" i="14" s="1"/>
  <c r="M1078" i="14" l="1"/>
  <c r="M1079" i="14" s="1"/>
  <c r="M1080" i="14" s="1"/>
  <c r="M1081" i="14" s="1"/>
  <c r="N1077" i="14"/>
  <c r="N1078" i="14" s="1"/>
  <c r="N1079" i="14" s="1"/>
  <c r="N1080" i="14" s="1"/>
  <c r="M1082" i="14" l="1"/>
  <c r="M1083" i="14" s="1"/>
  <c r="N1081" i="14"/>
  <c r="N1082" i="14" s="1"/>
  <c r="M1084" i="14" l="1"/>
  <c r="N1083" i="14"/>
  <c r="M1085" i="14" l="1"/>
  <c r="M1086" i="14" s="1"/>
  <c r="M1087" i="14" s="1"/>
  <c r="N1084" i="14"/>
  <c r="N1085" i="14" s="1"/>
  <c r="N1086" i="14" s="1"/>
  <c r="M1088" i="14" l="1"/>
  <c r="M1089" i="14" s="1"/>
  <c r="M1090" i="14" s="1"/>
  <c r="N1087" i="14"/>
  <c r="N1088" i="14" s="1"/>
  <c r="N1089" i="14" s="1"/>
  <c r="M1091" i="14" l="1"/>
  <c r="N1090" i="14"/>
  <c r="M1092" i="14" l="1"/>
  <c r="N1091" i="14"/>
  <c r="M1093" i="14" l="1"/>
  <c r="N1092" i="14"/>
  <c r="M1094" i="14" l="1"/>
  <c r="N1093" i="14"/>
  <c r="M1095" i="14" l="1"/>
  <c r="N1094" i="14"/>
  <c r="M1096" i="14" l="1"/>
  <c r="N1095" i="14"/>
  <c r="M1097" i="14" l="1"/>
  <c r="M1098" i="14" s="1"/>
  <c r="N1096" i="14"/>
  <c r="N1097" i="14" s="1"/>
  <c r="M1099" i="14" l="1"/>
  <c r="M1100" i="14" s="1"/>
  <c r="M1101" i="14" s="1"/>
  <c r="M1102" i="14" s="1"/>
  <c r="N1098" i="14"/>
  <c r="N1099" i="14" s="1"/>
  <c r="N1100" i="14" s="1"/>
  <c r="N1101" i="14" s="1"/>
  <c r="M1103" i="14" l="1"/>
  <c r="M1104" i="14" s="1"/>
  <c r="M1105" i="14" s="1"/>
  <c r="M1106" i="14" s="1"/>
  <c r="N1102" i="14"/>
  <c r="N1103" i="14" s="1"/>
  <c r="N1104" i="14" s="1"/>
  <c r="N1105" i="14" s="1"/>
  <c r="M1107" i="14" l="1"/>
  <c r="M1108" i="14" s="1"/>
  <c r="N1106" i="14"/>
  <c r="N1107" i="14" s="1"/>
  <c r="M1109" i="14" l="1"/>
  <c r="M1110" i="14" s="1"/>
  <c r="M1111" i="14" s="1"/>
  <c r="M1112" i="14" s="1"/>
  <c r="N1108" i="14"/>
  <c r="N1109" i="14" s="1"/>
  <c r="N1110" i="14" s="1"/>
  <c r="N1111" i="14" s="1"/>
  <c r="M1113" i="14" l="1"/>
  <c r="N1112" i="14"/>
  <c r="M1114" i="14" l="1"/>
  <c r="M1115" i="14" s="1"/>
  <c r="N1113" i="14"/>
  <c r="N1114" i="14" s="1"/>
  <c r="M1116" i="14" l="1"/>
  <c r="M1117" i="14" s="1"/>
  <c r="M1118" i="14" s="1"/>
  <c r="N1115" i="14"/>
  <c r="N1116" i="14" s="1"/>
  <c r="N1117" i="14" s="1"/>
  <c r="M1119" i="14" l="1"/>
  <c r="N1118" i="14"/>
  <c r="M1120" i="14" l="1"/>
  <c r="N1119" i="14"/>
  <c r="M1121" i="14" l="1"/>
  <c r="M1122" i="14" s="1"/>
  <c r="M1123" i="14" s="1"/>
  <c r="N1120" i="14"/>
  <c r="N1121" i="14" s="1"/>
  <c r="N1122" i="14" s="1"/>
  <c r="M1124" i="14" l="1"/>
  <c r="N1123" i="14"/>
  <c r="M1125" i="14" l="1"/>
  <c r="M1126" i="14" s="1"/>
  <c r="M1127" i="14" s="1"/>
  <c r="N1124" i="14"/>
  <c r="N1125" i="14" s="1"/>
  <c r="N1126" i="14" s="1"/>
  <c r="M1128" i="14" l="1"/>
  <c r="M1129" i="14" s="1"/>
  <c r="M1130" i="14" s="1"/>
  <c r="M1131" i="14" s="1"/>
  <c r="N1127" i="14"/>
  <c r="N1128" i="14" s="1"/>
  <c r="N1129" i="14" s="1"/>
  <c r="N1130" i="14" s="1"/>
  <c r="M1132" i="14" l="1"/>
  <c r="N1131" i="14"/>
  <c r="N1132" i="14" s="1"/>
  <c r="M1133" i="14" l="1"/>
  <c r="M1134" i="14" s="1"/>
  <c r="M1135" i="14" s="1"/>
  <c r="M1136" i="14" l="1"/>
  <c r="M1137" i="14" s="1"/>
  <c r="N1135" i="14"/>
  <c r="N1136" i="14" s="1"/>
  <c r="N1133" i="14"/>
  <c r="N1134" i="14" s="1"/>
  <c r="M1138" i="14" l="1"/>
  <c r="M1139" i="14" s="1"/>
  <c r="M1140" i="14" s="1"/>
  <c r="M1141" i="14" s="1"/>
  <c r="N1137" i="14"/>
  <c r="N1138" i="14" s="1"/>
  <c r="N1139" i="14" s="1"/>
  <c r="N1140" i="14" s="1"/>
  <c r="M1142" i="14" l="1"/>
  <c r="M1143" i="14" s="1"/>
  <c r="M1144" i="14" s="1"/>
  <c r="N1141" i="14"/>
  <c r="N1142" i="14" s="1"/>
  <c r="N1143" i="14" s="1"/>
  <c r="M1145" i="14" l="1"/>
  <c r="N1144" i="14"/>
  <c r="M1146" i="14" l="1"/>
  <c r="M1147" i="14" s="1"/>
  <c r="M1148" i="14" s="1"/>
  <c r="M1149" i="14" s="1"/>
  <c r="N1145" i="14"/>
  <c r="N1146" i="14" s="1"/>
  <c r="N1147" i="14" s="1"/>
  <c r="N1148" i="14" s="1"/>
  <c r="M1150" i="14" l="1"/>
  <c r="M1151" i="14" s="1"/>
  <c r="N1149" i="14"/>
  <c r="N1150" i="14" s="1"/>
  <c r="M1152" i="14" l="1"/>
  <c r="M1153" i="14" s="1"/>
  <c r="M1154" i="14" s="1"/>
  <c r="N1151" i="14"/>
  <c r="N1152" i="14" s="1"/>
  <c r="N1153" i="14" s="1"/>
  <c r="M1155" i="14" l="1"/>
  <c r="N1154" i="14"/>
  <c r="M1156" i="14" l="1"/>
  <c r="M1157" i="14" s="1"/>
  <c r="M1158" i="14" s="1"/>
  <c r="M1159" i="14" s="1"/>
  <c r="N1155" i="14"/>
  <c r="N1156" i="14" s="1"/>
  <c r="N1157" i="14" s="1"/>
  <c r="N1158" i="14" s="1"/>
  <c r="M1160" i="14" l="1"/>
  <c r="M1161" i="14" s="1"/>
  <c r="M1162" i="14" s="1"/>
  <c r="N1159" i="14"/>
  <c r="N1160" i="14" s="1"/>
  <c r="N1161" i="14" s="1"/>
  <c r="M1163" i="14" l="1"/>
  <c r="M1164" i="14" s="1"/>
  <c r="N1162" i="14"/>
  <c r="N1163" i="14" s="1"/>
  <c r="M1165" i="14" l="1"/>
  <c r="N1164" i="14"/>
  <c r="M1166" i="14" l="1"/>
  <c r="M1167" i="14" s="1"/>
  <c r="N1165" i="14"/>
  <c r="N1166" i="14" s="1"/>
  <c r="M1168" i="14" l="1"/>
  <c r="M1169" i="14" s="1"/>
  <c r="M1170" i="14" s="1"/>
  <c r="M1171" i="14" s="1"/>
  <c r="N1167" i="14"/>
  <c r="N1168" i="14" s="1"/>
  <c r="N1169" i="14" s="1"/>
  <c r="N1170" i="14" s="1"/>
  <c r="M1172" i="14" l="1"/>
  <c r="M1173" i="14" s="1"/>
  <c r="M1174" i="14" s="1"/>
  <c r="M1175" i="14" s="1"/>
  <c r="N1171" i="14"/>
  <c r="N1172" i="14" s="1"/>
  <c r="N1173" i="14" s="1"/>
  <c r="N1174" i="14" s="1"/>
  <c r="M1176" i="14" l="1"/>
  <c r="M1177" i="14" s="1"/>
  <c r="M1178" i="14" s="1"/>
  <c r="M1179" i="14" s="1"/>
  <c r="N1175" i="14"/>
  <c r="N1176" i="14" s="1"/>
  <c r="N1177" i="14" s="1"/>
  <c r="N1178" i="14" s="1"/>
  <c r="M1180" i="14" l="1"/>
  <c r="N1179" i="14"/>
  <c r="M1181" i="14" l="1"/>
  <c r="M1182" i="14" s="1"/>
  <c r="N1180" i="14"/>
  <c r="N1181" i="14" s="1"/>
  <c r="M1183" i="14" l="1"/>
  <c r="M1184" i="14" s="1"/>
  <c r="M1185" i="14" s="1"/>
  <c r="N1182" i="14"/>
  <c r="N1183" i="14" s="1"/>
  <c r="N1184" i="14" s="1"/>
  <c r="M1186" i="14" l="1"/>
  <c r="N1185" i="14"/>
  <c r="M1187" i="14" l="1"/>
  <c r="M1188" i="14" s="1"/>
  <c r="M1189" i="14" s="1"/>
  <c r="M1190" i="14" s="1"/>
  <c r="N1186" i="14"/>
  <c r="N1187" i="14" s="1"/>
  <c r="N1188" i="14" s="1"/>
  <c r="N1189" i="14" s="1"/>
  <c r="M1191" i="14" l="1"/>
  <c r="M1192" i="14" s="1"/>
  <c r="N1190" i="14"/>
  <c r="N1191" i="14" s="1"/>
  <c r="M1193" i="14" l="1"/>
  <c r="M1194" i="14" s="1"/>
  <c r="N1192" i="14"/>
  <c r="N1193" i="14" s="1"/>
  <c r="M1195" i="14" l="1"/>
  <c r="M1196" i="14" s="1"/>
  <c r="M1197" i="14" s="1"/>
  <c r="N1194" i="14"/>
  <c r="N1195" i="14" s="1"/>
  <c r="N1196" i="14" s="1"/>
  <c r="M1198" i="14" l="1"/>
  <c r="M1199" i="14" s="1"/>
  <c r="M1200" i="14" s="1"/>
  <c r="M1201" i="14" s="1"/>
  <c r="N1197" i="14"/>
  <c r="N1198" i="14" s="1"/>
  <c r="N1199" i="14" s="1"/>
  <c r="N1200" i="14" s="1"/>
  <c r="M1202" i="14" l="1"/>
  <c r="M1203" i="14" s="1"/>
  <c r="N1201" i="14"/>
  <c r="N1202" i="14" s="1"/>
  <c r="M1204" i="14" l="1"/>
  <c r="N1203" i="14"/>
  <c r="M1205" i="14" l="1"/>
  <c r="N1204" i="14"/>
  <c r="M1206" i="14" l="1"/>
  <c r="N1205" i="14"/>
  <c r="M1207" i="14" l="1"/>
  <c r="M1208" i="14" s="1"/>
  <c r="N1206" i="14"/>
  <c r="N1207" i="14" s="1"/>
  <c r="M1209" i="14" l="1"/>
  <c r="M1210" i="14" s="1"/>
  <c r="M1211" i="14" s="1"/>
  <c r="N1208" i="14"/>
  <c r="N1209" i="14" s="1"/>
  <c r="N1210" i="14" s="1"/>
  <c r="M1212" i="14" l="1"/>
  <c r="M1213" i="14" s="1"/>
  <c r="M1214" i="14" s="1"/>
  <c r="M1215" i="14" s="1"/>
  <c r="N1211" i="14"/>
  <c r="N1212" i="14" s="1"/>
  <c r="N1213" i="14" s="1"/>
  <c r="N1214" i="14" s="1"/>
  <c r="M1216" i="14" l="1"/>
  <c r="N1215" i="14"/>
  <c r="N1216" i="14" s="1"/>
  <c r="M1217" i="14" l="1"/>
  <c r="M1218" i="14" s="1"/>
  <c r="M1219" i="14" l="1"/>
  <c r="M1220" i="14" s="1"/>
  <c r="M1221" i="14" s="1"/>
  <c r="M1222" i="14" s="1"/>
  <c r="N1218" i="14"/>
  <c r="N1219" i="14" s="1"/>
  <c r="N1220" i="14" s="1"/>
  <c r="N1221" i="14" s="1"/>
  <c r="N1217" i="14"/>
  <c r="M1223" i="14" l="1"/>
  <c r="N1222" i="14"/>
  <c r="M1224" i="14" l="1"/>
  <c r="N1223" i="14"/>
  <c r="M1225" i="14" l="1"/>
  <c r="M1226" i="14" s="1"/>
  <c r="M1227" i="14" s="1"/>
  <c r="M1228" i="14" s="1"/>
  <c r="N1224" i="14"/>
  <c r="N1225" i="14" s="1"/>
  <c r="N1226" i="14" s="1"/>
  <c r="N1227" i="14" s="1"/>
  <c r="M1229" i="14" l="1"/>
  <c r="N1228" i="14"/>
  <c r="M1230" i="14" l="1"/>
  <c r="M1231" i="14" s="1"/>
  <c r="M1232" i="14" s="1"/>
  <c r="M1233" i="14" s="1"/>
  <c r="N1229" i="14"/>
  <c r="N1230" i="14" s="1"/>
  <c r="N1231" i="14" s="1"/>
  <c r="N1232" i="14" s="1"/>
  <c r="M1234" i="14" l="1"/>
  <c r="M1235" i="14" s="1"/>
  <c r="M1236" i="14" s="1"/>
  <c r="N1233" i="14"/>
  <c r="N1234" i="14" s="1"/>
  <c r="N1235" i="14" s="1"/>
  <c r="M1237" i="14" l="1"/>
  <c r="N1236" i="14"/>
  <c r="M1238" i="14" l="1"/>
  <c r="M1239" i="14" s="1"/>
  <c r="M1240" i="14" s="1"/>
  <c r="M1241" i="14" s="1"/>
  <c r="N1237" i="14"/>
  <c r="N1238" i="14" s="1"/>
  <c r="N1239" i="14" s="1"/>
  <c r="N1240" i="14" s="1"/>
  <c r="M1242" i="14" l="1"/>
  <c r="M1243" i="14" s="1"/>
  <c r="M1244" i="14" s="1"/>
  <c r="M1245" i="14" s="1"/>
  <c r="N1241" i="14"/>
  <c r="N1242" i="14" s="1"/>
  <c r="N1243" i="14" s="1"/>
  <c r="N1244" i="14" s="1"/>
  <c r="M1246" i="14" l="1"/>
  <c r="N1245" i="14"/>
  <c r="M1247" i="14" l="1"/>
  <c r="M1248" i="14" s="1"/>
  <c r="M1249" i="14" s="1"/>
  <c r="N1246" i="14"/>
  <c r="N1247" i="14" s="1"/>
  <c r="N1248" i="14" s="1"/>
  <c r="M1250" i="14" l="1"/>
  <c r="M1251" i="14" s="1"/>
  <c r="M1252" i="14" s="1"/>
  <c r="N1249" i="14"/>
  <c r="N1250" i="14" s="1"/>
  <c r="N1251" i="14" s="1"/>
  <c r="M1253" i="14" l="1"/>
  <c r="M1254" i="14" s="1"/>
  <c r="M1255" i="14" s="1"/>
  <c r="N1252" i="14"/>
  <c r="N1253" i="14" s="1"/>
  <c r="N1254" i="14" s="1"/>
  <c r="M1256" i="14" l="1"/>
  <c r="N1255" i="14"/>
  <c r="M1257" i="14" l="1"/>
  <c r="M1258" i="14" s="1"/>
  <c r="M1259" i="14" s="1"/>
  <c r="M1260" i="14" s="1"/>
  <c r="N1256" i="14"/>
  <c r="N1257" i="14" s="1"/>
  <c r="N1258" i="14" s="1"/>
  <c r="N1259" i="14" s="1"/>
  <c r="M1261" i="14" l="1"/>
  <c r="N1260" i="14"/>
  <c r="M1262" i="14" l="1"/>
  <c r="N1261" i="14"/>
  <c r="M1263" i="14" l="1"/>
  <c r="N1262" i="14"/>
  <c r="M1264" i="14" l="1"/>
  <c r="M1265" i="14" s="1"/>
  <c r="M1266" i="14" s="1"/>
  <c r="N1263" i="14"/>
  <c r="N1264" i="14" s="1"/>
  <c r="N1265" i="14" s="1"/>
  <c r="M1267" i="14" l="1"/>
  <c r="M1268" i="14" s="1"/>
  <c r="M1269" i="14" s="1"/>
  <c r="N1266" i="14"/>
  <c r="N1267" i="14" s="1"/>
  <c r="N1268" i="14" s="1"/>
  <c r="M1270" i="14" l="1"/>
  <c r="M1271" i="14" s="1"/>
  <c r="N1269" i="14"/>
  <c r="N1270" i="14" s="1"/>
  <c r="M1272" i="14" l="1"/>
  <c r="M1273" i="14" s="1"/>
  <c r="N1271" i="14"/>
  <c r="N1272" i="14" s="1"/>
  <c r="M1274" i="14" l="1"/>
  <c r="M1275" i="14" s="1"/>
  <c r="M1276" i="14" s="1"/>
  <c r="M1277" i="14" s="1"/>
  <c r="N1273" i="14"/>
  <c r="N1274" i="14" s="1"/>
  <c r="N1275" i="14" s="1"/>
  <c r="N1276" i="14" s="1"/>
  <c r="M1278" i="14" l="1"/>
  <c r="M1279" i="14" s="1"/>
  <c r="M1280" i="14" s="1"/>
  <c r="M1281" i="14" s="1"/>
  <c r="N1277" i="14"/>
  <c r="N1278" i="14" s="1"/>
  <c r="N1279" i="14" s="1"/>
  <c r="N1280" i="14" s="1"/>
  <c r="M1282" i="14" l="1"/>
  <c r="M1283" i="14" s="1"/>
  <c r="M1284" i="14" s="1"/>
  <c r="N1281" i="14"/>
  <c r="N1282" i="14" s="1"/>
  <c r="N1283" i="14" s="1"/>
  <c r="M1285" i="14" l="1"/>
  <c r="M1286" i="14" s="1"/>
  <c r="N1284" i="14"/>
  <c r="N1285" i="14" s="1"/>
  <c r="M1287" i="14" l="1"/>
  <c r="M1288" i="14" s="1"/>
  <c r="N1286" i="14"/>
  <c r="N1287" i="14" s="1"/>
  <c r="M1289" i="14" l="1"/>
  <c r="M1290" i="14" s="1"/>
  <c r="M1291" i="14" s="1"/>
  <c r="M1292" i="14" s="1"/>
  <c r="N1288" i="14"/>
  <c r="N1289" i="14" s="1"/>
  <c r="N1290" i="14" s="1"/>
  <c r="N1291" i="14" s="1"/>
  <c r="M1293" i="14" l="1"/>
  <c r="N1292" i="14"/>
  <c r="M1294" i="14" l="1"/>
  <c r="M1295" i="14" s="1"/>
  <c r="M1296" i="14" s="1"/>
  <c r="M1297" i="14" s="1"/>
  <c r="N1293" i="14"/>
  <c r="N1294" i="14" s="1"/>
  <c r="N1295" i="14" s="1"/>
  <c r="N1296" i="14" s="1"/>
  <c r="M1298" i="14" l="1"/>
  <c r="N1297" i="14"/>
  <c r="M1299" i="14" l="1"/>
  <c r="N1298" i="14"/>
  <c r="M1300" i="14" l="1"/>
  <c r="M1301" i="14" s="1"/>
  <c r="N1299" i="14"/>
  <c r="N1300" i="14" s="1"/>
  <c r="M1302" i="14" l="1"/>
  <c r="M1303" i="14" s="1"/>
  <c r="M1304" i="14" s="1"/>
  <c r="M1305" i="14" s="1"/>
  <c r="N1301" i="14"/>
  <c r="N1302" i="14" s="1"/>
  <c r="N1303" i="14" s="1"/>
  <c r="N1304" i="14" s="1"/>
  <c r="M1306" i="14" l="1"/>
  <c r="M1307" i="14" s="1"/>
  <c r="M1308" i="14" s="1"/>
  <c r="N1305" i="14"/>
  <c r="N1306" i="14" s="1"/>
  <c r="N1307" i="14" s="1"/>
  <c r="M1309" i="14" l="1"/>
  <c r="M1310" i="14" s="1"/>
  <c r="N1308" i="14"/>
  <c r="N1309" i="14" s="1"/>
  <c r="M1311" i="14" l="1"/>
  <c r="N1310" i="14"/>
  <c r="M1312" i="14" l="1"/>
  <c r="M1313" i="14" s="1"/>
  <c r="M1314" i="14" s="1"/>
  <c r="N1311" i="14"/>
  <c r="N1312" i="14" s="1"/>
  <c r="N1313" i="14" s="1"/>
  <c r="M1315" i="14" l="1"/>
  <c r="M1316" i="14" s="1"/>
  <c r="N1314" i="14"/>
  <c r="N1315" i="14" s="1"/>
  <c r="M1317" i="14" l="1"/>
  <c r="M1318" i="14" s="1"/>
  <c r="N1316" i="14"/>
  <c r="N1317" i="14" s="1"/>
  <c r="M1319" i="14" l="1"/>
  <c r="N1318" i="14"/>
  <c r="M1320" i="14" l="1"/>
  <c r="M1321" i="14" s="1"/>
  <c r="N1319" i="14"/>
  <c r="N1320" i="14" s="1"/>
  <c r="M1322" i="14" l="1"/>
  <c r="M1323" i="14" s="1"/>
  <c r="N1321" i="14"/>
  <c r="N1322" i="14" s="1"/>
  <c r="M1324" i="14" l="1"/>
  <c r="N1323" i="14"/>
  <c r="M1325" i="14" l="1"/>
  <c r="N1324" i="14"/>
  <c r="M1326" i="14" l="1"/>
  <c r="M1327" i="14" s="1"/>
  <c r="M1328" i="14" s="1"/>
  <c r="N1325" i="14"/>
  <c r="N1326" i="14" s="1"/>
  <c r="N1327" i="14" s="1"/>
  <c r="M1329" i="14" l="1"/>
  <c r="M1330" i="14" s="1"/>
  <c r="M1331" i="14" s="1"/>
  <c r="N1328" i="14"/>
  <c r="N1329" i="14" s="1"/>
  <c r="N1330" i="14" s="1"/>
  <c r="M1332" i="14" l="1"/>
  <c r="M1333" i="14" s="1"/>
  <c r="N1331" i="14"/>
  <c r="N1332" i="14" s="1"/>
  <c r="M1334" i="14" l="1"/>
  <c r="N1333" i="14"/>
  <c r="N1334" i="14" s="1"/>
  <c r="M1335" i="14" l="1"/>
  <c r="M1336" i="14" s="1"/>
  <c r="M1337" i="14" l="1"/>
  <c r="M1338" i="14" s="1"/>
  <c r="N1336" i="14"/>
  <c r="N1337" i="14" s="1"/>
  <c r="N1335" i="14"/>
  <c r="M1339" i="14" l="1"/>
  <c r="M1340" i="14" s="1"/>
  <c r="M1341" i="14" s="1"/>
  <c r="N1338" i="14"/>
  <c r="N1339" i="14" s="1"/>
  <c r="N1340" i="14" s="1"/>
  <c r="M1342" i="14" l="1"/>
  <c r="M1343" i="14" s="1"/>
  <c r="N1341" i="14"/>
  <c r="N1342" i="14" s="1"/>
  <c r="M1344" i="14" l="1"/>
  <c r="N1343" i="14"/>
  <c r="M1345" i="14" l="1"/>
  <c r="M1346" i="14" s="1"/>
  <c r="N1344" i="14"/>
  <c r="N1345" i="14" s="1"/>
  <c r="M1347" i="14" l="1"/>
  <c r="N1346" i="14"/>
  <c r="N1347" i="14" s="1"/>
  <c r="N1348" i="14" l="1"/>
  <c r="N1349" i="14" s="1"/>
  <c r="M1348" i="14"/>
  <c r="M1349" i="14" s="1"/>
  <c r="M1350" i="14" s="1"/>
  <c r="M1351" i="14" l="1"/>
  <c r="M1352" i="14" s="1"/>
  <c r="N1350" i="14"/>
  <c r="N1351" i="14" s="1"/>
  <c r="M1353" i="14" l="1"/>
  <c r="N1352" i="14"/>
  <c r="M1354" i="14" l="1"/>
  <c r="N1353" i="14"/>
  <c r="M1355" i="14" l="1"/>
  <c r="M1356" i="14" s="1"/>
  <c r="M1357" i="14" s="1"/>
  <c r="M1358" i="14" s="1"/>
  <c r="N1354" i="14"/>
  <c r="N1355" i="14" s="1"/>
  <c r="N1356" i="14" s="1"/>
  <c r="N1357" i="14" s="1"/>
  <c r="M1359" i="14" l="1"/>
  <c r="N1358" i="14"/>
  <c r="M1360" i="14" l="1"/>
  <c r="M1361" i="14" s="1"/>
  <c r="M1362" i="14" s="1"/>
  <c r="M1363" i="14" s="1"/>
  <c r="N1359" i="14"/>
  <c r="N1360" i="14" s="1"/>
  <c r="N1361" i="14" s="1"/>
  <c r="N1362" i="14" s="1"/>
  <c r="M1364" i="14" l="1"/>
  <c r="M1365" i="14" s="1"/>
  <c r="M1366" i="14" s="1"/>
  <c r="N1363" i="14"/>
  <c r="N1364" i="14" s="1"/>
  <c r="N1365" i="14" s="1"/>
  <c r="M1367" i="14" l="1"/>
  <c r="M1368" i="14" s="1"/>
  <c r="N1366" i="14"/>
  <c r="N1367" i="14" s="1"/>
  <c r="M1369" i="14" l="1"/>
  <c r="M1370" i="14" s="1"/>
  <c r="M1371" i="14" s="1"/>
  <c r="N1368" i="14"/>
  <c r="N1369" i="14" s="1"/>
  <c r="N1370" i="14" s="1"/>
  <c r="M1372" i="14" l="1"/>
  <c r="M1373" i="14" s="1"/>
  <c r="M1374" i="14" s="1"/>
  <c r="N1371" i="14"/>
  <c r="N1372" i="14" s="1"/>
  <c r="N1373" i="14" s="1"/>
  <c r="M1375" i="14" l="1"/>
  <c r="N1374" i="14"/>
  <c r="M1376" i="14" l="1"/>
  <c r="N1375" i="14"/>
  <c r="N1376" i="14" s="1"/>
  <c r="M1377" i="14" l="1"/>
  <c r="M1378" i="14" s="1"/>
  <c r="M1379" i="14" s="1"/>
  <c r="M1380" i="14" l="1"/>
  <c r="M1381" i="14" s="1"/>
  <c r="M1382" i="14" s="1"/>
  <c r="M1383" i="14" s="1"/>
  <c r="N1379" i="14"/>
  <c r="N1380" i="14" s="1"/>
  <c r="N1381" i="14" s="1"/>
  <c r="N1382" i="14" s="1"/>
  <c r="N1377" i="14"/>
  <c r="N1378" i="14" s="1"/>
  <c r="M1384" i="14" l="1"/>
  <c r="M1385" i="14" s="1"/>
  <c r="M1386" i="14" s="1"/>
  <c r="M1387" i="14" s="1"/>
  <c r="N1383" i="14"/>
  <c r="N1384" i="14" s="1"/>
  <c r="N1385" i="14" s="1"/>
  <c r="N1386" i="14" s="1"/>
  <c r="M1388" i="14" l="1"/>
  <c r="M1389" i="14" s="1"/>
  <c r="N1387" i="14"/>
  <c r="N1388" i="14" s="1"/>
  <c r="M1390" i="14" l="1"/>
  <c r="M1391" i="14" s="1"/>
  <c r="M1392" i="14" s="1"/>
  <c r="M1393" i="14" s="1"/>
  <c r="N1389" i="14"/>
  <c r="N1390" i="14" s="1"/>
  <c r="N1391" i="14" s="1"/>
  <c r="N1392" i="14" s="1"/>
  <c r="M1394" i="14" l="1"/>
  <c r="N1393" i="14"/>
  <c r="M1395" i="14" l="1"/>
  <c r="M1396" i="14" s="1"/>
  <c r="N1394" i="14"/>
  <c r="N1395" i="14" s="1"/>
  <c r="M1397" i="14" l="1"/>
  <c r="M1398" i="14" s="1"/>
  <c r="M1399" i="14" s="1"/>
  <c r="M1400" i="14" s="1"/>
  <c r="N1396" i="14"/>
  <c r="N1397" i="14" s="1"/>
  <c r="N1398" i="14" s="1"/>
  <c r="N1399" i="14" s="1"/>
  <c r="M1401" i="14" l="1"/>
  <c r="M1402" i="14" s="1"/>
  <c r="N1400" i="14"/>
  <c r="N1401" i="14" s="1"/>
  <c r="M1403" i="14" l="1"/>
  <c r="M1404" i="14" s="1"/>
  <c r="M1405" i="14" s="1"/>
  <c r="M1406" i="14" s="1"/>
  <c r="N1402" i="14"/>
  <c r="N1403" i="14" s="1"/>
  <c r="N1404" i="14" s="1"/>
  <c r="N1405" i="14" s="1"/>
  <c r="M1407" i="14" l="1"/>
  <c r="M1408" i="14" s="1"/>
  <c r="N1406" i="14"/>
  <c r="N1407" i="14" s="1"/>
  <c r="M1409" i="14" l="1"/>
  <c r="M1410" i="14" s="1"/>
  <c r="M1411" i="14" s="1"/>
  <c r="N1408" i="14"/>
  <c r="N1409" i="14" s="1"/>
  <c r="N1410" i="14" s="1"/>
  <c r="M1412" i="14" l="1"/>
  <c r="N1411" i="14"/>
  <c r="M1413" i="14" l="1"/>
  <c r="M1414" i="14" s="1"/>
  <c r="N1412" i="14"/>
  <c r="N1413" i="14" s="1"/>
  <c r="M1415" i="14" l="1"/>
  <c r="N1414" i="14"/>
  <c r="M1416" i="14" l="1"/>
  <c r="M1417" i="14" s="1"/>
  <c r="N1415" i="14"/>
  <c r="N1416" i="14" s="1"/>
  <c r="M1418" i="14" l="1"/>
  <c r="M1419" i="14" s="1"/>
  <c r="N1417" i="14"/>
  <c r="N1418" i="14" s="1"/>
  <c r="M1420" i="14" l="1"/>
  <c r="M1421" i="14" s="1"/>
  <c r="M1422" i="14" s="1"/>
  <c r="N1419" i="14"/>
  <c r="N1420" i="14" s="1"/>
  <c r="N1421" i="14" s="1"/>
  <c r="M1423" i="14" l="1"/>
  <c r="M1424" i="14" s="1"/>
  <c r="M1425" i="14" s="1"/>
  <c r="N1422" i="14"/>
  <c r="N1423" i="14" s="1"/>
  <c r="N1424" i="14" s="1"/>
  <c r="M1426" i="14" l="1"/>
  <c r="M1427" i="14" s="1"/>
  <c r="M1428" i="14" s="1"/>
  <c r="M1429" i="14" s="1"/>
  <c r="N1425" i="14"/>
  <c r="N1426" i="14" s="1"/>
  <c r="N1427" i="14" s="1"/>
  <c r="N1428" i="14" s="1"/>
  <c r="M1430" i="14" l="1"/>
  <c r="M1431" i="14" s="1"/>
  <c r="M1432" i="14" s="1"/>
  <c r="M1433" i="14" s="1"/>
  <c r="N1429" i="14"/>
  <c r="N1430" i="14" s="1"/>
  <c r="N1431" i="14" s="1"/>
  <c r="N1432" i="14" s="1"/>
  <c r="M1434" i="14" l="1"/>
  <c r="M1435" i="14" s="1"/>
  <c r="M1436" i="14" s="1"/>
  <c r="M1437" i="14" s="1"/>
  <c r="N1433" i="14"/>
  <c r="N1434" i="14" s="1"/>
  <c r="N1435" i="14" s="1"/>
  <c r="N1436" i="14" s="1"/>
  <c r="M1438" i="14" l="1"/>
  <c r="N1437" i="14"/>
  <c r="N1438" i="14" s="1"/>
  <c r="N1439" i="14" l="1"/>
  <c r="M1439" i="14"/>
  <c r="M1440" i="14" s="1"/>
  <c r="M1441" i="14" l="1"/>
  <c r="M1442" i="14" s="1"/>
  <c r="M1443" i="14" s="1"/>
  <c r="M1444" i="14" s="1"/>
  <c r="N1440" i="14"/>
  <c r="N1441" i="14" s="1"/>
  <c r="N1442" i="14" s="1"/>
  <c r="N1443" i="14" s="1"/>
  <c r="M1445" i="14" l="1"/>
  <c r="M1446" i="14" s="1"/>
  <c r="N1444" i="14"/>
  <c r="N1445" i="14" s="1"/>
  <c r="M1447" i="14" l="1"/>
  <c r="N1446" i="14"/>
  <c r="M1448" i="14" l="1"/>
  <c r="M1449" i="14" s="1"/>
  <c r="N1447" i="14"/>
  <c r="N1448" i="14" s="1"/>
  <c r="M1450" i="14" l="1"/>
  <c r="M1451" i="14" s="1"/>
  <c r="N1449" i="14"/>
  <c r="N1450" i="14" s="1"/>
  <c r="M1452" i="14" l="1"/>
  <c r="M1453" i="14" s="1"/>
  <c r="M1454" i="14" s="1"/>
  <c r="N1451" i="14"/>
  <c r="N1452" i="14" s="1"/>
  <c r="N1453" i="14" s="1"/>
  <c r="M1455" i="14" l="1"/>
  <c r="M1456" i="14" s="1"/>
  <c r="N1454" i="14"/>
  <c r="N1455" i="14" s="1"/>
  <c r="M1457" i="14" l="1"/>
  <c r="N1456" i="14"/>
  <c r="N1457" i="14" s="1"/>
  <c r="M1458" i="14" l="1"/>
  <c r="M1459" i="14" s="1"/>
  <c r="M1460" i="14" s="1"/>
  <c r="M1461" i="14" l="1"/>
  <c r="M1462" i="14" s="1"/>
  <c r="M1463" i="14" s="1"/>
  <c r="M1464" i="14" s="1"/>
  <c r="N1460" i="14"/>
  <c r="N1461" i="14" s="1"/>
  <c r="N1462" i="14" s="1"/>
  <c r="N1463" i="14" s="1"/>
  <c r="N1458" i="14"/>
  <c r="N1459" i="14" s="1"/>
  <c r="M1465" i="14" l="1"/>
  <c r="N1464" i="14"/>
  <c r="M1466" i="14" l="1"/>
  <c r="M1467" i="14" s="1"/>
  <c r="M1468" i="14" s="1"/>
  <c r="M1469" i="14" s="1"/>
  <c r="N1465" i="14"/>
  <c r="N1466" i="14" s="1"/>
  <c r="N1467" i="14" s="1"/>
  <c r="N1468" i="14" s="1"/>
  <c r="M1470" i="14" l="1"/>
  <c r="N1469" i="14"/>
  <c r="M1471" i="14" l="1"/>
  <c r="N1470" i="14"/>
  <c r="M1472" i="14" l="1"/>
  <c r="M1473" i="14" s="1"/>
  <c r="M1474" i="14" s="1"/>
  <c r="N1471" i="14"/>
  <c r="N1472" i="14" s="1"/>
  <c r="N1473" i="14" s="1"/>
  <c r="M1475" i="14" l="1"/>
  <c r="M1476" i="14" s="1"/>
  <c r="M1477" i="14" s="1"/>
  <c r="M1478" i="14" s="1"/>
  <c r="N1474" i="14"/>
  <c r="N1475" i="14" s="1"/>
  <c r="N1476" i="14" s="1"/>
  <c r="N1477" i="14" s="1"/>
  <c r="M1479" i="14" l="1"/>
  <c r="M1480" i="14" s="1"/>
  <c r="M1481" i="14" s="1"/>
  <c r="N1478" i="14"/>
  <c r="N1479" i="14" s="1"/>
  <c r="N1480" i="14" s="1"/>
  <c r="M1482" i="14" l="1"/>
  <c r="M1483" i="14" s="1"/>
  <c r="N1481" i="14"/>
  <c r="N1482" i="14" s="1"/>
  <c r="M1484" i="14" l="1"/>
  <c r="M1485" i="14" s="1"/>
  <c r="M1486" i="14" s="1"/>
  <c r="N1483" i="14"/>
  <c r="N1484" i="14" s="1"/>
  <c r="N1485" i="14" s="1"/>
  <c r="M1487" i="14" l="1"/>
  <c r="M1488" i="14" s="1"/>
  <c r="N1486" i="14"/>
  <c r="N1487" i="14" s="1"/>
  <c r="M1489" i="14" l="1"/>
  <c r="N1488" i="14"/>
  <c r="M1490" i="14" l="1"/>
  <c r="M1491" i="14" s="1"/>
  <c r="M1492" i="14" s="1"/>
  <c r="N1489" i="14"/>
  <c r="N1490" i="14" s="1"/>
  <c r="N1491" i="14" s="1"/>
  <c r="M1493" i="14" l="1"/>
  <c r="M1494" i="14" s="1"/>
  <c r="M1495" i="14" s="1"/>
  <c r="N1492" i="14"/>
  <c r="N1493" i="14" s="1"/>
  <c r="N1494" i="14" s="1"/>
  <c r="M1496" i="14" l="1"/>
  <c r="M1497" i="14" s="1"/>
  <c r="M1498" i="14" s="1"/>
  <c r="M1499" i="14" s="1"/>
  <c r="N1495" i="14"/>
  <c r="N1496" i="14" s="1"/>
  <c r="N1497" i="14" s="1"/>
  <c r="N1498" i="14" s="1"/>
  <c r="M1500" i="14" l="1"/>
  <c r="M1501" i="14" s="1"/>
  <c r="M1502" i="14" s="1"/>
  <c r="N1499" i="14"/>
  <c r="N1500" i="14" s="1"/>
  <c r="N1501" i="14" s="1"/>
  <c r="M1503" i="14" l="1"/>
  <c r="M1504" i="14" s="1"/>
  <c r="M1505" i="14" s="1"/>
  <c r="M1506" i="14" s="1"/>
  <c r="N1502" i="14"/>
  <c r="N1503" i="14" s="1"/>
  <c r="N1504" i="14" s="1"/>
  <c r="N1505" i="14" s="1"/>
  <c r="M1507" i="14" l="1"/>
  <c r="M1508" i="14" s="1"/>
  <c r="N1506" i="14"/>
  <c r="N1507" i="14" s="1"/>
  <c r="M1509" i="14" l="1"/>
  <c r="M1510" i="14" s="1"/>
  <c r="N1508" i="14"/>
  <c r="N1509" i="14" s="1"/>
  <c r="M1511" i="14" l="1"/>
  <c r="M1512" i="14" s="1"/>
  <c r="M1513" i="14" s="1"/>
  <c r="M1514" i="14" s="1"/>
  <c r="N1510" i="14"/>
  <c r="N1511" i="14" s="1"/>
  <c r="N1512" i="14" s="1"/>
  <c r="N1513" i="14" s="1"/>
  <c r="M1515" i="14" l="1"/>
  <c r="N1514" i="14"/>
  <c r="M1516" i="14" l="1"/>
  <c r="M1517" i="14" s="1"/>
  <c r="M1518" i="14" s="1"/>
  <c r="N1515" i="14"/>
  <c r="N1516" i="14" s="1"/>
  <c r="N1517" i="14" s="1"/>
  <c r="M1519" i="14" l="1"/>
  <c r="M1520" i="14" s="1"/>
  <c r="M1521" i="14" s="1"/>
  <c r="N1518" i="14"/>
  <c r="N1519" i="14" s="1"/>
  <c r="N1520" i="14" s="1"/>
  <c r="M1522" i="14" l="1"/>
  <c r="M1523" i="14" s="1"/>
  <c r="M1524" i="14" s="1"/>
  <c r="N1521" i="14"/>
  <c r="N1522" i="14" s="1"/>
  <c r="N1523" i="14" s="1"/>
  <c r="M1525" i="14" l="1"/>
  <c r="M1526" i="14" s="1"/>
  <c r="M1527" i="14" s="1"/>
  <c r="N1524" i="14"/>
  <c r="N1525" i="14" s="1"/>
  <c r="N1526" i="14" s="1"/>
  <c r="M1528" i="14" l="1"/>
  <c r="N1527" i="14"/>
  <c r="N1528" i="14" s="1"/>
  <c r="M1529" i="14" l="1"/>
  <c r="M1530" i="14" s="1"/>
  <c r="M1531" i="14" l="1"/>
  <c r="M1532" i="14" s="1"/>
  <c r="M1533" i="14" s="1"/>
  <c r="M1534" i="14" s="1"/>
  <c r="N1530" i="14"/>
  <c r="N1531" i="14" s="1"/>
  <c r="N1532" i="14" s="1"/>
  <c r="N1533" i="14" s="1"/>
  <c r="N1529" i="14"/>
  <c r="M1535" i="14" l="1"/>
  <c r="M1536" i="14" s="1"/>
  <c r="N1534" i="14"/>
  <c r="N1535" i="14" s="1"/>
  <c r="M1537" i="14" l="1"/>
  <c r="M1538" i="14" s="1"/>
  <c r="M1539" i="14" s="1"/>
  <c r="M1540" i="14" s="1"/>
  <c r="N1536" i="14"/>
  <c r="N1537" i="14" s="1"/>
  <c r="N1538" i="14" s="1"/>
  <c r="N1539" i="14" s="1"/>
  <c r="M1541" i="14" l="1"/>
  <c r="M1542" i="14" s="1"/>
  <c r="M1543" i="14" s="1"/>
  <c r="M1544" i="14" s="1"/>
  <c r="N1540" i="14"/>
  <c r="N1541" i="14" s="1"/>
  <c r="N1542" i="14" s="1"/>
  <c r="N1543" i="14" s="1"/>
  <c r="M1545" i="14" l="1"/>
  <c r="M1546" i="14" s="1"/>
  <c r="N1544" i="14"/>
  <c r="N1545" i="14" s="1"/>
  <c r="M1547" i="14" l="1"/>
  <c r="N1546" i="14"/>
  <c r="M1548" i="14" l="1"/>
  <c r="N1547" i="14"/>
  <c r="M1549" i="14" l="1"/>
  <c r="M1550" i="14" s="1"/>
  <c r="M1551" i="14" s="1"/>
  <c r="N1548" i="14"/>
  <c r="N1549" i="14" s="1"/>
  <c r="N1550" i="14" s="1"/>
  <c r="M1552" i="14" l="1"/>
  <c r="M1553" i="14" s="1"/>
  <c r="M1554" i="14" s="1"/>
  <c r="N1551" i="14"/>
  <c r="N1552" i="14" s="1"/>
  <c r="N1553" i="14" s="1"/>
  <c r="M1555" i="14" l="1"/>
  <c r="N1554" i="14"/>
  <c r="M1556" i="14" l="1"/>
  <c r="M1557" i="14" s="1"/>
  <c r="M1558" i="14" s="1"/>
  <c r="N1555" i="14"/>
  <c r="N1556" i="14" s="1"/>
  <c r="N1557" i="14" s="1"/>
  <c r="M1559" i="14" l="1"/>
  <c r="M1560" i="14" s="1"/>
  <c r="M1561" i="14" s="1"/>
  <c r="N1558" i="14"/>
  <c r="N1559" i="14" s="1"/>
  <c r="N1560" i="14" s="1"/>
  <c r="M1562" i="14" l="1"/>
  <c r="N1561" i="14"/>
  <c r="M1563" i="14" l="1"/>
  <c r="M1564" i="14" s="1"/>
  <c r="M1565" i="14" s="1"/>
  <c r="N1562" i="14"/>
  <c r="N1563" i="14" s="1"/>
  <c r="N1564" i="14" s="1"/>
  <c r="M1566" i="14" l="1"/>
  <c r="M1567" i="14" s="1"/>
  <c r="M1568" i="14" s="1"/>
  <c r="N1565" i="14"/>
  <c r="N1566" i="14" s="1"/>
  <c r="N1567" i="14" s="1"/>
  <c r="M1569" i="14" l="1"/>
  <c r="M1570" i="14" s="1"/>
  <c r="M1571" i="14" s="1"/>
  <c r="N1568" i="14"/>
  <c r="N1569" i="14" s="1"/>
  <c r="N1570" i="14" s="1"/>
  <c r="M1572" i="14" l="1"/>
  <c r="N1571" i="14"/>
  <c r="M1573" i="14" l="1"/>
  <c r="M1574" i="14" s="1"/>
  <c r="N1572" i="14"/>
  <c r="N1573" i="14" s="1"/>
  <c r="M1575" i="14" l="1"/>
  <c r="N1574" i="14"/>
  <c r="M1576" i="14" l="1"/>
  <c r="M1577" i="14" s="1"/>
  <c r="M1578" i="14" s="1"/>
  <c r="M1579" i="14" s="1"/>
  <c r="N1575" i="14"/>
  <c r="N1576" i="14" s="1"/>
  <c r="N1577" i="14" s="1"/>
  <c r="N1578" i="14" s="1"/>
  <c r="M1580" i="14" l="1"/>
  <c r="M1581" i="14" s="1"/>
  <c r="N1579" i="14"/>
  <c r="N1580" i="14" s="1"/>
  <c r="M1582" i="14" l="1"/>
  <c r="M1583" i="14" s="1"/>
  <c r="M1584" i="14" s="1"/>
  <c r="N1581" i="14"/>
  <c r="N1582" i="14" s="1"/>
  <c r="N1583" i="14" s="1"/>
  <c r="M1585" i="14" l="1"/>
  <c r="M1586" i="14" s="1"/>
  <c r="M1587" i="14" s="1"/>
  <c r="N1584" i="14"/>
  <c r="N1585" i="14" s="1"/>
  <c r="N1586" i="14" s="1"/>
  <c r="M1588" i="14" l="1"/>
  <c r="N1587" i="14"/>
  <c r="M1589" i="14" l="1"/>
  <c r="N1588" i="14"/>
  <c r="M1590" i="14" l="1"/>
  <c r="N1589" i="14"/>
  <c r="N1590" i="14" s="1"/>
  <c r="M1591" i="14" l="1"/>
  <c r="M1592" i="14" s="1"/>
  <c r="M1593" i="14" l="1"/>
  <c r="M1594" i="14" s="1"/>
  <c r="M1595" i="14" s="1"/>
  <c r="M1596" i="14" s="1"/>
  <c r="N1592" i="14"/>
  <c r="N1593" i="14" s="1"/>
  <c r="N1594" i="14" s="1"/>
  <c r="N1595" i="14" s="1"/>
  <c r="N1591" i="14"/>
  <c r="M1597" i="14" l="1"/>
  <c r="M1598" i="14" s="1"/>
  <c r="M1599" i="14" s="1"/>
  <c r="M1600" i="14" s="1"/>
  <c r="N1596" i="14"/>
  <c r="N1597" i="14" s="1"/>
  <c r="N1598" i="14" s="1"/>
  <c r="N1599" i="14" s="1"/>
  <c r="M1601" i="14" l="1"/>
  <c r="M1602" i="14" s="1"/>
  <c r="M1603" i="14" s="1"/>
  <c r="M1604" i="14" s="1"/>
  <c r="N1600" i="14"/>
  <c r="N1601" i="14" s="1"/>
  <c r="N1602" i="14" s="1"/>
  <c r="N1603" i="14" s="1"/>
  <c r="M1605" i="14" l="1"/>
  <c r="M1606" i="14" s="1"/>
  <c r="N1604" i="14"/>
  <c r="N1605" i="14" s="1"/>
  <c r="M1607" i="14" l="1"/>
  <c r="M1608" i="14" s="1"/>
  <c r="N1606" i="14"/>
  <c r="N1607" i="14" s="1"/>
  <c r="M1609" i="14" l="1"/>
  <c r="M1610" i="14" s="1"/>
  <c r="N1608" i="14"/>
  <c r="N1609" i="14" s="1"/>
  <c r="M1611" i="14" l="1"/>
  <c r="N1610" i="14"/>
  <c r="M1612" i="14" l="1"/>
  <c r="M1613" i="14" s="1"/>
  <c r="N1611" i="14"/>
  <c r="N1612" i="14" s="1"/>
  <c r="M1614" i="14" l="1"/>
  <c r="N1613" i="14"/>
  <c r="M1615" i="14" l="1"/>
  <c r="M1616" i="14" s="1"/>
  <c r="N1614" i="14"/>
  <c r="N1615" i="14" s="1"/>
  <c r="M1617" i="14" l="1"/>
  <c r="M1618" i="14" s="1"/>
  <c r="N1616" i="14"/>
  <c r="N1617" i="14" s="1"/>
  <c r="M1619" i="14" l="1"/>
  <c r="M1620" i="14" s="1"/>
  <c r="M1621" i="14" s="1"/>
  <c r="M1622" i="14" s="1"/>
  <c r="N1618" i="14"/>
  <c r="N1619" i="14" s="1"/>
  <c r="N1620" i="14" s="1"/>
  <c r="N1621" i="14" s="1"/>
  <c r="M1623" i="14" l="1"/>
  <c r="M1624" i="14" s="1"/>
  <c r="M1625" i="14" s="1"/>
  <c r="N1622" i="14"/>
  <c r="N1623" i="14" s="1"/>
  <c r="N1624" i="14" s="1"/>
  <c r="M1626" i="14" l="1"/>
  <c r="M1627" i="14" s="1"/>
  <c r="M1628" i="14" s="1"/>
  <c r="N1625" i="14"/>
  <c r="N1626" i="14" s="1"/>
  <c r="N1627" i="14" s="1"/>
  <c r="M1629" i="14" l="1"/>
  <c r="N1628" i="14"/>
  <c r="M1630" i="14" l="1"/>
  <c r="M1631" i="14" s="1"/>
  <c r="M1632" i="14" s="1"/>
  <c r="N1629" i="14"/>
  <c r="N1630" i="14" s="1"/>
  <c r="N1631" i="14" s="1"/>
  <c r="M1633" i="14" l="1"/>
  <c r="M1634" i="14" s="1"/>
  <c r="M1635" i="14" s="1"/>
  <c r="N1632" i="14"/>
  <c r="N1633" i="14" s="1"/>
  <c r="N1634" i="14" s="1"/>
  <c r="M1636" i="14" l="1"/>
  <c r="M1637" i="14" s="1"/>
  <c r="N1635" i="14"/>
  <c r="N1636" i="14" s="1"/>
  <c r="M1638" i="14" l="1"/>
  <c r="M1639" i="14" s="1"/>
  <c r="M1640" i="14" s="1"/>
  <c r="N1637" i="14"/>
  <c r="N1638" i="14" s="1"/>
  <c r="N1639" i="14" s="1"/>
  <c r="M1641" i="14" l="1"/>
  <c r="M1642" i="14" s="1"/>
  <c r="M1643" i="14" s="1"/>
  <c r="M1644" i="14" s="1"/>
  <c r="N1640" i="14"/>
  <c r="N1641" i="14" s="1"/>
  <c r="N1642" i="14" s="1"/>
  <c r="N1643" i="14" s="1"/>
  <c r="M1645" i="14" l="1"/>
  <c r="M1646" i="14" s="1"/>
  <c r="M1647" i="14" s="1"/>
  <c r="N1644" i="14"/>
  <c r="N1645" i="14" s="1"/>
  <c r="N1646" i="14" s="1"/>
  <c r="M1648" i="14" l="1"/>
  <c r="M1649" i="14" s="1"/>
  <c r="M1650" i="14" s="1"/>
  <c r="M1651" i="14" s="1"/>
  <c r="N1647" i="14"/>
  <c r="N1648" i="14" s="1"/>
  <c r="N1649" i="14" s="1"/>
  <c r="N1650" i="14" s="1"/>
  <c r="M1652" i="14" l="1"/>
  <c r="M1653" i="14" s="1"/>
  <c r="M1654" i="14" s="1"/>
  <c r="M1655" i="14" s="1"/>
  <c r="N1651" i="14"/>
  <c r="N1652" i="14" s="1"/>
  <c r="N1653" i="14" s="1"/>
  <c r="N1654" i="14" s="1"/>
  <c r="M1656" i="14" l="1"/>
  <c r="N1655" i="14"/>
  <c r="N1656" i="14" s="1"/>
  <c r="M1657" i="14" l="1"/>
  <c r="M1658" i="14" s="1"/>
  <c r="M1659" i="14" l="1"/>
  <c r="M1660" i="14" s="1"/>
  <c r="M1661" i="14" s="1"/>
  <c r="M1662" i="14" s="1"/>
  <c r="N1658" i="14"/>
  <c r="N1659" i="14" s="1"/>
  <c r="N1660" i="14" s="1"/>
  <c r="N1661" i="14" s="1"/>
  <c r="N1657" i="14"/>
  <c r="M1663" i="14" l="1"/>
  <c r="M1664" i="14" s="1"/>
  <c r="M1665" i="14" s="1"/>
  <c r="M1666" i="14" s="1"/>
  <c r="N1662" i="14"/>
  <c r="N1663" i="14" s="1"/>
  <c r="N1664" i="14" s="1"/>
  <c r="N1665" i="14" s="1"/>
  <c r="M1667" i="14" l="1"/>
  <c r="N1666" i="14"/>
  <c r="M1668" i="14" l="1"/>
  <c r="M1669" i="14" s="1"/>
  <c r="M1670" i="14" s="1"/>
  <c r="N1667" i="14"/>
  <c r="N1668" i="14" s="1"/>
  <c r="N1669" i="14" s="1"/>
  <c r="M1671" i="14" l="1"/>
  <c r="M1672" i="14" s="1"/>
  <c r="M1673" i="14" s="1"/>
  <c r="N1670" i="14"/>
  <c r="N1671" i="14" s="1"/>
  <c r="N1672" i="14" s="1"/>
  <c r="M1674" i="14" l="1"/>
  <c r="M1675" i="14" s="1"/>
  <c r="N1673" i="14"/>
  <c r="N1674" i="14" s="1"/>
  <c r="M1676" i="14" l="1"/>
  <c r="M1677" i="14" s="1"/>
  <c r="M1678" i="14" s="1"/>
  <c r="M1679" i="14" s="1"/>
  <c r="N1675" i="14"/>
  <c r="N1676" i="14" s="1"/>
  <c r="N1677" i="14" s="1"/>
  <c r="N1678" i="14" s="1"/>
  <c r="M1680" i="14" l="1"/>
  <c r="M1681" i="14" s="1"/>
  <c r="M1682" i="14" s="1"/>
  <c r="N1679" i="14"/>
  <c r="N1680" i="14" s="1"/>
  <c r="N1681" i="14" s="1"/>
  <c r="M1683" i="14" l="1"/>
  <c r="N1682" i="14"/>
  <c r="M1684" i="14" l="1"/>
  <c r="N1683" i="14"/>
  <c r="M1685" i="14" l="1"/>
  <c r="M1686" i="14" s="1"/>
  <c r="M1687" i="14" s="1"/>
  <c r="N1684" i="14"/>
  <c r="N1685" i="14" s="1"/>
  <c r="N1686" i="14" s="1"/>
  <c r="M1688" i="14" l="1"/>
  <c r="M1689" i="14" s="1"/>
  <c r="M1690" i="14" s="1"/>
  <c r="M1691" i="14" s="1"/>
  <c r="N1687" i="14"/>
  <c r="N1688" i="14" s="1"/>
  <c r="N1689" i="14" s="1"/>
  <c r="N1690" i="14" s="1"/>
  <c r="M1692" i="14" l="1"/>
  <c r="M1693" i="14" s="1"/>
  <c r="M1694" i="14" s="1"/>
  <c r="M1695" i="14" s="1"/>
  <c r="N1691" i="14"/>
  <c r="N1692" i="14" s="1"/>
  <c r="N1693" i="14" s="1"/>
  <c r="N1694" i="14" s="1"/>
  <c r="M1696" i="14" l="1"/>
  <c r="N1695" i="14"/>
  <c r="M1697" i="14" l="1"/>
  <c r="N1696" i="14"/>
  <c r="M1698" i="14" l="1"/>
  <c r="M1699" i="14" s="1"/>
  <c r="M1700" i="14" s="1"/>
  <c r="N1697" i="14"/>
  <c r="N1698" i="14" s="1"/>
  <c r="N1699" i="14" s="1"/>
  <c r="M1701" i="14" l="1"/>
  <c r="M1702" i="14" s="1"/>
  <c r="N1700" i="14"/>
  <c r="N1701" i="14" s="1"/>
  <c r="M1703" i="14" l="1"/>
  <c r="M1704" i="14" s="1"/>
  <c r="M1705" i="14" s="1"/>
  <c r="M1706" i="14" s="1"/>
  <c r="N1702" i="14"/>
  <c r="N1703" i="14" s="1"/>
  <c r="N1704" i="14" s="1"/>
  <c r="N1705" i="14" s="1"/>
  <c r="M1707" i="14" l="1"/>
  <c r="M1708" i="14" s="1"/>
  <c r="M1709" i="14" s="1"/>
  <c r="N1706" i="14"/>
  <c r="N1707" i="14" s="1"/>
  <c r="N1708" i="14" s="1"/>
  <c r="M1710" i="14" l="1"/>
  <c r="M1711" i="14" s="1"/>
  <c r="N1709" i="14"/>
  <c r="N1710" i="14" s="1"/>
  <c r="M1712" i="14" l="1"/>
  <c r="M1713" i="14" s="1"/>
  <c r="M1714" i="14" s="1"/>
  <c r="N1711" i="14"/>
  <c r="N1712" i="14" s="1"/>
  <c r="N1713" i="14" s="1"/>
  <c r="M1715" i="14" l="1"/>
  <c r="M1716" i="14" s="1"/>
  <c r="M1717" i="14" s="1"/>
  <c r="M1718" i="14" s="1"/>
  <c r="N1714" i="14"/>
  <c r="N1715" i="14" s="1"/>
  <c r="N1716" i="14" s="1"/>
  <c r="N1717" i="14" s="1"/>
  <c r="M1719" i="14" l="1"/>
  <c r="N1718" i="14"/>
  <c r="M1720" i="14" l="1"/>
  <c r="M1721" i="14" s="1"/>
  <c r="M1722" i="14" s="1"/>
  <c r="M1723" i="14" s="1"/>
  <c r="N1719" i="14"/>
  <c r="N1720" i="14" s="1"/>
  <c r="N1721" i="14" s="1"/>
  <c r="N1722" i="14" s="1"/>
  <c r="M1724" i="14" l="1"/>
  <c r="M1725" i="14" s="1"/>
  <c r="M1726" i="14" s="1"/>
  <c r="M1727" i="14" s="1"/>
  <c r="N1723" i="14"/>
  <c r="N1724" i="14" s="1"/>
  <c r="N1725" i="14" s="1"/>
  <c r="N1726" i="14" s="1"/>
  <c r="M1728" i="14" l="1"/>
  <c r="N1727" i="14"/>
  <c r="M1729" i="14" l="1"/>
  <c r="M1730" i="14" s="1"/>
  <c r="N1728" i="14"/>
  <c r="N1729" i="14" s="1"/>
  <c r="M1731" i="14" l="1"/>
  <c r="M1732" i="14" s="1"/>
  <c r="N1730" i="14"/>
  <c r="N1731" i="14" s="1"/>
  <c r="M1733" i="14" l="1"/>
  <c r="M1734" i="14" s="1"/>
  <c r="M1735" i="14" s="1"/>
  <c r="N1732" i="14"/>
  <c r="N1733" i="14" s="1"/>
  <c r="N1734" i="14" s="1"/>
  <c r="M1736" i="14" l="1"/>
  <c r="N1735" i="14"/>
  <c r="M1737" i="14" l="1"/>
  <c r="M1738" i="14" s="1"/>
  <c r="M1739" i="14" s="1"/>
  <c r="M1740" i="14" s="1"/>
  <c r="N1736" i="14"/>
  <c r="N1737" i="14" s="1"/>
  <c r="N1738" i="14" s="1"/>
  <c r="N1739" i="14" s="1"/>
  <c r="M1741" i="14" l="1"/>
  <c r="M1742" i="14" s="1"/>
  <c r="M1743" i="14" s="1"/>
  <c r="M1744" i="14" s="1"/>
  <c r="N1740" i="14"/>
  <c r="N1741" i="14" s="1"/>
  <c r="N1742" i="14" s="1"/>
  <c r="N1743" i="14" s="1"/>
  <c r="M1745" i="14" l="1"/>
  <c r="M1746" i="14" s="1"/>
  <c r="N1744" i="14"/>
  <c r="N1745" i="14" s="1"/>
  <c r="M1747" i="14" l="1"/>
  <c r="M1748" i="14" s="1"/>
  <c r="M1749" i="14" s="1"/>
  <c r="N1746" i="14"/>
  <c r="N1747" i="14" s="1"/>
  <c r="N1748" i="14" s="1"/>
  <c r="M1750" i="14" l="1"/>
  <c r="M1751" i="14" s="1"/>
  <c r="M1752" i="14" s="1"/>
  <c r="N1749" i="14"/>
  <c r="N1750" i="14" s="1"/>
  <c r="N1751" i="14" s="1"/>
  <c r="M1753" i="14" l="1"/>
  <c r="N1752" i="14"/>
  <c r="M1754" i="14" l="1"/>
  <c r="M1755" i="14" s="1"/>
  <c r="M1756" i="14" s="1"/>
  <c r="N1753" i="14"/>
  <c r="N1754" i="14" s="1"/>
  <c r="N1755" i="14" s="1"/>
  <c r="M1757" i="14" l="1"/>
  <c r="N1756" i="14"/>
  <c r="M1758" i="14" l="1"/>
  <c r="M1759" i="14" s="1"/>
  <c r="M1760" i="14" s="1"/>
  <c r="M1761" i="14" s="1"/>
  <c r="N1757" i="14"/>
  <c r="N1758" i="14" s="1"/>
  <c r="N1759" i="14" s="1"/>
  <c r="N1760" i="14" s="1"/>
  <c r="M1762" i="14" l="1"/>
  <c r="M1763" i="14" s="1"/>
  <c r="M1764" i="14" s="1"/>
  <c r="N1761" i="14"/>
  <c r="N1762" i="14" s="1"/>
  <c r="N1763" i="14" s="1"/>
  <c r="M1765" i="14" l="1"/>
  <c r="M1766" i="14" s="1"/>
  <c r="M1767" i="14" s="1"/>
  <c r="N1764" i="14"/>
  <c r="N1765" i="14" s="1"/>
  <c r="N1766" i="14" s="1"/>
  <c r="M1768" i="14" l="1"/>
  <c r="M1769" i="14" s="1"/>
  <c r="N1767" i="14"/>
  <c r="N1768" i="14" s="1"/>
  <c r="M1770" i="14" l="1"/>
  <c r="M1771" i="14" s="1"/>
  <c r="N1769" i="14"/>
  <c r="N1770" i="14" s="1"/>
  <c r="M1772" i="14" l="1"/>
  <c r="M1773" i="14" s="1"/>
  <c r="N1771" i="14"/>
  <c r="N1772" i="14" s="1"/>
  <c r="M1774" i="14" l="1"/>
  <c r="M1775" i="14" s="1"/>
  <c r="N1773" i="14"/>
  <c r="N1774" i="14" s="1"/>
  <c r="M1776" i="14" l="1"/>
  <c r="N1775" i="14"/>
  <c r="M1777" i="14" l="1"/>
  <c r="M1778" i="14" s="1"/>
  <c r="N1776" i="14"/>
  <c r="N1777" i="14" s="1"/>
  <c r="M1779" i="14" l="1"/>
  <c r="M1780" i="14" s="1"/>
  <c r="N1778" i="14"/>
  <c r="N1779" i="14" s="1"/>
  <c r="M1781" i="14" l="1"/>
  <c r="N1780" i="14"/>
  <c r="M1782" i="14" l="1"/>
  <c r="N1781" i="14"/>
  <c r="M1783" i="14" l="1"/>
  <c r="M1784" i="14" s="1"/>
  <c r="M1785" i="14" s="1"/>
  <c r="N1782" i="14"/>
  <c r="N1783" i="14" s="1"/>
  <c r="N1784" i="14" s="1"/>
  <c r="M1786" i="14" l="1"/>
  <c r="M1787" i="14" s="1"/>
  <c r="N1785" i="14"/>
  <c r="N1786" i="14" s="1"/>
  <c r="M1788" i="14" l="1"/>
  <c r="M1789" i="14" s="1"/>
  <c r="M1790" i="14" s="1"/>
  <c r="N1787" i="14"/>
  <c r="N1788" i="14" s="1"/>
  <c r="N1789" i="14" s="1"/>
  <c r="M1791" i="14" l="1"/>
  <c r="N1790" i="14"/>
  <c r="M1792" i="14" l="1"/>
  <c r="M1793" i="14" s="1"/>
  <c r="N1791" i="14"/>
  <c r="N1792" i="14" s="1"/>
  <c r="M1794" i="14" l="1"/>
  <c r="N1793" i="14"/>
  <c r="M1795" i="14" l="1"/>
  <c r="M1796" i="14" s="1"/>
  <c r="M1797" i="14" s="1"/>
  <c r="N1794" i="14"/>
  <c r="N1795" i="14" s="1"/>
  <c r="N1796" i="14" s="1"/>
  <c r="M1798" i="14" l="1"/>
  <c r="M1799" i="14" s="1"/>
  <c r="M1800" i="14" s="1"/>
  <c r="N1797" i="14"/>
  <c r="N1798" i="14" s="1"/>
  <c r="N1799" i="14" s="1"/>
  <c r="M1801" i="14" l="1"/>
  <c r="M1802" i="14" s="1"/>
  <c r="M1803" i="14" s="1"/>
  <c r="N1800" i="14"/>
  <c r="N1801" i="14" s="1"/>
  <c r="N1802" i="14" s="1"/>
  <c r="M1804" i="14" l="1"/>
  <c r="N1803" i="14"/>
  <c r="M1805" i="14" l="1"/>
  <c r="M1806" i="14" s="1"/>
  <c r="N1804" i="14"/>
  <c r="N1805" i="14" s="1"/>
  <c r="M1807" i="14" l="1"/>
  <c r="M1808" i="14" s="1"/>
  <c r="M1809" i="14" s="1"/>
  <c r="M1810" i="14" s="1"/>
  <c r="N1806" i="14"/>
  <c r="N1807" i="14" s="1"/>
  <c r="N1808" i="14" s="1"/>
  <c r="N1809" i="14" s="1"/>
  <c r="M1811" i="14" l="1"/>
  <c r="N1810" i="14"/>
  <c r="N1811" i="14" s="1"/>
  <c r="M1812" i="14" l="1"/>
  <c r="M1813" i="14" l="1"/>
  <c r="N1812" i="14"/>
  <c r="M1814" i="14" l="1"/>
  <c r="M1815" i="14" s="1"/>
  <c r="N1813" i="14"/>
  <c r="N1814" i="14" s="1"/>
  <c r="M1816" i="14" l="1"/>
  <c r="M1817" i="14" s="1"/>
  <c r="N1815" i="14"/>
  <c r="N1816" i="14" s="1"/>
  <c r="M1818" i="14" l="1"/>
  <c r="M1819" i="14" s="1"/>
  <c r="M1820" i="14" s="1"/>
  <c r="N1817" i="14"/>
  <c r="N1818" i="14" s="1"/>
  <c r="N1819" i="14" s="1"/>
  <c r="M1821" i="14" l="1"/>
  <c r="M1822" i="14" s="1"/>
  <c r="M1823" i="14" s="1"/>
  <c r="M1824" i="14" s="1"/>
  <c r="N1820" i="14"/>
  <c r="N1821" i="14" s="1"/>
  <c r="N1822" i="14" s="1"/>
  <c r="N1823" i="14" s="1"/>
  <c r="M1825" i="14" l="1"/>
  <c r="M1826" i="14" s="1"/>
  <c r="M1827" i="14" s="1"/>
  <c r="N1824" i="14"/>
  <c r="N1825" i="14" s="1"/>
  <c r="N1826" i="14" s="1"/>
  <c r="M1828" i="14" l="1"/>
  <c r="M1829" i="14" s="1"/>
  <c r="M1830" i="14" s="1"/>
  <c r="N1827" i="14"/>
  <c r="N1828" i="14" s="1"/>
  <c r="N1829" i="14" s="1"/>
  <c r="M1831" i="14" l="1"/>
  <c r="M1832" i="14" s="1"/>
  <c r="M1833" i="14" s="1"/>
  <c r="M1834" i="14" s="1"/>
  <c r="N1830" i="14"/>
  <c r="N1831" i="14" s="1"/>
  <c r="N1832" i="14" s="1"/>
  <c r="N1833" i="14" s="1"/>
  <c r="M1835" i="14" l="1"/>
  <c r="M1836" i="14" s="1"/>
  <c r="M1837" i="14" s="1"/>
  <c r="N1834" i="14"/>
  <c r="N1835" i="14" s="1"/>
  <c r="N1836" i="14" s="1"/>
  <c r="M1838" i="14" l="1"/>
  <c r="N1837" i="14"/>
  <c r="M1839" i="14" l="1"/>
  <c r="M1840" i="14" s="1"/>
  <c r="N1838" i="14"/>
  <c r="N1839" i="14" s="1"/>
  <c r="M1841" i="14" l="1"/>
  <c r="M1842" i="14" s="1"/>
  <c r="M1843" i="14" s="1"/>
  <c r="N1840" i="14"/>
  <c r="N1841" i="14" s="1"/>
  <c r="N1842" i="14" s="1"/>
  <c r="M1844" i="14" l="1"/>
  <c r="M1845" i="14" s="1"/>
  <c r="M1846" i="14" s="1"/>
  <c r="M1847" i="14" s="1"/>
  <c r="N1843" i="14"/>
  <c r="N1844" i="14" s="1"/>
  <c r="N1845" i="14" s="1"/>
  <c r="N1846" i="14" s="1"/>
  <c r="M1848" i="14" l="1"/>
  <c r="M1849" i="14" s="1"/>
  <c r="N1847" i="14"/>
  <c r="N1848" i="14" s="1"/>
  <c r="M1850" i="14" l="1"/>
  <c r="M1851" i="14" s="1"/>
  <c r="M1852" i="14" s="1"/>
  <c r="N1849" i="14"/>
  <c r="N1850" i="14" s="1"/>
  <c r="N1851" i="14" s="1"/>
  <c r="M1853" i="14" l="1"/>
  <c r="N1852" i="14"/>
  <c r="M1854" i="14" l="1"/>
  <c r="M1855" i="14" s="1"/>
  <c r="M1856" i="14" s="1"/>
  <c r="N1853" i="14"/>
  <c r="N1854" i="14" s="1"/>
  <c r="N1855" i="14" s="1"/>
  <c r="M1857" i="14" l="1"/>
  <c r="M1858" i="14" s="1"/>
  <c r="M1859" i="14" s="1"/>
  <c r="M1860" i="14" s="1"/>
  <c r="N1856" i="14"/>
  <c r="N1857" i="14" s="1"/>
  <c r="N1858" i="14" s="1"/>
  <c r="N1859" i="14" s="1"/>
  <c r="M1861" i="14" l="1"/>
  <c r="M1862" i="14" s="1"/>
  <c r="M1863" i="14" s="1"/>
  <c r="N1860" i="14"/>
  <c r="N1861" i="14" s="1"/>
  <c r="N1862" i="14" s="1"/>
  <c r="M1864" i="14" l="1"/>
  <c r="N1863" i="14"/>
  <c r="M1865" i="14" l="1"/>
  <c r="M1866" i="14" s="1"/>
  <c r="M1867" i="14" s="1"/>
  <c r="M1868" i="14" s="1"/>
  <c r="N1864" i="14"/>
  <c r="N1865" i="14" s="1"/>
  <c r="N1866" i="14" s="1"/>
  <c r="N1867" i="14" s="1"/>
  <c r="M1869" i="14" l="1"/>
  <c r="N1868" i="14"/>
  <c r="M1870" i="14" l="1"/>
  <c r="M1871" i="14" s="1"/>
  <c r="N1869" i="14"/>
  <c r="N1870" i="14" s="1"/>
  <c r="M1872" i="14" l="1"/>
  <c r="M1873" i="14" s="1"/>
  <c r="M1874" i="14" s="1"/>
  <c r="N1871" i="14"/>
  <c r="N1872" i="14" s="1"/>
  <c r="N1873" i="14" s="1"/>
  <c r="M1875" i="14" l="1"/>
  <c r="M1876" i="14" s="1"/>
  <c r="N1874" i="14"/>
  <c r="N1875" i="14" s="1"/>
  <c r="M1877" i="14" l="1"/>
  <c r="M1878" i="14" s="1"/>
  <c r="M1879" i="14" s="1"/>
  <c r="M1880" i="14" s="1"/>
  <c r="N1876" i="14"/>
  <c r="N1877" i="14" s="1"/>
  <c r="N1878" i="14" s="1"/>
  <c r="N1879" i="14" s="1"/>
  <c r="M1881" i="14" l="1"/>
  <c r="N1880" i="14"/>
  <c r="M1882" i="14" l="1"/>
  <c r="M1883" i="14" s="1"/>
  <c r="N1881" i="14"/>
  <c r="N1882" i="14" s="1"/>
  <c r="M1884" i="14" l="1"/>
  <c r="M1885" i="14" s="1"/>
  <c r="N1883" i="14"/>
  <c r="N1884" i="14" s="1"/>
  <c r="M1886" i="14" l="1"/>
  <c r="M1887" i="14" s="1"/>
  <c r="N1885" i="14"/>
  <c r="N1886" i="14" s="1"/>
  <c r="M1888" i="14" l="1"/>
  <c r="N1887" i="14"/>
  <c r="M1889" i="14" l="1"/>
  <c r="M1890" i="14" s="1"/>
  <c r="M1891" i="14" s="1"/>
  <c r="M1892" i="14" s="1"/>
  <c r="N1888" i="14"/>
  <c r="N1889" i="14" s="1"/>
  <c r="N1890" i="14" s="1"/>
  <c r="N1891" i="14" s="1"/>
  <c r="M1893" i="14" l="1"/>
  <c r="N1892" i="14"/>
  <c r="M1894" i="14" l="1"/>
  <c r="M1895" i="14" s="1"/>
  <c r="N1893" i="14"/>
  <c r="N1894" i="14" s="1"/>
  <c r="M1896" i="14" l="1"/>
  <c r="N1895" i="14"/>
  <c r="M1897" i="14" l="1"/>
  <c r="N1896" i="14"/>
  <c r="M1898" i="14" l="1"/>
  <c r="M1899" i="14" s="1"/>
  <c r="N1897" i="14"/>
  <c r="N1898" i="14" s="1"/>
  <c r="M1900" i="14" l="1"/>
  <c r="M1901" i="14" s="1"/>
  <c r="N1899" i="14"/>
  <c r="N1900" i="14" s="1"/>
  <c r="M1902" i="14" l="1"/>
  <c r="M1903" i="14" s="1"/>
  <c r="M1904" i="14" s="1"/>
  <c r="N1901" i="14"/>
  <c r="N1902" i="14" s="1"/>
  <c r="N1903" i="14" s="1"/>
  <c r="M1905" i="14" l="1"/>
  <c r="M1906" i="14" s="1"/>
  <c r="M1907" i="14" s="1"/>
  <c r="N1904" i="14"/>
  <c r="N1905" i="14" s="1"/>
  <c r="N1906" i="14" s="1"/>
  <c r="M1908" i="14" l="1"/>
  <c r="M1909" i="14" s="1"/>
  <c r="M1910" i="14" s="1"/>
  <c r="M1911" i="14" s="1"/>
  <c r="N1907" i="14"/>
  <c r="N1908" i="14" s="1"/>
  <c r="N1909" i="14" s="1"/>
  <c r="N1910" i="14" s="1"/>
  <c r="M1912" i="14" l="1"/>
  <c r="M1913" i="14" s="1"/>
  <c r="M1914" i="14" s="1"/>
  <c r="N1911" i="14"/>
  <c r="N1912" i="14" s="1"/>
  <c r="N1913" i="14" s="1"/>
  <c r="M1915" i="14" l="1"/>
  <c r="M1916" i="14" s="1"/>
  <c r="N1914" i="14"/>
  <c r="N1915" i="14" s="1"/>
  <c r="M1917" i="14" l="1"/>
  <c r="M1918" i="14" s="1"/>
  <c r="M1919" i="14" s="1"/>
  <c r="M1920" i="14" s="1"/>
  <c r="N1916" i="14"/>
  <c r="N1917" i="14" s="1"/>
  <c r="N1918" i="14" s="1"/>
  <c r="N1919" i="14" s="1"/>
  <c r="M1921" i="14" l="1"/>
  <c r="M1922" i="14" s="1"/>
  <c r="N1920" i="14"/>
  <c r="N1921" i="14" s="1"/>
  <c r="M1923" i="14" l="1"/>
  <c r="M1924" i="14" s="1"/>
  <c r="N1922" i="14"/>
  <c r="N1923" i="14" s="1"/>
  <c r="M1925" i="14" l="1"/>
  <c r="M1926" i="14" s="1"/>
  <c r="N1924" i="14"/>
  <c r="N1925" i="14" s="1"/>
  <c r="M1927" i="14" l="1"/>
  <c r="M1928" i="14" s="1"/>
  <c r="M1929" i="14" s="1"/>
  <c r="M1930" i="14" s="1"/>
  <c r="N1926" i="14"/>
  <c r="N1927" i="14" s="1"/>
  <c r="N1928" i="14" s="1"/>
  <c r="N1929" i="14" s="1"/>
  <c r="M1931" i="14" l="1"/>
  <c r="N1930" i="14"/>
  <c r="N1931" i="14" s="1"/>
  <c r="M1932" i="14" l="1"/>
  <c r="M1933" i="14" s="1"/>
  <c r="M1934" i="14" s="1"/>
  <c r="M1935" i="14" l="1"/>
  <c r="N1934" i="14"/>
  <c r="N1932" i="14"/>
  <c r="N1933" i="14" s="1"/>
  <c r="M1936" i="14" l="1"/>
  <c r="M1937" i="14" s="1"/>
  <c r="M1938" i="14" s="1"/>
  <c r="N1935" i="14"/>
  <c r="N1936" i="14" s="1"/>
  <c r="N1937" i="14" s="1"/>
  <c r="M1939" i="14" l="1"/>
  <c r="M1940" i="14" s="1"/>
  <c r="M1941" i="14" s="1"/>
  <c r="M1942" i="14" s="1"/>
  <c r="N1938" i="14"/>
  <c r="N1939" i="14" s="1"/>
  <c r="N1940" i="14" s="1"/>
  <c r="N1941" i="14" s="1"/>
  <c r="M1943" i="14" l="1"/>
  <c r="N1942" i="14"/>
  <c r="M1944" i="14" l="1"/>
  <c r="M1945" i="14" s="1"/>
  <c r="M1946" i="14" s="1"/>
  <c r="N1943" i="14"/>
  <c r="N1944" i="14" s="1"/>
  <c r="N1945" i="14" s="1"/>
  <c r="M1947" i="14" l="1"/>
  <c r="M1948" i="14" s="1"/>
  <c r="M1949" i="14" s="1"/>
  <c r="M1950" i="14" s="1"/>
  <c r="N1946" i="14"/>
  <c r="N1947" i="14" s="1"/>
  <c r="N1948" i="14" s="1"/>
  <c r="N1949" i="14" s="1"/>
  <c r="M1951" i="14" l="1"/>
  <c r="N1950" i="14"/>
  <c r="M1952" i="14" l="1"/>
  <c r="N1951" i="14"/>
  <c r="M1953" i="14" l="1"/>
  <c r="M1954" i="14" s="1"/>
  <c r="M1955" i="14" s="1"/>
  <c r="N1952" i="14"/>
  <c r="N1953" i="14" s="1"/>
  <c r="N1954" i="14" s="1"/>
  <c r="M1956" i="14" l="1"/>
  <c r="M1957" i="14" s="1"/>
  <c r="M1958" i="14" s="1"/>
  <c r="M1959" i="14" s="1"/>
  <c r="N1955" i="14"/>
  <c r="N1956" i="14" s="1"/>
  <c r="N1957" i="14" s="1"/>
  <c r="N1958" i="14" s="1"/>
  <c r="M1960" i="14" l="1"/>
  <c r="M1961" i="14" s="1"/>
  <c r="M1962" i="14" s="1"/>
  <c r="N1959" i="14"/>
  <c r="N1960" i="14" s="1"/>
  <c r="N1961" i="14" s="1"/>
  <c r="M1963" i="14" l="1"/>
  <c r="M1964" i="14" s="1"/>
  <c r="M1965" i="14" s="1"/>
  <c r="N1962" i="14"/>
  <c r="N1963" i="14" s="1"/>
  <c r="N1964" i="14" s="1"/>
  <c r="M1966" i="14" l="1"/>
  <c r="M1967" i="14" s="1"/>
  <c r="N1965" i="14"/>
  <c r="N1966" i="14" s="1"/>
  <c r="M1968" i="14" l="1"/>
  <c r="M1969" i="14" s="1"/>
  <c r="M1970" i="14" s="1"/>
  <c r="M1971" i="14" s="1"/>
  <c r="N1967" i="14"/>
  <c r="N1968" i="14" s="1"/>
  <c r="N1969" i="14" s="1"/>
  <c r="N1970" i="14" s="1"/>
  <c r="M1972" i="14" l="1"/>
  <c r="M1973" i="14" s="1"/>
  <c r="M1974" i="14" s="1"/>
  <c r="N1971" i="14"/>
  <c r="N1972" i="14" s="1"/>
  <c r="N1973" i="14" s="1"/>
  <c r="M1975" i="14" l="1"/>
  <c r="N1974" i="14"/>
  <c r="M1976" i="14" l="1"/>
  <c r="N1975" i="14"/>
  <c r="N1976" i="14" s="1"/>
  <c r="M1977" i="14" l="1"/>
  <c r="M1978" i="14" s="1"/>
  <c r="M1979" i="14" l="1"/>
  <c r="M1980" i="14" s="1"/>
  <c r="M1981" i="14" s="1"/>
  <c r="M1982" i="14" s="1"/>
  <c r="N1978" i="14"/>
  <c r="N1979" i="14" s="1"/>
  <c r="N1980" i="14" s="1"/>
  <c r="N1981" i="14" s="1"/>
  <c r="N1977" i="14"/>
  <c r="M1983" i="14" l="1"/>
  <c r="M1984" i="14" s="1"/>
  <c r="M1985" i="14" s="1"/>
  <c r="M1986" i="14" s="1"/>
  <c r="N1982" i="14"/>
  <c r="N1983" i="14" s="1"/>
  <c r="N1984" i="14" s="1"/>
  <c r="N1985" i="14" s="1"/>
  <c r="M1987" i="14" l="1"/>
  <c r="M1988" i="14" s="1"/>
  <c r="M1989" i="14" s="1"/>
  <c r="M1990" i="14" s="1"/>
  <c r="N1986" i="14"/>
  <c r="N1987" i="14" s="1"/>
  <c r="N1988" i="14" s="1"/>
  <c r="N1989" i="14" s="1"/>
  <c r="M1991" i="14" l="1"/>
  <c r="M1992" i="14" s="1"/>
  <c r="N1990" i="14"/>
  <c r="N1991" i="14" s="1"/>
  <c r="M1993" i="14" l="1"/>
  <c r="N1992" i="14"/>
  <c r="M1994" i="14" l="1"/>
  <c r="M1995" i="14" s="1"/>
  <c r="M1996" i="14" s="1"/>
  <c r="M1997" i="14" s="1"/>
  <c r="N1993" i="14"/>
  <c r="N1994" i="14" s="1"/>
  <c r="N1995" i="14" s="1"/>
  <c r="N1996" i="14" s="1"/>
  <c r="M1998" i="14" l="1"/>
  <c r="M1999" i="14" s="1"/>
  <c r="M2000" i="14" s="1"/>
  <c r="N1997" i="14"/>
  <c r="N1998" i="14" s="1"/>
  <c r="N1999" i="14" s="1"/>
  <c r="N2000" i="14" l="1"/>
</calcChain>
</file>

<file path=xl/sharedStrings.xml><?xml version="1.0" encoding="utf-8"?>
<sst xmlns="http://schemas.openxmlformats.org/spreadsheetml/2006/main" count="17486" uniqueCount="5490">
  <si>
    <t>Sales</t>
  </si>
  <si>
    <t>Purchase</t>
  </si>
  <si>
    <t>HR</t>
  </si>
  <si>
    <t>DQ</t>
  </si>
  <si>
    <t>currency</t>
  </si>
  <si>
    <t>Vendors are different businesses who supply goods.</t>
  </si>
  <si>
    <t>Each contract has a unique contract id</t>
  </si>
  <si>
    <t>OaOnContractId</t>
  </si>
  <si>
    <t>FirstParty</t>
  </si>
  <si>
    <t>SecondParty</t>
  </si>
  <si>
    <t>PartyId</t>
  </si>
  <si>
    <t>OaOnPartyName</t>
  </si>
  <si>
    <t>EstablishedDate</t>
  </si>
  <si>
    <t>PartyAddressCode</t>
  </si>
  <si>
    <t>PartyEmailId</t>
  </si>
  <si>
    <t>PartyContactNumber</t>
  </si>
  <si>
    <t>RecordId</t>
  </si>
  <si>
    <t>TaxId</t>
  </si>
  <si>
    <t>PartyNumber</t>
  </si>
  <si>
    <t>Address</t>
  </si>
  <si>
    <t>City</t>
  </si>
  <si>
    <t>State</t>
  </si>
  <si>
    <t>Country</t>
  </si>
  <si>
    <t>Region</t>
  </si>
  <si>
    <t>ZipCode</t>
  </si>
  <si>
    <t>ValidFrom</t>
  </si>
  <si>
    <t>ValidTo</t>
  </si>
  <si>
    <t>VendId</t>
  </si>
  <si>
    <t>VendorName</t>
  </si>
  <si>
    <t>Active</t>
  </si>
  <si>
    <t>CurrencyCode</t>
  </si>
  <si>
    <t>IsActive</t>
  </si>
  <si>
    <t>date dim</t>
  </si>
  <si>
    <t>PoNumber</t>
  </si>
  <si>
    <t>Qty</t>
  </si>
  <si>
    <t>PurchasePrice</t>
  </si>
  <si>
    <t>ExchangeRate</t>
  </si>
  <si>
    <t>costcenter</t>
  </si>
  <si>
    <t>currencycode</t>
  </si>
  <si>
    <t>OrderDate</t>
  </si>
  <si>
    <t>ShipDate</t>
  </si>
  <si>
    <t>batchid</t>
  </si>
  <si>
    <t>Itemkey</t>
  </si>
  <si>
    <t>ItemId</t>
  </si>
  <si>
    <t>Txt</t>
  </si>
  <si>
    <t>CreatedBy</t>
  </si>
  <si>
    <t>TotalOrder</t>
  </si>
  <si>
    <t>Price</t>
  </si>
  <si>
    <t>CategoryID</t>
  </si>
  <si>
    <t>CategoryId</t>
  </si>
  <si>
    <t>CategoryGroupId</t>
  </si>
  <si>
    <t>DeliveredDate</t>
  </si>
  <si>
    <t>TrackingNumber</t>
  </si>
  <si>
    <t>OAON enters in contract with different  vendors</t>
  </si>
  <si>
    <t>OaOn has registered subsidiaries in different countries</t>
  </si>
  <si>
    <t>OaonParties</t>
  </si>
  <si>
    <t>Vendors supply goods</t>
  </si>
  <si>
    <t>VendTable</t>
  </si>
  <si>
    <t>PurchContracts</t>
  </si>
  <si>
    <t>After contract is signed, PO is raised</t>
  </si>
  <si>
    <t>PurchaseOrder</t>
  </si>
  <si>
    <t>Items are shipped from vendors to Oaon subsidiaries</t>
  </si>
  <si>
    <t>PurchItem</t>
  </si>
  <si>
    <t>PurchCategory</t>
  </si>
  <si>
    <t>Categories</t>
  </si>
  <si>
    <t>OaOnPartyAddress</t>
  </si>
  <si>
    <t>VatAmount</t>
  </si>
  <si>
    <t>BookDate</t>
  </si>
  <si>
    <t>ShippedDate</t>
  </si>
  <si>
    <t>CustId</t>
  </si>
  <si>
    <t>VatPercentage</t>
  </si>
  <si>
    <t>CustomerId</t>
  </si>
  <si>
    <t>CustomerName</t>
  </si>
  <si>
    <t>Email</t>
  </si>
  <si>
    <t>Phone</t>
  </si>
  <si>
    <t>SignupDate</t>
  </si>
  <si>
    <t>PromotionId</t>
  </si>
  <si>
    <t>PromotionName</t>
  </si>
  <si>
    <t>PromoCode</t>
  </si>
  <si>
    <t>PromoType</t>
  </si>
  <si>
    <t>PromoPercentage</t>
  </si>
  <si>
    <t>PaymentTypeId</t>
  </si>
  <si>
    <t>PaymentTypeName</t>
  </si>
  <si>
    <t>USP</t>
  </si>
  <si>
    <t>WorkerID</t>
  </si>
  <si>
    <t>WorkerName</t>
  </si>
  <si>
    <t>WorkerEmail</t>
  </si>
  <si>
    <t>DOJ</t>
  </si>
  <si>
    <t>DOL</t>
  </si>
  <si>
    <t>VerticalId</t>
  </si>
  <si>
    <t>Type</t>
  </si>
  <si>
    <t>PayPerAnnum</t>
  </si>
  <si>
    <t>Rate</t>
  </si>
  <si>
    <t>DQRuleId</t>
  </si>
  <si>
    <t>DQRuleName</t>
  </si>
  <si>
    <t>CategoryName</t>
  </si>
  <si>
    <t>LastProcessedChange_DateTime</t>
  </si>
  <si>
    <t>DataLakeModified_DateTime</t>
  </si>
  <si>
    <t>Future</t>
  </si>
  <si>
    <t>NewAge</t>
  </si>
  <si>
    <t>Xgen</t>
  </si>
  <si>
    <t>TechBiz</t>
  </si>
  <si>
    <t>FMCG</t>
  </si>
  <si>
    <t>AZM</t>
  </si>
  <si>
    <t>Buzzing</t>
  </si>
  <si>
    <t>Destination</t>
  </si>
  <si>
    <t>Stocker</t>
  </si>
  <si>
    <t>Innovative</t>
  </si>
  <si>
    <t>Shipping</t>
  </si>
  <si>
    <t>Products</t>
  </si>
  <si>
    <t>WholeSale</t>
  </si>
  <si>
    <t>ShopAtUs</t>
  </si>
  <si>
    <t>Etail</t>
  </si>
  <si>
    <t>FMCG-WholeSale</t>
  </si>
  <si>
    <t>Innovative-Products</t>
  </si>
  <si>
    <t>NewAge-Products</t>
  </si>
  <si>
    <t>Innovative-WholeSale</t>
  </si>
  <si>
    <t>AZM-WholeSale</t>
  </si>
  <si>
    <t>Stocker-WholeSale</t>
  </si>
  <si>
    <t>Future-Shipping</t>
  </si>
  <si>
    <t>ShopAtUs-Products</t>
  </si>
  <si>
    <t>ShopAtUs-Shipping</t>
  </si>
  <si>
    <t>Innovative-Shipping</t>
  </si>
  <si>
    <t>FMCG-Products</t>
  </si>
  <si>
    <t>Destination-Shipping</t>
  </si>
  <si>
    <t>FMCG-Shipping</t>
  </si>
  <si>
    <t>Buzzing-Shipping</t>
  </si>
  <si>
    <t>AZM-Products</t>
  </si>
  <si>
    <t>ShopAtUs-WholeSale</t>
  </si>
  <si>
    <t>Future-Products</t>
  </si>
  <si>
    <t>Xgen-WholeSale</t>
  </si>
  <si>
    <t>Buzzing-WholeSale</t>
  </si>
  <si>
    <t>Etail-Shipping</t>
  </si>
  <si>
    <t>Stocker-Shipping</t>
  </si>
  <si>
    <t>Destination-WholeSale</t>
  </si>
  <si>
    <t>Etail-Products</t>
  </si>
  <si>
    <t>Destination-Products</t>
  </si>
  <si>
    <t>NewAge-WholeSale</t>
  </si>
  <si>
    <t>Etail-WholeSale</t>
  </si>
  <si>
    <t>TechBiz-Products</t>
  </si>
  <si>
    <t>Buzzing-Products</t>
  </si>
  <si>
    <t>NewAge-Shipping</t>
  </si>
  <si>
    <t>Xgen-Products</t>
  </si>
  <si>
    <t>TechBiz-WholeSale</t>
  </si>
  <si>
    <t>AZM-Shipping</t>
  </si>
  <si>
    <t>TechBiz-Shipping</t>
  </si>
  <si>
    <t>Stocker-Products</t>
  </si>
  <si>
    <t>Ecommerce</t>
  </si>
  <si>
    <t>Supplier</t>
  </si>
  <si>
    <t>FastDelivery</t>
  </si>
  <si>
    <t>Movers</t>
  </si>
  <si>
    <t>Shippers</t>
  </si>
  <si>
    <t>Rapid</t>
  </si>
  <si>
    <t>UltraSpeed</t>
  </si>
  <si>
    <t>Xgen-Ecommerce</t>
  </si>
  <si>
    <t>Destination-Ecommerce</t>
  </si>
  <si>
    <t>UltraSpeed-WholeSale</t>
  </si>
  <si>
    <t>Buzzing-Ecommerce</t>
  </si>
  <si>
    <t>USP-Shippers</t>
  </si>
  <si>
    <t>TechBiz-Shippers</t>
  </si>
  <si>
    <t>Rapid-WholeSale</t>
  </si>
  <si>
    <t>Rapid-Movers</t>
  </si>
  <si>
    <t>Innovative-Movers</t>
  </si>
  <si>
    <t>Etail-Shippers</t>
  </si>
  <si>
    <t>AZM-Supplier</t>
  </si>
  <si>
    <t>Buzzing-Supplier</t>
  </si>
  <si>
    <t>FastDelivery-Products</t>
  </si>
  <si>
    <t>UltraSpeed-Supplier</t>
  </si>
  <si>
    <t>USP-WholeSale</t>
  </si>
  <si>
    <t>Etail-Movers</t>
  </si>
  <si>
    <t>USP-Products</t>
  </si>
  <si>
    <t>TechBiz-Ecommerce</t>
  </si>
  <si>
    <t>Future-Supplier</t>
  </si>
  <si>
    <t>ShopAtUs-Ecommerce</t>
  </si>
  <si>
    <t>AZM-Ecommerce</t>
  </si>
  <si>
    <t>Xgen-Supplier</t>
  </si>
  <si>
    <t>Destination-Movers</t>
  </si>
  <si>
    <t>Stocker-Supplier</t>
  </si>
  <si>
    <t>FastDelivery-Shipping</t>
  </si>
  <si>
    <t>Stocker-Ecommerce</t>
  </si>
  <si>
    <t>FastDelivery-Ecommerce</t>
  </si>
  <si>
    <t>FastDelivery-Movers</t>
  </si>
  <si>
    <t>Future-Shippers</t>
  </si>
  <si>
    <t>USP-Movers</t>
  </si>
  <si>
    <t>Innovative-Supplier</t>
  </si>
  <si>
    <t>Etail-Ecommerce</t>
  </si>
  <si>
    <t>Rapid-Shipping</t>
  </si>
  <si>
    <t>USP-Supplier</t>
  </si>
  <si>
    <t>NewAge-Ecommerce</t>
  </si>
  <si>
    <t>FastDelivery-Shippers</t>
  </si>
  <si>
    <t>NewAge-Supplier</t>
  </si>
  <si>
    <t>Rapid-Products</t>
  </si>
  <si>
    <t>Innovative-Ecommerce</t>
  </si>
  <si>
    <t>Destination-Shippers</t>
  </si>
  <si>
    <t>AZM-Movers</t>
  </si>
  <si>
    <t>UltraSpeed-Shippers</t>
  </si>
  <si>
    <t>FastDelivery-WholeSale</t>
  </si>
  <si>
    <t>USP-Shipping</t>
  </si>
  <si>
    <t>TechBiz-Movers</t>
  </si>
  <si>
    <t>FMCG-Movers</t>
  </si>
  <si>
    <t>FastDelivery-Supplier</t>
  </si>
  <si>
    <t>ShopAtUs-Movers</t>
  </si>
  <si>
    <t>Innovative-Shippers</t>
  </si>
  <si>
    <t>UltraSpeed-Movers</t>
  </si>
  <si>
    <t>ShopAtUs-Shippers</t>
  </si>
  <si>
    <t>Rapid-Shippers</t>
  </si>
  <si>
    <t>Buzzing-Movers</t>
  </si>
  <si>
    <t>Buzzing-Shippers</t>
  </si>
  <si>
    <t>UltraSpeed-Products</t>
  </si>
  <si>
    <t>TechBiz-Supplier</t>
  </si>
  <si>
    <t>FMCG-Supplier</t>
  </si>
  <si>
    <t>USP-Ecommerce</t>
  </si>
  <si>
    <t>Xgen-Shippers</t>
  </si>
  <si>
    <t>AZM-Shippers</t>
  </si>
  <si>
    <t>UltraSpeed-Shipping</t>
  </si>
  <si>
    <t>NewAge-Shippers</t>
  </si>
  <si>
    <t>UltraSpeed-Ecommerce</t>
  </si>
  <si>
    <t>Destination-Supplier</t>
  </si>
  <si>
    <t>Future-Ecommerce</t>
  </si>
  <si>
    <t>Future-Movers</t>
  </si>
  <si>
    <t>Stocker-Shippers</t>
  </si>
  <si>
    <t>NewAge-Movers</t>
  </si>
  <si>
    <t>Rapid-Ecommerce</t>
  </si>
  <si>
    <t>FMCG-Shippers</t>
  </si>
  <si>
    <t>FMCG-Ecommerce</t>
  </si>
  <si>
    <t>ShopAtUs-Supplier</t>
  </si>
  <si>
    <t>Etail-Supplier</t>
  </si>
  <si>
    <t>Stocker-Movers</t>
  </si>
  <si>
    <t>United States</t>
  </si>
  <si>
    <t>Europe</t>
  </si>
  <si>
    <t>MiddleEast</t>
  </si>
  <si>
    <t>Asia</t>
  </si>
  <si>
    <t>Australia</t>
  </si>
  <si>
    <t>US</t>
  </si>
  <si>
    <t>UK</t>
  </si>
  <si>
    <t>UAE</t>
  </si>
  <si>
    <t>SaudiArabia</t>
  </si>
  <si>
    <t>Qatar</t>
  </si>
  <si>
    <t>Kuwait</t>
  </si>
  <si>
    <t>Egypt</t>
  </si>
  <si>
    <t>Turkiye</t>
  </si>
  <si>
    <t>India</t>
  </si>
  <si>
    <t>Pakistan</t>
  </si>
  <si>
    <t>SAR</t>
  </si>
  <si>
    <t>USD</t>
  </si>
  <si>
    <t>GBP</t>
  </si>
  <si>
    <t>AED</t>
  </si>
  <si>
    <t>QAR</t>
  </si>
  <si>
    <t>KWD</t>
  </si>
  <si>
    <t>EGP</t>
  </si>
  <si>
    <t>TRP</t>
  </si>
  <si>
    <t>INR</t>
  </si>
  <si>
    <t>PKR</t>
  </si>
  <si>
    <t>AUD</t>
  </si>
  <si>
    <t>XGE24CE</t>
  </si>
  <si>
    <t>DES89CE</t>
  </si>
  <si>
    <t>ULT42LE</t>
  </si>
  <si>
    <t>BUZ96CE</t>
  </si>
  <si>
    <t>USP59RS</t>
  </si>
  <si>
    <t>FMC12LE</t>
  </si>
  <si>
    <t>STO29LE</t>
  </si>
  <si>
    <t>TEC18RS</t>
  </si>
  <si>
    <t>RAP82LE</t>
  </si>
  <si>
    <t>STO92TS</t>
  </si>
  <si>
    <t>RAP26RS</t>
  </si>
  <si>
    <t>AZM11NG</t>
  </si>
  <si>
    <t>INN95RS</t>
  </si>
  <si>
    <t>ETA12RS</t>
  </si>
  <si>
    <t>AZM21ER</t>
  </si>
  <si>
    <t>BUZ38ER</t>
  </si>
  <si>
    <t>FAS59TS</t>
  </si>
  <si>
    <t>ULT27ER</t>
  </si>
  <si>
    <t>FUT61NG</t>
  </si>
  <si>
    <t>USP55LE</t>
  </si>
  <si>
    <t>ETA77RS</t>
  </si>
  <si>
    <t>USP32TS</t>
  </si>
  <si>
    <t>TEC45CE</t>
  </si>
  <si>
    <t>FUT38ER</t>
  </si>
  <si>
    <t>SHO49CE</t>
  </si>
  <si>
    <t>NEW41NG</t>
  </si>
  <si>
    <t>ETA68NG</t>
  </si>
  <si>
    <t>AZM77CE</t>
  </si>
  <si>
    <t>BUZ14LE</t>
  </si>
  <si>
    <t>XGE34ER</t>
  </si>
  <si>
    <t>DES56RS</t>
  </si>
  <si>
    <t>STO88ER</t>
  </si>
  <si>
    <t>ETA48TS</t>
  </si>
  <si>
    <t>FAS22NG</t>
  </si>
  <si>
    <t>STO29CE</t>
  </si>
  <si>
    <t>FAS49CE</t>
  </si>
  <si>
    <t>XGE51LE</t>
  </si>
  <si>
    <t>FAS87RS</t>
  </si>
  <si>
    <t>FUT28RS</t>
  </si>
  <si>
    <t>USP39RS</t>
  </si>
  <si>
    <t>INN33ER</t>
  </si>
  <si>
    <t>ETA87CE</t>
  </si>
  <si>
    <t>RAP39NG</t>
  </si>
  <si>
    <t>USP29ER</t>
  </si>
  <si>
    <t>SHO18TS</t>
  </si>
  <si>
    <t>INN79NG</t>
  </si>
  <si>
    <t>NEW69CE</t>
  </si>
  <si>
    <t>TEC32TS</t>
  </si>
  <si>
    <t>FAS31RS</t>
  </si>
  <si>
    <t>NEW31ER</t>
  </si>
  <si>
    <t>RAP49TS</t>
  </si>
  <si>
    <t>INN28CE</t>
  </si>
  <si>
    <t>FMC64NG</t>
  </si>
  <si>
    <t>SHO48NG</t>
  </si>
  <si>
    <t>DES69RS</t>
  </si>
  <si>
    <t>AZM74LE</t>
  </si>
  <si>
    <t>FUT59TS</t>
  </si>
  <si>
    <t>SHO23LE</t>
  </si>
  <si>
    <t>AZM45RS</t>
  </si>
  <si>
    <t>ULT85RS</t>
  </si>
  <si>
    <t>FAS87LE</t>
  </si>
  <si>
    <t>XGE41TS</t>
  </si>
  <si>
    <t>USP25NG</t>
  </si>
  <si>
    <t>TEC75RS</t>
  </si>
  <si>
    <t>FMC75RS</t>
  </si>
  <si>
    <t>FAS58ER</t>
  </si>
  <si>
    <t>INN94TS</t>
  </si>
  <si>
    <t>SHO92RS</t>
  </si>
  <si>
    <t>INN24RS</t>
  </si>
  <si>
    <t>ULT41RS</t>
  </si>
  <si>
    <t>SHO99RS</t>
  </si>
  <si>
    <t>RAP25RS</t>
  </si>
  <si>
    <t>BUZ54RS</t>
  </si>
  <si>
    <t>BUZ86RS</t>
  </si>
  <si>
    <t>ULT28TS</t>
  </si>
  <si>
    <t>TEC55ER</t>
  </si>
  <si>
    <t>NEW29TS</t>
  </si>
  <si>
    <t>FMC88ER</t>
  </si>
  <si>
    <t>USP69CE</t>
  </si>
  <si>
    <t>DES15TS</t>
  </si>
  <si>
    <t>ETA28LE</t>
  </si>
  <si>
    <t>XGE14RS</t>
  </si>
  <si>
    <t>AZM43RS</t>
  </si>
  <si>
    <t>DES87NG</t>
  </si>
  <si>
    <t>TEC61LE</t>
  </si>
  <si>
    <t>ULT29NG</t>
  </si>
  <si>
    <t>NEW12RS</t>
  </si>
  <si>
    <t>TEC86NG</t>
  </si>
  <si>
    <t>ULT47CE</t>
  </si>
  <si>
    <t>FMC31TS</t>
  </si>
  <si>
    <t>DES12ER</t>
  </si>
  <si>
    <t>FUT66CE</t>
  </si>
  <si>
    <t>FUT59RS</t>
  </si>
  <si>
    <t>STO35RS</t>
  </si>
  <si>
    <t>AZM99TS</t>
  </si>
  <si>
    <t>STO71NG</t>
  </si>
  <si>
    <t>INN68LE</t>
  </si>
  <si>
    <t>NEW79RS</t>
  </si>
  <si>
    <t>DES51LE</t>
  </si>
  <si>
    <t>RAP26CE</t>
  </si>
  <si>
    <t>FMC52RS</t>
  </si>
  <si>
    <t>FMC68CE</t>
  </si>
  <si>
    <t>SHO65ER</t>
  </si>
  <si>
    <t>ETA49ER</t>
  </si>
  <si>
    <t>NEW24LE</t>
  </si>
  <si>
    <t>BUZ12TS</t>
  </si>
  <si>
    <t>BUZ43NG</t>
  </si>
  <si>
    <t>STO66RS</t>
  </si>
  <si>
    <t>Utilities</t>
  </si>
  <si>
    <t>Food</t>
  </si>
  <si>
    <t>Beverages</t>
  </si>
  <si>
    <t>Meat</t>
  </si>
  <si>
    <t>Stationary</t>
  </si>
  <si>
    <t>Kids</t>
  </si>
  <si>
    <t>Adult</t>
  </si>
  <si>
    <t>Electronics</t>
  </si>
  <si>
    <t>Clothing</t>
  </si>
  <si>
    <t>Bathing</t>
  </si>
  <si>
    <t>Adjustable Race</t>
  </si>
  <si>
    <t>Bearing Ball</t>
  </si>
  <si>
    <t>BB Ball Bearing</t>
  </si>
  <si>
    <t>Headset Ball Bearings</t>
  </si>
  <si>
    <t>Blade</t>
  </si>
  <si>
    <t>LL Crankarm</t>
  </si>
  <si>
    <t>ML Crankarm</t>
  </si>
  <si>
    <t>HL Crankarm</t>
  </si>
  <si>
    <t>Chainring Bolts</t>
  </si>
  <si>
    <t>Chainring Nut</t>
  </si>
  <si>
    <t>Chainring</t>
  </si>
  <si>
    <t>Crown Race</t>
  </si>
  <si>
    <t>Chain Stays</t>
  </si>
  <si>
    <t>Decal 1</t>
  </si>
  <si>
    <t>Decal 2</t>
  </si>
  <si>
    <t>Down Tube</t>
  </si>
  <si>
    <t>Mountain End Caps</t>
  </si>
  <si>
    <t>Road End Caps</t>
  </si>
  <si>
    <t>Touring End Caps</t>
  </si>
  <si>
    <t>Fork End</t>
  </si>
  <si>
    <t>Freewheel</t>
  </si>
  <si>
    <t>Flat Washer 1</t>
  </si>
  <si>
    <t>Flat Washer 6</t>
  </si>
  <si>
    <t>Flat Washer 2</t>
  </si>
  <si>
    <t>Flat Washer 9</t>
  </si>
  <si>
    <t>Flat Washer 4</t>
  </si>
  <si>
    <t>Flat Washer 3</t>
  </si>
  <si>
    <t>Flat Washer 8</t>
  </si>
  <si>
    <t>Flat Washer 5</t>
  </si>
  <si>
    <t>Flat Washer 7</t>
  </si>
  <si>
    <t>Fork Crown</t>
  </si>
  <si>
    <t>Front Derailleur Cage</t>
  </si>
  <si>
    <t>Front Derailleur Linkage</t>
  </si>
  <si>
    <t>Guide Pulley</t>
  </si>
  <si>
    <t>LL Grip Tape</t>
  </si>
  <si>
    <t>ML Grip Tape</t>
  </si>
  <si>
    <t>HL Grip Tape</t>
  </si>
  <si>
    <t>Thin-Jam Hex Nut 9</t>
  </si>
  <si>
    <t>Thin-Jam Hex Nut 10</t>
  </si>
  <si>
    <t>Thin-Jam Hex Nut 1</t>
  </si>
  <si>
    <t>Thin-Jam Hex Nut 2</t>
  </si>
  <si>
    <t>Thin-Jam Hex Nut 15</t>
  </si>
  <si>
    <t>Thin-Jam Hex Nut 16</t>
  </si>
  <si>
    <t>Thin-Jam Hex Nut 5</t>
  </si>
  <si>
    <t>Thin-Jam Hex Nut 6</t>
  </si>
  <si>
    <t>Thin-Jam Hex Nut 3</t>
  </si>
  <si>
    <t>Thin-Jam Hex Nut 4</t>
  </si>
  <si>
    <t>Thin-Jam Hex Nut 13</t>
  </si>
  <si>
    <t>Thin-Jam Hex Nut 14</t>
  </si>
  <si>
    <t>Thin-Jam Hex Nut 7</t>
  </si>
  <si>
    <t>Thin-Jam Hex Nut 8</t>
  </si>
  <si>
    <t>Thin-Jam Hex Nut 12</t>
  </si>
  <si>
    <t>Thin-Jam Hex Nut 11</t>
  </si>
  <si>
    <t>Hex Nut 5</t>
  </si>
  <si>
    <t>Hex Nut 6</t>
  </si>
  <si>
    <t>Hex Nut 16</t>
  </si>
  <si>
    <t>Hex Nut 17</t>
  </si>
  <si>
    <t>Hex Nut 7</t>
  </si>
  <si>
    <t>Hex Nut 8</t>
  </si>
  <si>
    <t>Hex Nut 9</t>
  </si>
  <si>
    <t>Hex Nut 22</t>
  </si>
  <si>
    <t>Hex Nut 23</t>
  </si>
  <si>
    <t>Hex Nut 12</t>
  </si>
  <si>
    <t>Hex Nut 13</t>
  </si>
  <si>
    <t>Hex Nut 1</t>
  </si>
  <si>
    <t>Hex Nut 10</t>
  </si>
  <si>
    <t>Hex Nut 11</t>
  </si>
  <si>
    <t>Hex Nut 2</t>
  </si>
  <si>
    <t>Hex Nut 20</t>
  </si>
  <si>
    <t>Hex Nut 21</t>
  </si>
  <si>
    <t>Hex Nut 3</t>
  </si>
  <si>
    <t>Hex Nut 14</t>
  </si>
  <si>
    <t>Hex Nut 15</t>
  </si>
  <si>
    <t>Hex Nut 4</t>
  </si>
  <si>
    <t>Hex Nut 18</t>
  </si>
  <si>
    <t>Hex Nut 19</t>
  </si>
  <si>
    <t>Handlebar Tube</t>
  </si>
  <si>
    <t>Head Tube</t>
  </si>
  <si>
    <t>LL Hub</t>
  </si>
  <si>
    <t>HL Hub</t>
  </si>
  <si>
    <t>Keyed Washer</t>
  </si>
  <si>
    <t>External Lock Washer 3</t>
  </si>
  <si>
    <t>External Lock Washer 4</t>
  </si>
  <si>
    <t>External Lock Washer 9</t>
  </si>
  <si>
    <t>External Lock Washer 5</t>
  </si>
  <si>
    <t>External Lock Washer 7</t>
  </si>
  <si>
    <t>External Lock Washer 6</t>
  </si>
  <si>
    <t>External Lock Washer 1</t>
  </si>
  <si>
    <t>External Lock Washer 8</t>
  </si>
  <si>
    <t>External Lock Washer 2</t>
  </si>
  <si>
    <t>Internal Lock Washer 3</t>
  </si>
  <si>
    <t>Internal Lock Washer 4</t>
  </si>
  <si>
    <t>Internal Lock Washer 9</t>
  </si>
  <si>
    <t>Internal Lock Washer 5</t>
  </si>
  <si>
    <t>Internal Lock Washer 7</t>
  </si>
  <si>
    <t>Internal Lock Washer 6</t>
  </si>
  <si>
    <t>Internal Lock Washer 10</t>
  </si>
  <si>
    <t>Internal Lock Washer 1</t>
  </si>
  <si>
    <t>Internal Lock Washer 8</t>
  </si>
  <si>
    <t>Internal Lock Washer 2</t>
  </si>
  <si>
    <t>Thin-Jam Lock Nut 9</t>
  </si>
  <si>
    <t>Thin-Jam Lock Nut 10</t>
  </si>
  <si>
    <t>Thin-Jam Lock Nut 1</t>
  </si>
  <si>
    <t>Thin-Jam Lock Nut 2</t>
  </si>
  <si>
    <t>Thin-Jam Lock Nut 15</t>
  </si>
  <si>
    <t>Thin-Jam Lock Nut 16</t>
  </si>
  <si>
    <t>Thin-Jam Lock Nut 5</t>
  </si>
  <si>
    <t>Thin-Jam Lock Nut 6</t>
  </si>
  <si>
    <t>Thin-Jam Lock Nut 3</t>
  </si>
  <si>
    <t>Thin-Jam Lock Nut 4</t>
  </si>
  <si>
    <t>Thin-Jam Lock Nut 13</t>
  </si>
  <si>
    <t>Thin-Jam Lock Nut 14</t>
  </si>
  <si>
    <t>Thin-Jam Lock Nut 7</t>
  </si>
  <si>
    <t>Thin-Jam Lock Nut 8</t>
  </si>
  <si>
    <t>Thin-Jam Lock Nut 12</t>
  </si>
  <si>
    <t>Thin-Jam Lock Nut 11</t>
  </si>
  <si>
    <t>Lock Nut 5</t>
  </si>
  <si>
    <t>Lock Nut 6</t>
  </si>
  <si>
    <t>Lock Nut 16</t>
  </si>
  <si>
    <t>Lock Nut 17</t>
  </si>
  <si>
    <t>Lock Nut 7</t>
  </si>
  <si>
    <t>Lock Nut 8</t>
  </si>
  <si>
    <t>Lock Nut 9</t>
  </si>
  <si>
    <t>Lock Nut 22</t>
  </si>
  <si>
    <t>Lock Nut 23</t>
  </si>
  <si>
    <t>Lock Nut 12</t>
  </si>
  <si>
    <t>Lock Nut 13</t>
  </si>
  <si>
    <t>Lock Nut 1</t>
  </si>
  <si>
    <t>Lock Nut 10</t>
  </si>
  <si>
    <t>Lock Nut 11</t>
  </si>
  <si>
    <t>Lock Nut 2</t>
  </si>
  <si>
    <t>Lock Nut 20</t>
  </si>
  <si>
    <t>Lock Nut 21</t>
  </si>
  <si>
    <t>Lock Nut 3</t>
  </si>
  <si>
    <t>Lock Nut 14</t>
  </si>
  <si>
    <t>Lock Nut 15</t>
  </si>
  <si>
    <t>Lock Nut 4</t>
  </si>
  <si>
    <t>Lock Nut 19</t>
  </si>
  <si>
    <t>Lock Nut 18</t>
  </si>
  <si>
    <t>Lock Ring</t>
  </si>
  <si>
    <t>Lower Head Race</t>
  </si>
  <si>
    <t>Lock Washer 4</t>
  </si>
  <si>
    <t>Lock Washer 5</t>
  </si>
  <si>
    <t>Lock Washer 10</t>
  </si>
  <si>
    <t>Lock Washer 6</t>
  </si>
  <si>
    <t>Lock Washer 13</t>
  </si>
  <si>
    <t>Lock Washer 8</t>
  </si>
  <si>
    <t>Lock Washer 1</t>
  </si>
  <si>
    <t>Lock Washer 7</t>
  </si>
  <si>
    <t>Lock Washer 12</t>
  </si>
  <si>
    <t>Lock Washer 2</t>
  </si>
  <si>
    <t>Lock Washer 9</t>
  </si>
  <si>
    <t>Lock Washer 3</t>
  </si>
  <si>
    <t>Lock Washer 11</t>
  </si>
  <si>
    <t>Metal Angle</t>
  </si>
  <si>
    <t>Metal Bar 1</t>
  </si>
  <si>
    <t>Metal Bar 2</t>
  </si>
  <si>
    <t>Metal Plate 2</t>
  </si>
  <si>
    <t>Metal Plate 1</t>
  </si>
  <si>
    <t>Metal Plate 3</t>
  </si>
  <si>
    <t>Metal Sheet 2</t>
  </si>
  <si>
    <t>Metal Sheet 3</t>
  </si>
  <si>
    <t>Metal Sheet 7</t>
  </si>
  <si>
    <t>Metal Sheet 4</t>
  </si>
  <si>
    <t>Metal Sheet 5</t>
  </si>
  <si>
    <t>Metal Sheet 6</t>
  </si>
  <si>
    <t>Metal Sheet 1</t>
  </si>
  <si>
    <t>Metal Tread Plate</t>
  </si>
  <si>
    <t>LL Nipple</t>
  </si>
  <si>
    <t>HL Nipple</t>
  </si>
  <si>
    <t>Paint - Black</t>
  </si>
  <si>
    <t>Paint - Red</t>
  </si>
  <si>
    <t>Paint - Silver</t>
  </si>
  <si>
    <t>Paint - Blue</t>
  </si>
  <si>
    <t>Paint - Yellow</t>
  </si>
  <si>
    <t>Pinch Bolt</t>
  </si>
  <si>
    <t>Cup-Shaped Race</t>
  </si>
  <si>
    <t>Cone-Shaped Race</t>
  </si>
  <si>
    <t>Reflector</t>
  </si>
  <si>
    <t>LL Mountain Rim</t>
  </si>
  <si>
    <t>ML Mountain Rim</t>
  </si>
  <si>
    <t>HL Mountain Rim</t>
  </si>
  <si>
    <t>LL Road Rim</t>
  </si>
  <si>
    <t>ML Road Rim</t>
  </si>
  <si>
    <t>HL Road Rim</t>
  </si>
  <si>
    <t>Touring Rim</t>
  </si>
  <si>
    <t>LL Mountain Seat Assembly</t>
  </si>
  <si>
    <t>ML Mountain Seat Assembly</t>
  </si>
  <si>
    <t>HL Mountain Seat Assembly</t>
  </si>
  <si>
    <t>LL Road Seat Assembly</t>
  </si>
  <si>
    <t>ML Road Seat Assembly</t>
  </si>
  <si>
    <t>HL Road Seat Assembly</t>
  </si>
  <si>
    <t>LL Touring Seat Assembly</t>
  </si>
  <si>
    <t>ML Touring Seat Assembly</t>
  </si>
  <si>
    <t>HL Touring Seat Assembly</t>
  </si>
  <si>
    <t>LL Spindle/Axle</t>
  </si>
  <si>
    <t>HL Spindle/Axle</t>
  </si>
  <si>
    <t>LL Shell</t>
  </si>
  <si>
    <t>HL Shell</t>
  </si>
  <si>
    <t>Spokes</t>
  </si>
  <si>
    <t>Seat Lug</t>
  </si>
  <si>
    <t>Stem</t>
  </si>
  <si>
    <t>Seat Post</t>
  </si>
  <si>
    <t>Steerer</t>
  </si>
  <si>
    <t>Seat Stays</t>
  </si>
  <si>
    <t>Seat Tube</t>
  </si>
  <si>
    <t>Top Tube</t>
  </si>
  <si>
    <t>Tension Pulley</t>
  </si>
  <si>
    <t>Rear Derailleur Cage</t>
  </si>
  <si>
    <t>HL Road Frame - Black, 58</t>
  </si>
  <si>
    <t>HL Road Frame - Red, 58</t>
  </si>
  <si>
    <t>Sport-100 Helmet, Red</t>
  </si>
  <si>
    <t>Sport-100 Helmet, Black</t>
  </si>
  <si>
    <t>Mountain Bike Socks, M</t>
  </si>
  <si>
    <t>Mountain Bike Socks, L</t>
  </si>
  <si>
    <t>Sport-100 Helmet, Blue</t>
  </si>
  <si>
    <t>AWC Logo Cap</t>
  </si>
  <si>
    <t>Long-Sleeve Logo Jersey, S</t>
  </si>
  <si>
    <t>Long-Sleeve Logo Jersey, M</t>
  </si>
  <si>
    <t>Long-Sleeve Logo Jersey, L</t>
  </si>
  <si>
    <t>Long-Sleeve Logo Jersey, XL</t>
  </si>
  <si>
    <t>HL Road Frame - Red, 62</t>
  </si>
  <si>
    <t>HL Road Frame - Red, 44</t>
  </si>
  <si>
    <t>HL Road Frame - Red, 48</t>
  </si>
  <si>
    <t>HL Road Frame - Red, 52</t>
  </si>
  <si>
    <t>HL Road Frame - Red, 56</t>
  </si>
  <si>
    <t>LL Road Frame - Black, 58</t>
  </si>
  <si>
    <t>LL Road Frame - Black, 60</t>
  </si>
  <si>
    <t>LL Road Frame - Black, 62</t>
  </si>
  <si>
    <t>LL Road Frame - Red, 44</t>
  </si>
  <si>
    <t>LL Road Frame - Red, 48</t>
  </si>
  <si>
    <t>LL Road Frame - Red, 52</t>
  </si>
  <si>
    <t>LL Road Frame - Red, 58</t>
  </si>
  <si>
    <t>LL Road Frame - Red, 60</t>
  </si>
  <si>
    <t>LL Road Frame - Red, 62</t>
  </si>
  <si>
    <t>ML Road Frame - Red, 44</t>
  </si>
  <si>
    <t>ML Road Frame - Red, 48</t>
  </si>
  <si>
    <t>ML Road Frame - Red, 52</t>
  </si>
  <si>
    <t>ML Road Frame - Red, 58</t>
  </si>
  <si>
    <t>ML Road Frame - Red, 60</t>
  </si>
  <si>
    <t>LL Road Frame - Black, 44</t>
  </si>
  <si>
    <t>LL Road Frame - Black, 48</t>
  </si>
  <si>
    <t>LL Road Frame - Black, 52</t>
  </si>
  <si>
    <t>HL Mountain Frame - Silver, 42</t>
  </si>
  <si>
    <t>HL Mountain Frame - Silver, 44</t>
  </si>
  <si>
    <t>HL Mountain Frame - Silver, 48</t>
  </si>
  <si>
    <t>HL Mountain Frame - Silver, 46</t>
  </si>
  <si>
    <t>HL Mountain Frame - Black, 42</t>
  </si>
  <si>
    <t>HL Mountain Frame - Black, 44</t>
  </si>
  <si>
    <t>HL Mountain Frame - Black, 48</t>
  </si>
  <si>
    <t>HL Mountain Frame - Black, 46</t>
  </si>
  <si>
    <t>HL Mountain Frame - Black, 38</t>
  </si>
  <si>
    <t>HL Mountain Frame - Silver, 38</t>
  </si>
  <si>
    <t>Road-150 Red, 62</t>
  </si>
  <si>
    <t>Road-150 Red, 44</t>
  </si>
  <si>
    <t>Road-150 Red, 48</t>
  </si>
  <si>
    <t>Road-150 Red, 52</t>
  </si>
  <si>
    <t>Road-150 Red, 56</t>
  </si>
  <si>
    <t>Road-450 Red, 58</t>
  </si>
  <si>
    <t>Road-450 Red, 60</t>
  </si>
  <si>
    <t>Road-450 Red, 44</t>
  </si>
  <si>
    <t>Road-450 Red, 48</t>
  </si>
  <si>
    <t>Road-450 Red, 52</t>
  </si>
  <si>
    <t>Road-650 Red, 58</t>
  </si>
  <si>
    <t>Road-650 Red, 60</t>
  </si>
  <si>
    <t>Road-650 Red, 62</t>
  </si>
  <si>
    <t>Road-650 Red, 44</t>
  </si>
  <si>
    <t>Road-650 Red, 48</t>
  </si>
  <si>
    <t>Road-650 Red, 52</t>
  </si>
  <si>
    <t>Road-650 Black, 58</t>
  </si>
  <si>
    <t>Road-650 Black, 60</t>
  </si>
  <si>
    <t>Road-650 Black, 62</t>
  </si>
  <si>
    <t>Road-650 Black, 44</t>
  </si>
  <si>
    <t>Road-650 Black, 48</t>
  </si>
  <si>
    <t>Road-650 Black, 52</t>
  </si>
  <si>
    <t>Mountain-100 Silver, 38</t>
  </si>
  <si>
    <t>Mountain-100 Silver, 42</t>
  </si>
  <si>
    <t>Mountain-100 Silver, 44</t>
  </si>
  <si>
    <t>Mountain-100 Silver, 48</t>
  </si>
  <si>
    <t>Mountain-100 Black, 38</t>
  </si>
  <si>
    <t>Mountain-100 Black, 42</t>
  </si>
  <si>
    <t>Mountain-100 Black, 44</t>
  </si>
  <si>
    <t>Mountain-100 Black, 48</t>
  </si>
  <si>
    <t>Mountain-200 Silver, 38</t>
  </si>
  <si>
    <t>Mountain-200 Silver, 42</t>
  </si>
  <si>
    <t>Mountain-200 Silver, 46</t>
  </si>
  <si>
    <t>Mountain-200 Black, 38</t>
  </si>
  <si>
    <t>Mountain-200 Black, 42</t>
  </si>
  <si>
    <t>Mountain-200 Black, 46</t>
  </si>
  <si>
    <t>Mountain-300 Black, 38</t>
  </si>
  <si>
    <t>Mountain-300 Black, 40</t>
  </si>
  <si>
    <t>Mountain-300 Black, 44</t>
  </si>
  <si>
    <t>Mountain-300 Black, 48</t>
  </si>
  <si>
    <t>Road-250 Red, 44</t>
  </si>
  <si>
    <t>Road-250 Red, 48</t>
  </si>
  <si>
    <t>Road-250 Red, 52</t>
  </si>
  <si>
    <t>Road-250 Red, 58</t>
  </si>
  <si>
    <t>Road-250 Black, 44</t>
  </si>
  <si>
    <t>Road-250 Black, 48</t>
  </si>
  <si>
    <t>Road-250 Black, 52</t>
  </si>
  <si>
    <t>Road-250 Black, 58</t>
  </si>
  <si>
    <t>Road-550-W Yellow, 38</t>
  </si>
  <si>
    <t>Road-550-W Yellow, 40</t>
  </si>
  <si>
    <t>Road-550-W Yellow, 42</t>
  </si>
  <si>
    <t>Road-550-W Yellow, 44</t>
  </si>
  <si>
    <t>Road-550-W Yellow, 48</t>
  </si>
  <si>
    <t>LL Fork</t>
  </si>
  <si>
    <t>ML Fork</t>
  </si>
  <si>
    <t>HL Fork</t>
  </si>
  <si>
    <t>LL Headset</t>
  </si>
  <si>
    <t>ML Headset</t>
  </si>
  <si>
    <t>HL Headset</t>
  </si>
  <si>
    <t>LL Mountain Handlebars</t>
  </si>
  <si>
    <t>ML Mountain Handlebars</t>
  </si>
  <si>
    <t>HL Mountain Handlebars</t>
  </si>
  <si>
    <t>LL Road Handlebars</t>
  </si>
  <si>
    <t>ML Road Handlebars</t>
  </si>
  <si>
    <t>HL Road Handlebars</t>
  </si>
  <si>
    <t>ML Mountain Frame - Black, 38</t>
  </si>
  <si>
    <t>LL Mountain Front Wheel</t>
  </si>
  <si>
    <t>ML Mountain Front Wheel</t>
  </si>
  <si>
    <t>HL Mountain Front Wheel</t>
  </si>
  <si>
    <t>LL Road Front Wheel</t>
  </si>
  <si>
    <t>ML Road Front Wheel</t>
  </si>
  <si>
    <t>HL Road Front Wheel</t>
  </si>
  <si>
    <t>Touring Front Wheel</t>
  </si>
  <si>
    <t>ML Road Frame-W - Yellow, 38</t>
  </si>
  <si>
    <t>LL Mountain Rear Wheel</t>
  </si>
  <si>
    <t>ML Mountain Rear Wheel</t>
  </si>
  <si>
    <t>HL Mountain Rear Wheel</t>
  </si>
  <si>
    <t>LL Road Rear Wheel</t>
  </si>
  <si>
    <t>ML Road Rear Wheel</t>
  </si>
  <si>
    <t>HL Road Rear Wheel</t>
  </si>
  <si>
    <t>Touring Rear Wheel</t>
  </si>
  <si>
    <t>ML Mountain Frame - Black, 40</t>
  </si>
  <si>
    <t>ML Mountain Frame - Black, 44</t>
  </si>
  <si>
    <t>ML Mountain Frame - Black, 48</t>
  </si>
  <si>
    <t>ML Road Frame-W - Yellow, 40</t>
  </si>
  <si>
    <t>ML Road Frame-W - Yellow, 42</t>
  </si>
  <si>
    <t>ML Road Frame-W - Yellow, 44</t>
  </si>
  <si>
    <t>ML Road Frame-W - Yellow, 48</t>
  </si>
  <si>
    <t>HL Road Frame - Black, 62</t>
  </si>
  <si>
    <t>HL Road Frame - Black, 44</t>
  </si>
  <si>
    <t>HL Road Frame - Black, 48</t>
  </si>
  <si>
    <t>HL Road Frame - Black, 52</t>
  </si>
  <si>
    <t>Men's Sports Shorts, S</t>
  </si>
  <si>
    <t>Touring-Panniers, Large</t>
  </si>
  <si>
    <t>Cable Lock</t>
  </si>
  <si>
    <t>Minipump</t>
  </si>
  <si>
    <t>Mountain Pump</t>
  </si>
  <si>
    <t>Taillights - Battery-Powered</t>
  </si>
  <si>
    <t>Headlights - Dual-Beam</t>
  </si>
  <si>
    <t>Headlights - Weatherproof</t>
  </si>
  <si>
    <t>Men's Sports Shorts, M</t>
  </si>
  <si>
    <t>Men's Sports Shorts, L</t>
  </si>
  <si>
    <t>Men's Sports Shorts, XL</t>
  </si>
  <si>
    <t>Women's Tights, S</t>
  </si>
  <si>
    <t>Women's Tights, M</t>
  </si>
  <si>
    <t>Women's Tights, L</t>
  </si>
  <si>
    <t>Men's Bib-Shorts, S</t>
  </si>
  <si>
    <t>Men's Bib-Shorts, M</t>
  </si>
  <si>
    <t>Men's Bib-Shorts, L</t>
  </si>
  <si>
    <t>Half-Finger Gloves, S</t>
  </si>
  <si>
    <t>Half-Finger Gloves, M</t>
  </si>
  <si>
    <t>Half-Finger Gloves, L</t>
  </si>
  <si>
    <t>Full-Finger Gloves, S</t>
  </si>
  <si>
    <t>Full-Finger Gloves, M</t>
  </si>
  <si>
    <t>Full-Finger Gloves, L</t>
  </si>
  <si>
    <t>Classic Vest, S</t>
  </si>
  <si>
    <t>Classic Vest, M</t>
  </si>
  <si>
    <t>Classic Vest, L</t>
  </si>
  <si>
    <t>Women's Mountain Shorts, S</t>
  </si>
  <si>
    <t>Women's Mountain Shorts, M</t>
  </si>
  <si>
    <t>Women's Mountain Shorts, L</t>
  </si>
  <si>
    <t>Water Bottle - 30 oz.</t>
  </si>
  <si>
    <t>Mountain Bottle Cage</t>
  </si>
  <si>
    <t>Road Bottle Cage</t>
  </si>
  <si>
    <t>Patch Kit/8 Patches</t>
  </si>
  <si>
    <t>Racing Socks, M</t>
  </si>
  <si>
    <t>Racing Socks, L</t>
  </si>
  <si>
    <t>Hitch Rack - 4-Bike</t>
  </si>
  <si>
    <t>Bike Wash - Dissolver</t>
  </si>
  <si>
    <t>Fender Set - Mountain</t>
  </si>
  <si>
    <t>All-Purpose Bike Stand</t>
  </si>
  <si>
    <t>Hydration Pack - 70 oz.</t>
  </si>
  <si>
    <t>Short-Sleeve Classic Jersey, S</t>
  </si>
  <si>
    <t>Short-Sleeve Classic Jersey, M</t>
  </si>
  <si>
    <t>Short-Sleeve Classic Jersey, L</t>
  </si>
  <si>
    <t>Short-Sleeve Classic Jersey, XL</t>
  </si>
  <si>
    <t>HL Touring Frame - Yellow, 60</t>
  </si>
  <si>
    <t>LL Touring Frame - Yellow, 62</t>
  </si>
  <si>
    <t>HL Touring Frame - Yellow, 46</t>
  </si>
  <si>
    <t>HL Touring Frame - Yellow, 50</t>
  </si>
  <si>
    <t>HL Touring Frame - Yellow, 54</t>
  </si>
  <si>
    <t>HL Touring Frame - Blue, 46</t>
  </si>
  <si>
    <t>HL Touring Frame - Blue, 50</t>
  </si>
  <si>
    <t>HL Touring Frame - Blue, 54</t>
  </si>
  <si>
    <t>HL Touring Frame - Blue, 60</t>
  </si>
  <si>
    <t>Rear Derailleur</t>
  </si>
  <si>
    <t>LL Touring Frame - Blue, 50</t>
  </si>
  <si>
    <t>LL Touring Frame - Blue, 54</t>
  </si>
  <si>
    <t>LL Touring Frame - Blue, 58</t>
  </si>
  <si>
    <t>LL Touring Frame - Blue, 62</t>
  </si>
  <si>
    <t>LL Touring Frame - Yellow, 44</t>
  </si>
  <si>
    <t>LL Touring Frame - Yellow, 50</t>
  </si>
  <si>
    <t>LL Touring Frame - Yellow, 54</t>
  </si>
  <si>
    <t>LL Touring Frame - Yellow, 58</t>
  </si>
  <si>
    <t>LL Touring Frame - Blue, 44</t>
  </si>
  <si>
    <t>ML Mountain Frame-W - Silver, 40</t>
  </si>
  <si>
    <t>ML Mountain Frame-W - Silver, 42</t>
  </si>
  <si>
    <t>ML Mountain Frame-W - Silver, 46</t>
  </si>
  <si>
    <t>Rear Brakes</t>
  </si>
  <si>
    <t>LL Mountain Seat/Saddle</t>
  </si>
  <si>
    <t>ML Mountain Seat/Saddle</t>
  </si>
  <si>
    <t>HL Mountain Seat/Saddle</t>
  </si>
  <si>
    <t>LL Road Seat/Saddle</t>
  </si>
  <si>
    <t>ML Road Seat/Saddle</t>
  </si>
  <si>
    <t>HL Road Seat/Saddle</t>
  </si>
  <si>
    <t>LL Touring Seat/Saddle</t>
  </si>
  <si>
    <t>ML Touring Seat/Saddle</t>
  </si>
  <si>
    <t>HL Touring Seat/Saddle</t>
  </si>
  <si>
    <t>LL Mountain Frame - Silver, 42</t>
  </si>
  <si>
    <t>LL Mountain Frame - Silver, 44</t>
  </si>
  <si>
    <t>LL Mountain Frame - Silver, 48</t>
  </si>
  <si>
    <t>LL Mountain Frame - Silver, 52</t>
  </si>
  <si>
    <t>Mountain Tire Tube</t>
  </si>
  <si>
    <t>Road Tire Tube</t>
  </si>
  <si>
    <t>Touring Tire Tube</t>
  </si>
  <si>
    <t>LL Mountain Frame - Black, 42</t>
  </si>
  <si>
    <t>LL Mountain Frame - Black, 44</t>
  </si>
  <si>
    <t>LL Mountain Frame - Black, 48</t>
  </si>
  <si>
    <t>LL Mountain Frame - Black, 52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</si>
  <si>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</si>
  <si>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</si>
  <si>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</si>
  <si>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</si>
  <si>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</si>
  <si>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</si>
  <si>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</si>
  <si>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LL Mountain Pedal</t>
  </si>
  <si>
    <t>ML Mountain Pedal</t>
  </si>
  <si>
    <t>HL Mountain Pedal</t>
  </si>
  <si>
    <t>LL Road Pedal</t>
  </si>
  <si>
    <t>ML Road Pedal</t>
  </si>
  <si>
    <t>HL Road Pedal</t>
  </si>
  <si>
    <t>Touring Pedal</t>
  </si>
  <si>
    <t>ML Mountain Frame-W - Silver, 38</t>
  </si>
  <si>
    <t>LL Mountain Frame - Black, 40</t>
  </si>
  <si>
    <t>LL Mountain Frame - Silver, 40</t>
  </si>
  <si>
    <t>Front Derailleur</t>
  </si>
  <si>
    <t>LL Touring Handlebars</t>
  </si>
  <si>
    <t>HL Touring Handlebars</t>
  </si>
  <si>
    <t>Front Brakes</t>
  </si>
  <si>
    <t>LL Crankset</t>
  </si>
  <si>
    <t>ML Crankset</t>
  </si>
  <si>
    <t>HL Crankset</t>
  </si>
  <si>
    <t>Chain</t>
  </si>
  <si>
    <t>Touring-2000 Blue, 60</t>
  </si>
  <si>
    <t>Touring-1000 Yellow, 46</t>
  </si>
  <si>
    <t>Touring-1000 Yellow, 50</t>
  </si>
  <si>
    <t>Touring-1000 Yellow, 54</t>
  </si>
  <si>
    <t>Touring-1000 Yellow, 60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</si>
  <si>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</si>
  <si>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</si>
  <si>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</si>
  <si>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</si>
  <si>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</si>
  <si>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</si>
  <si>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</si>
  <si>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</si>
  <si>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Touring-1000 Blue, 46</t>
  </si>
  <si>
    <t>Touring-1000 Blue, 50</t>
  </si>
  <si>
    <t>Touring-1000 Blue, 54</t>
  </si>
  <si>
    <t>Touring-1000 Blue, 60</t>
  </si>
  <si>
    <t>Touring-2000 Blue, 46</t>
  </si>
  <si>
    <t>Touring-2000 Blue, 50</t>
  </si>
  <si>
    <t>Touring-2000 Blue, 54</t>
  </si>
  <si>
    <t>Road-350-W Yellow, 40</t>
  </si>
  <si>
    <t>Road-350-W Yellow, 42</t>
  </si>
  <si>
    <t>Road-350-W Yellow, 44</t>
  </si>
  <si>
    <t>Road-350-W Yellow, 48</t>
  </si>
  <si>
    <t>Road-750 Black, 58</t>
  </si>
  <si>
    <t>Touring-3000 Blue, 44</t>
  </si>
  <si>
    <t>Touring-3000 Blue, 50</t>
  </si>
  <si>
    <t>Mountain-400-W Silver, 38</t>
  </si>
  <si>
    <t>Mountain-400-W Silver, 40</t>
  </si>
  <si>
    <t>Mountain-400-W Silver, 42</t>
  </si>
  <si>
    <t>Mountain-400-W Silver, 46</t>
  </si>
  <si>
    <t>Mountain-500 Silver, 40</t>
  </si>
  <si>
    <t>Mountain-500 Silver, 42</t>
  </si>
  <si>
    <t>Mountain-500 Silver, 44</t>
  </si>
  <si>
    <t>Mountain-500 Silver, 48</t>
  </si>
  <si>
    <t>Mountain-500 Silver, 52</t>
  </si>
  <si>
    <t>Mountain-500 Black, 40</t>
  </si>
  <si>
    <t>Mountain-500 Black, 42</t>
  </si>
  <si>
    <t>Mountain-500 Black, 44</t>
  </si>
  <si>
    <t>Mountain-500 Black, 48</t>
  </si>
  <si>
    <t>Mountain-500 Black, 52</t>
  </si>
  <si>
    <t>LL Bottom Bracket</t>
  </si>
  <si>
    <t>ML Bottom Bracket</t>
  </si>
  <si>
    <t>HL Bottom Bracket</t>
  </si>
  <si>
    <t>Road-750 Black, 44</t>
  </si>
  <si>
    <t>Road-750 Black, 48</t>
  </si>
  <si>
    <t>Road-750 Black, 52</t>
  </si>
  <si>
    <t>1T</t>
  </si>
  <si>
    <t>2T</t>
  </si>
  <si>
    <t>3T</t>
  </si>
  <si>
    <t>6S</t>
  </si>
  <si>
    <t>8S</t>
  </si>
  <si>
    <t>9Z</t>
  </si>
  <si>
    <t>10Z</t>
  </si>
  <si>
    <t>2024-01-02T14:16:06.9086921Z</t>
  </si>
  <si>
    <t>2010-01-01T14:16:06.9086921Z</t>
  </si>
  <si>
    <t>Tables</t>
  </si>
  <si>
    <t>parties</t>
  </si>
  <si>
    <t>partyaddress</t>
  </si>
  <si>
    <t>JoinKey</t>
  </si>
  <si>
    <t>Table</t>
  </si>
  <si>
    <t>Column</t>
  </si>
  <si>
    <t>Logic</t>
  </si>
  <si>
    <t>Name</t>
  </si>
  <si>
    <t>If name is blank, retain the original column name</t>
  </si>
  <si>
    <t>ColumnsNeeded</t>
  </si>
  <si>
    <t>PartyName</t>
  </si>
  <si>
    <t>ConvertToCST</t>
  </si>
  <si>
    <t>PartyRecordId</t>
  </si>
  <si>
    <t>PartyAddressRecordId</t>
  </si>
  <si>
    <t>VendorRecordId</t>
  </si>
  <si>
    <t>VendorDiscount</t>
  </si>
  <si>
    <t>See Comments</t>
  </si>
  <si>
    <t>Comments</t>
  </si>
  <si>
    <t>If the vendor is based in US, the discount should be 1%, if in UK, the discount should be 0.6% and 0 for rest</t>
  </si>
  <si>
    <t>VendorId</t>
  </si>
  <si>
    <t>PurchCategoryRecordId</t>
  </si>
  <si>
    <t>PurchItemRecordId</t>
  </si>
  <si>
    <t>ProductName</t>
  </si>
  <si>
    <t>ProductPerUnitCost</t>
  </si>
  <si>
    <t>LineItem</t>
  </si>
  <si>
    <t>Currency</t>
  </si>
  <si>
    <t>Code</t>
  </si>
  <si>
    <t>TRY</t>
  </si>
  <si>
    <t>Saudi Arabia</t>
  </si>
  <si>
    <t>Turkey</t>
  </si>
  <si>
    <t>United Arab Emirates</t>
  </si>
  <si>
    <t>Dirhams</t>
  </si>
  <si>
    <t>Dollars</t>
  </si>
  <si>
    <t>Dinars</t>
  </si>
  <si>
    <t>Pounds</t>
  </si>
  <si>
    <t>United Kingdom</t>
  </si>
  <si>
    <t>Rupees</t>
  </si>
  <si>
    <t>Rials</t>
  </si>
  <si>
    <t>Riyals</t>
  </si>
  <si>
    <t>United States of America</t>
  </si>
  <si>
    <t>Lira</t>
  </si>
  <si>
    <t>CurrencyId</t>
  </si>
  <si>
    <t>CurrencyName</t>
  </si>
  <si>
    <t>CurrencyRecordId</t>
  </si>
  <si>
    <t>FiscalPeriod</t>
  </si>
  <si>
    <t>Datetable(to be created in databricks with below columns)</t>
  </si>
  <si>
    <t>FiscalStartDate</t>
  </si>
  <si>
    <t>Date</t>
  </si>
  <si>
    <t>Datetable</t>
  </si>
  <si>
    <t>Generate Dates in range 2018-01-01 to 2025-12-31</t>
  </si>
  <si>
    <t>DateId</t>
  </si>
  <si>
    <t>Convert to Int</t>
  </si>
  <si>
    <t xml:space="preserve">Ex: 2018-01-01 should be returned as 2010101 in int format, this will be the primary key column </t>
  </si>
  <si>
    <t>Year</t>
  </si>
  <si>
    <t>Month</t>
  </si>
  <si>
    <t>MonthName</t>
  </si>
  <si>
    <t>Day</t>
  </si>
  <si>
    <t>DayName</t>
  </si>
  <si>
    <t>Quarter</t>
  </si>
  <si>
    <t>Integer</t>
  </si>
  <si>
    <t>String ex: Jan, Feb, Mar…</t>
  </si>
  <si>
    <t>String ex: Mon, Tue</t>
  </si>
  <si>
    <t>FISCALPERIODNAME</t>
  </si>
  <si>
    <t>FISCALMONTH</t>
  </si>
  <si>
    <t>FiscalYearStart</t>
  </si>
  <si>
    <t>FiscalYearEnd</t>
  </si>
  <si>
    <t>QUARTERACTUAL</t>
  </si>
  <si>
    <t>FiscalQuarterStart</t>
  </si>
  <si>
    <t>FiscalQuarterEnd</t>
  </si>
  <si>
    <t>FiscalYear</t>
  </si>
  <si>
    <t>FiscalEndDate</t>
  </si>
  <si>
    <t>Concat "FY" &amp; FiscalYear column</t>
  </si>
  <si>
    <t>CostCenterNumber</t>
  </si>
  <si>
    <t>Vat</t>
  </si>
  <si>
    <t>CostCenter</t>
  </si>
  <si>
    <t>CostCenterRecordId</t>
  </si>
  <si>
    <t>CostCenterKey</t>
  </si>
  <si>
    <t>CurrencyKey</t>
  </si>
  <si>
    <t>CategoryKey</t>
  </si>
  <si>
    <t>OrderDateKey</t>
  </si>
  <si>
    <t>ShipDateKey</t>
  </si>
  <si>
    <t>DeliveredDateKey</t>
  </si>
  <si>
    <t>Batchid</t>
  </si>
  <si>
    <t>PurchaseOrderRecordId</t>
  </si>
  <si>
    <t>dimcurrency</t>
  </si>
  <si>
    <t>VendorKey</t>
  </si>
  <si>
    <t>Cast to int</t>
  </si>
  <si>
    <t>dimcostcenter</t>
  </si>
  <si>
    <t>dimpurchitem</t>
  </si>
  <si>
    <t>TotalAmount</t>
  </si>
  <si>
    <t>TotalOrder + (TotalOrder * Vat)</t>
  </si>
  <si>
    <t>BatchId</t>
  </si>
  <si>
    <t>Round to 4 digits</t>
  </si>
  <si>
    <t>New Year offer</t>
  </si>
  <si>
    <t>Percentage</t>
  </si>
  <si>
    <t>NYO22</t>
  </si>
  <si>
    <t>NYO23</t>
  </si>
  <si>
    <t>NYO24</t>
  </si>
  <si>
    <t>NYO25</t>
  </si>
  <si>
    <t>2022-01-01T00:00:00.0000000Z</t>
  </si>
  <si>
    <t>2023-01-01T00:00:00.0000000Z</t>
  </si>
  <si>
    <t>2024-01-01T00:00:00.0000000Z</t>
  </si>
  <si>
    <t>2025-01-01T00:00:00.0000000Z</t>
  </si>
  <si>
    <t>2022-01-31T00:00:00.0000000Z</t>
  </si>
  <si>
    <t>2023-01-31T00:00:00.0000000Z</t>
  </si>
  <si>
    <t>2024-01-31T00:00:00.0000000Z</t>
  </si>
  <si>
    <t>2025-01-31T00:00:00.0000000Z</t>
  </si>
  <si>
    <t>Volume</t>
  </si>
  <si>
    <t>Volume Discount 11 to 20</t>
  </si>
  <si>
    <t>Volume Discount 21 to 40</t>
  </si>
  <si>
    <t>Volume Discount 41 to 60</t>
  </si>
  <si>
    <t>Volume Discount &gt; 60</t>
  </si>
  <si>
    <t>VD11</t>
  </si>
  <si>
    <t>VD21</t>
  </si>
  <si>
    <t>VD41</t>
  </si>
  <si>
    <t>VD61</t>
  </si>
  <si>
    <t>CreditCard</t>
  </si>
  <si>
    <t>DebitCard</t>
  </si>
  <si>
    <t>CashOnDelivery</t>
  </si>
  <si>
    <t>Jon Yang</t>
  </si>
  <si>
    <t>Eugene Huang</t>
  </si>
  <si>
    <t>Ruben Torres</t>
  </si>
  <si>
    <t>Christy Zhu</t>
  </si>
  <si>
    <t>Elizabeth Johnson</t>
  </si>
  <si>
    <t>Julio Ruiz</t>
  </si>
  <si>
    <t>Janet Alvarez</t>
  </si>
  <si>
    <t>Marco Mehta</t>
  </si>
  <si>
    <t>Rob Verhoff</t>
  </si>
  <si>
    <t>Shannon Carlson</t>
  </si>
  <si>
    <t>Jacquelyn Suarez</t>
  </si>
  <si>
    <t>Curtis Lu</t>
  </si>
  <si>
    <t>Lauren Walker</t>
  </si>
  <si>
    <t>Ian Jenkins</t>
  </si>
  <si>
    <t>Sydney Bennett</t>
  </si>
  <si>
    <t>Chloe Young</t>
  </si>
  <si>
    <t>Wyatt Hill</t>
  </si>
  <si>
    <t>Shannon Wang</t>
  </si>
  <si>
    <t>Clarence Rai</t>
  </si>
  <si>
    <t>Luke Lal</t>
  </si>
  <si>
    <t>Jordan King</t>
  </si>
  <si>
    <t>Destiny Wilson</t>
  </si>
  <si>
    <t>Ethan Zhang</t>
  </si>
  <si>
    <t>Seth Edwards</t>
  </si>
  <si>
    <t>Russell Xie</t>
  </si>
  <si>
    <t>Alejandro Beck</t>
  </si>
  <si>
    <t>Harold Sai</t>
  </si>
  <si>
    <t>Jessie Zhao</t>
  </si>
  <si>
    <t>Jill Jimenez</t>
  </si>
  <si>
    <t>Jimmy Moreno</t>
  </si>
  <si>
    <t>Bethany Yuan</t>
  </si>
  <si>
    <t>Theresa Ramos</t>
  </si>
  <si>
    <t>Denise Stone</t>
  </si>
  <si>
    <t>Jaime Nath</t>
  </si>
  <si>
    <t>Ebony Gonzalez</t>
  </si>
  <si>
    <t>Wendy Dominguez</t>
  </si>
  <si>
    <t>Jennifer Russell</t>
  </si>
  <si>
    <t>Chloe Garcia</t>
  </si>
  <si>
    <t>Diana Hernandez</t>
  </si>
  <si>
    <t>Marc Martin</t>
  </si>
  <si>
    <t>Jesse Murphy</t>
  </si>
  <si>
    <t>Amanda Carter</t>
  </si>
  <si>
    <t>Megan Sanchez</t>
  </si>
  <si>
    <t>Nathan Simmons</t>
  </si>
  <si>
    <t>Adam Flores</t>
  </si>
  <si>
    <t>Leonard Nara</t>
  </si>
  <si>
    <t>Christine Yuan</t>
  </si>
  <si>
    <t>Jaclyn Lu</t>
  </si>
  <si>
    <t>Jeremy Powell</t>
  </si>
  <si>
    <t>Carol Rai</t>
  </si>
  <si>
    <t>Alan Zheng</t>
  </si>
  <si>
    <t>Daniel Johnson</t>
  </si>
  <si>
    <t>Heidi Lopez</t>
  </si>
  <si>
    <t>Ana Price</t>
  </si>
  <si>
    <t>Deanna Munoz</t>
  </si>
  <si>
    <t>Gilbert Raje</t>
  </si>
  <si>
    <t>Michele Nath</t>
  </si>
  <si>
    <t>Carl Andersen</t>
  </si>
  <si>
    <t>Marc Diaz</t>
  </si>
  <si>
    <t>Ashlee Andersen</t>
  </si>
  <si>
    <t>Jon Zhou</t>
  </si>
  <si>
    <t>Todd Gao</t>
  </si>
  <si>
    <t>Noah Powell</t>
  </si>
  <si>
    <t>Angela Murphy</t>
  </si>
  <si>
    <t>Chase Reed</t>
  </si>
  <si>
    <t>Jessica Henderson</t>
  </si>
  <si>
    <t>Grace Butler</t>
  </si>
  <si>
    <t>Caleb Carter</t>
  </si>
  <si>
    <t>Tiffany Liang</t>
  </si>
  <si>
    <t>Carolyn Navarro</t>
  </si>
  <si>
    <t>Willie Raji</t>
  </si>
  <si>
    <t>Linda Serrano</t>
  </si>
  <si>
    <t>Casey Luo</t>
  </si>
  <si>
    <t>Amy Ye</t>
  </si>
  <si>
    <t>Levi Arun</t>
  </si>
  <si>
    <t>Felicia Jimenez</t>
  </si>
  <si>
    <t>Blake Anderson</t>
  </si>
  <si>
    <t>Leah Ye</t>
  </si>
  <si>
    <t>Gina Martin</t>
  </si>
  <si>
    <t>Donald Gonzalez</t>
  </si>
  <si>
    <t>Damien Chander</t>
  </si>
  <si>
    <t>Savannah Baker</t>
  </si>
  <si>
    <t>Angela Butler</t>
  </si>
  <si>
    <t>Alyssa Cox</t>
  </si>
  <si>
    <t>Lucas Phillips</t>
  </si>
  <si>
    <t>Emily Johnson</t>
  </si>
  <si>
    <t>Ryan Brown</t>
  </si>
  <si>
    <t>Tamara Liang</t>
  </si>
  <si>
    <t>Hunter Davis</t>
  </si>
  <si>
    <t>Abigail Price</t>
  </si>
  <si>
    <t>Trevor Bryant</t>
  </si>
  <si>
    <t>Dalton Perez</t>
  </si>
  <si>
    <t>Cheryl Diaz</t>
  </si>
  <si>
    <t>Aimee He</t>
  </si>
  <si>
    <t>Cedric Ma</t>
  </si>
  <si>
    <t>Chad Kumar</t>
  </si>
  <si>
    <t>Andrés Anand</t>
  </si>
  <si>
    <t>Edwin Nara</t>
  </si>
  <si>
    <t>Mallory Rubio</t>
  </si>
  <si>
    <t>Adam Ross</t>
  </si>
  <si>
    <t>Latasha Navarro</t>
  </si>
  <si>
    <t>Abby Sai</t>
  </si>
  <si>
    <t>Julia Nelson</t>
  </si>
  <si>
    <t>Cassie Chande</t>
  </si>
  <si>
    <t>Edgar Sara</t>
  </si>
  <si>
    <t>Candace Fernandez</t>
  </si>
  <si>
    <t>Jessie Liu</t>
  </si>
  <si>
    <t>Bianca Lin</t>
  </si>
  <si>
    <t>Kari Alvarez</t>
  </si>
  <si>
    <t>Ruben Kapoor</t>
  </si>
  <si>
    <t>Curtis Yang</t>
  </si>
  <si>
    <t>Meredith Gutierrez</t>
  </si>
  <si>
    <t>Crystal Wang</t>
  </si>
  <si>
    <t>Micheal Blanco</t>
  </si>
  <si>
    <t>Leslie Moreno</t>
  </si>
  <si>
    <t>Alvin Cai</t>
  </si>
  <si>
    <t>Clinton Carlson</t>
  </si>
  <si>
    <t>April Deng</t>
  </si>
  <si>
    <t>Alvin Zeng</t>
  </si>
  <si>
    <t>Evan James</t>
  </si>
  <si>
    <t>Beth Jiménez</t>
  </si>
  <si>
    <t>Orlando Suarez</t>
  </si>
  <si>
    <t>Byron Vazquez</t>
  </si>
  <si>
    <t>Philip Alvarez</t>
  </si>
  <si>
    <t>Ross Jordan</t>
  </si>
  <si>
    <t>Dana Navarro</t>
  </si>
  <si>
    <t>Shaun Carson</t>
  </si>
  <si>
    <t>Jan Edwards</t>
  </si>
  <si>
    <t>Samantha Long</t>
  </si>
  <si>
    <t>Julia Wright</t>
  </si>
  <si>
    <t>Caroline Russell</t>
  </si>
  <si>
    <t>Amanda Rivera</t>
  </si>
  <si>
    <t>Melissa Richardson</t>
  </si>
  <si>
    <t>Angela Griffin</t>
  </si>
  <si>
    <t>Larry Townsend</t>
  </si>
  <si>
    <t>Marcus Harris</t>
  </si>
  <si>
    <t>Brianna Morgan</t>
  </si>
  <si>
    <t>Jasmine Taylor</t>
  </si>
  <si>
    <t>Lauren Davis</t>
  </si>
  <si>
    <t>Tanya Moreno</t>
  </si>
  <si>
    <t>Javier Alvarez</t>
  </si>
  <si>
    <t>Nicole Ramirez</t>
  </si>
  <si>
    <t>Eduardo Patterson</t>
  </si>
  <si>
    <t>Jonathan Henderson</t>
  </si>
  <si>
    <t>Edward Hernandez</t>
  </si>
  <si>
    <t>Jasmine Coleman</t>
  </si>
  <si>
    <t>Karla Goel</t>
  </si>
  <si>
    <t>Ernest Wu</t>
  </si>
  <si>
    <t>Ross Vazquez</t>
  </si>
  <si>
    <t>Theodore Gill</t>
  </si>
  <si>
    <t>Russell Shen</t>
  </si>
  <si>
    <t>Melinda Gill</t>
  </si>
  <si>
    <t>James Williams</t>
  </si>
  <si>
    <t>Angela James</t>
  </si>
  <si>
    <t>Megan Walker</t>
  </si>
  <si>
    <t>Hunter Robinson</t>
  </si>
  <si>
    <t>Maria Roberts</t>
  </si>
  <si>
    <t>Hannah Long</t>
  </si>
  <si>
    <t>Jason Wright</t>
  </si>
  <si>
    <t>Brianna Hughes</t>
  </si>
  <si>
    <t>Maurice Tang</t>
  </si>
  <si>
    <t>Emily Wood</t>
  </si>
  <si>
    <t>Chase Cox</t>
  </si>
  <si>
    <t>Gabriel Wang</t>
  </si>
  <si>
    <t>Devin Brooks</t>
  </si>
  <si>
    <t>Jocelyn Alexander</t>
  </si>
  <si>
    <t>Ashley Martinez</t>
  </si>
  <si>
    <t>Jasmine Barnes</t>
  </si>
  <si>
    <t>David Rodriguez</t>
  </si>
  <si>
    <t>Bryce Richardson</t>
  </si>
  <si>
    <t>Carol Howard</t>
  </si>
  <si>
    <t>Jonathan Hill</t>
  </si>
  <si>
    <t>Gabrielle Adams</t>
  </si>
  <si>
    <t>Sarah Thomas</t>
  </si>
  <si>
    <t>Nicholas Robinson</t>
  </si>
  <si>
    <t>Luis Wang</t>
  </si>
  <si>
    <t>Mason Roberts</t>
  </si>
  <si>
    <t>Jose Flores</t>
  </si>
  <si>
    <t>Nathan Johnson</t>
  </si>
  <si>
    <t>Molly Rodriguez</t>
  </si>
  <si>
    <t>April Anand</t>
  </si>
  <si>
    <t>Devin Martin</t>
  </si>
  <si>
    <t>Stephanie Torres</t>
  </si>
  <si>
    <t>Jasmine Lee</t>
  </si>
  <si>
    <t>Meghan Hernandez</t>
  </si>
  <si>
    <t>Ashley Henderson</t>
  </si>
  <si>
    <t>Sarah Price</t>
  </si>
  <si>
    <t>Jennifer Cooper</t>
  </si>
  <si>
    <t>Catherine Morris</t>
  </si>
  <si>
    <t>Lawrence Blanco</t>
  </si>
  <si>
    <t>Carson Bryant</t>
  </si>
  <si>
    <t>Kristi Perez</t>
  </si>
  <si>
    <t>James Brown</t>
  </si>
  <si>
    <t>Ian Gray</t>
  </si>
  <si>
    <t>Jacqueline Price</t>
  </si>
  <si>
    <t>Megan Henderson</t>
  </si>
  <si>
    <t>Alfredo Romero</t>
  </si>
  <si>
    <t>Andrea Morris</t>
  </si>
  <si>
    <t>Brooke Sanders</t>
  </si>
  <si>
    <t>Jacqueline Bennett</t>
  </si>
  <si>
    <t>Jason Griffin</t>
  </si>
  <si>
    <t>Amanda Foster</t>
  </si>
  <si>
    <t>Alexia Price</t>
  </si>
  <si>
    <t>Luis Diaz</t>
  </si>
  <si>
    <t>Destiny Rivera</t>
  </si>
  <si>
    <t>Abby Fernandez</t>
  </si>
  <si>
    <t>Blake Flores</t>
  </si>
  <si>
    <t>Danielle Cox</t>
  </si>
  <si>
    <t>Maria Reed</t>
  </si>
  <si>
    <t>Allison Evans</t>
  </si>
  <si>
    <t>Edward Wood</t>
  </si>
  <si>
    <t>Samantha Russell</t>
  </si>
  <si>
    <t>Chloe Campbell</t>
  </si>
  <si>
    <t>Stephanie Murphy</t>
  </si>
  <si>
    <t>Charles Miller</t>
  </si>
  <si>
    <t>Ana Perry</t>
  </si>
  <si>
    <t>Jasmine Torres</t>
  </si>
  <si>
    <t>Natalie Adams</t>
  </si>
  <si>
    <t>Olivia Brown</t>
  </si>
  <si>
    <t>Charles Cook</t>
  </si>
  <si>
    <t>Erica Huang</t>
  </si>
  <si>
    <t>Nathan Perry</t>
  </si>
  <si>
    <t>Alexandra Rivera</t>
  </si>
  <si>
    <t>Hailey Patterson</t>
  </si>
  <si>
    <t>Tiffany Li</t>
  </si>
  <si>
    <t>Madison Lee</t>
  </si>
  <si>
    <t>Sydney Ross</t>
  </si>
  <si>
    <t>Marshall Chavez</t>
  </si>
  <si>
    <t>Ashley Jones</t>
  </si>
  <si>
    <t>Adrian Stewart</t>
  </si>
  <si>
    <t>Amber Turner</t>
  </si>
  <si>
    <t>Dennis Zhang</t>
  </si>
  <si>
    <t>Hailey Bryant</t>
  </si>
  <si>
    <t>Todd Li</t>
  </si>
  <si>
    <t>Anna Griffin</t>
  </si>
  <si>
    <t>Angel Stewart</t>
  </si>
  <si>
    <t>Jeremy Butler</t>
  </si>
  <si>
    <t>Clarence Anand</t>
  </si>
  <si>
    <t>Mayra Prasad</t>
  </si>
  <si>
    <t>Latoya Goel</t>
  </si>
  <si>
    <t>Anne Hernandez</t>
  </si>
  <si>
    <t>Lisa Cai</t>
  </si>
  <si>
    <t>Larry Munoz</t>
  </si>
  <si>
    <t>Robin Alvarez</t>
  </si>
  <si>
    <t>Alexis Coleman</t>
  </si>
  <si>
    <t>Ricky Vazquez</t>
  </si>
  <si>
    <t>Latasha Rubio</t>
  </si>
  <si>
    <t>Claudia Zhou</t>
  </si>
  <si>
    <t>Tristan Alexander</t>
  </si>
  <si>
    <t>Cindy Patel</t>
  </si>
  <si>
    <t>Shannon Liu</t>
  </si>
  <si>
    <t>Xavier Long</t>
  </si>
  <si>
    <t>Nicholas Thompson</t>
  </si>
  <si>
    <t>José Hernandez</t>
  </si>
  <si>
    <t>Johnathan Vance</t>
  </si>
  <si>
    <t>Colin Lin</t>
  </si>
  <si>
    <t>Katelyn Hernandez</t>
  </si>
  <si>
    <t>Jacqueline Powell</t>
  </si>
  <si>
    <t>Xavier Hill</t>
  </si>
  <si>
    <t>Victoria Stewart</t>
  </si>
  <si>
    <t>Katelyn Kelly</t>
  </si>
  <si>
    <t>Stephanie Collins</t>
  </si>
  <si>
    <t>Jennifer Simmons</t>
  </si>
  <si>
    <t>Trinity Richardson</t>
  </si>
  <si>
    <t>Eduardo Martin</t>
  </si>
  <si>
    <t>Elizabeth Jones</t>
  </si>
  <si>
    <t>Taylor Howard</t>
  </si>
  <si>
    <t>David Diaz</t>
  </si>
  <si>
    <t>Katelyn Carter</t>
  </si>
  <si>
    <t>Ryan Foster</t>
  </si>
  <si>
    <t>Robert Lee</t>
  </si>
  <si>
    <t>Danielle Reed</t>
  </si>
  <si>
    <t>Lauren Martinez</t>
  </si>
  <si>
    <t>Nathan Lal</t>
  </si>
  <si>
    <t>Kyle Foster</t>
  </si>
  <si>
    <t>Jenny Rai</t>
  </si>
  <si>
    <t>Nancy Chapman</t>
  </si>
  <si>
    <t>Charles Jackson</t>
  </si>
  <si>
    <t>Jonathan Phillips</t>
  </si>
  <si>
    <t>Amanda Cook</t>
  </si>
  <si>
    <t>Robert Collins</t>
  </si>
  <si>
    <t>Megan Barnes</t>
  </si>
  <si>
    <t>Christian Thomas</t>
  </si>
  <si>
    <t>Arturo Lal</t>
  </si>
  <si>
    <t>Theresa Serrano</t>
  </si>
  <si>
    <t>Jeremy Anderson</t>
  </si>
  <si>
    <t>Hunter Griffin</t>
  </si>
  <si>
    <t>Henry Garcia</t>
  </si>
  <si>
    <t>Cindy Sanchez</t>
  </si>
  <si>
    <t>Maria Carter</t>
  </si>
  <si>
    <t>Katelyn Sanchez</t>
  </si>
  <si>
    <t>Jenna Wright</t>
  </si>
  <si>
    <t>Seth Phillips</t>
  </si>
  <si>
    <t>Luke Long</t>
  </si>
  <si>
    <t>Dalton Clark</t>
  </si>
  <si>
    <t>Taylor Lewis</t>
  </si>
  <si>
    <t>Haley Richardson</t>
  </si>
  <si>
    <t>Noah Coleman</t>
  </si>
  <si>
    <t>Jon Luo</t>
  </si>
  <si>
    <t>Orlando Vazquez</t>
  </si>
  <si>
    <t>Fernando Barnes</t>
  </si>
  <si>
    <t>Cameron Rodriguez</t>
  </si>
  <si>
    <t>Spencer Russell</t>
  </si>
  <si>
    <t>Julia Coleman</t>
  </si>
  <si>
    <t>Julia Garcia</t>
  </si>
  <si>
    <t>Sean Evans</t>
  </si>
  <si>
    <t>Micah Zhou</t>
  </si>
  <si>
    <t>Hunter Rodriguez</t>
  </si>
  <si>
    <t>Ian Gonzales</t>
  </si>
  <si>
    <t>Victoria Lewis</t>
  </si>
  <si>
    <t>Erin Sanders</t>
  </si>
  <si>
    <t>Gabrielle Lopez</t>
  </si>
  <si>
    <t>Sara Richardson</t>
  </si>
  <si>
    <t>Trevor Jenkins</t>
  </si>
  <si>
    <t>Mya Flores</t>
  </si>
  <si>
    <t>Hailey Ward</t>
  </si>
  <si>
    <t>Luke Allen</t>
  </si>
  <si>
    <t>Victoria Russell</t>
  </si>
  <si>
    <t>Jessica Wilson</t>
  </si>
  <si>
    <t>Jade Bailey</t>
  </si>
  <si>
    <t>Morgan Hill</t>
  </si>
  <si>
    <t>Terrance Raman</t>
  </si>
  <si>
    <t>Sydney Garcia</t>
  </si>
  <si>
    <t>Jose Patterson</t>
  </si>
  <si>
    <t>Zachary Anderson</t>
  </si>
  <si>
    <t>Elijah Ross</t>
  </si>
  <si>
    <t>Rafael Xie</t>
  </si>
  <si>
    <t>Jaime Moreno</t>
  </si>
  <si>
    <t>Julian Griffin</t>
  </si>
  <si>
    <t>Andy Alvarez</t>
  </si>
  <si>
    <t>Ryan Thompson</t>
  </si>
  <si>
    <t>Samantha Jenkins</t>
  </si>
  <si>
    <t>Deanna Ramos</t>
  </si>
  <si>
    <t>Emily Miller</t>
  </si>
  <si>
    <t>Nicole Brown</t>
  </si>
  <si>
    <t>Carla Raman</t>
  </si>
  <si>
    <t>Shaun Raji</t>
  </si>
  <si>
    <t>Jerome Romero</t>
  </si>
  <si>
    <t>Frank Navarro</t>
  </si>
  <si>
    <t>Dennis She</t>
  </si>
  <si>
    <t>Melody Munoz</t>
  </si>
  <si>
    <t>Randy Zeng</t>
  </si>
  <si>
    <t>Marshall Wang</t>
  </si>
  <si>
    <t>Arthur Carlson</t>
  </si>
  <si>
    <t>Jessie Jimenez</t>
  </si>
  <si>
    <t>Robin Ramos</t>
  </si>
  <si>
    <t>Deanna Gutierrez</t>
  </si>
  <si>
    <t>Roy Navarro</t>
  </si>
  <si>
    <t>Shawn Rai</t>
  </si>
  <si>
    <t>Mindy Luo</t>
  </si>
  <si>
    <t>Cara Zhou</t>
  </si>
  <si>
    <t>Anne Ramos</t>
  </si>
  <si>
    <t>Raymond Rodriguez</t>
  </si>
  <si>
    <t>Carrie Ortega</t>
  </si>
  <si>
    <t>Deanna Suarez</t>
  </si>
  <si>
    <t>Roberto Gutierrez</t>
  </si>
  <si>
    <t>Terrence Carson</t>
  </si>
  <si>
    <t>Ramon Ye</t>
  </si>
  <si>
    <t>Cynthia Malhotra</t>
  </si>
  <si>
    <t>Jarrod Prasad</t>
  </si>
  <si>
    <t>Tyrone Serrano</t>
  </si>
  <si>
    <t>Cindy Ramos</t>
  </si>
  <si>
    <t>Damien Shan</t>
  </si>
  <si>
    <t>Julian Ross</t>
  </si>
  <si>
    <t>Jennifer Collins</t>
  </si>
  <si>
    <t>Brittney Sun</t>
  </si>
  <si>
    <t>Virginia Patel</t>
  </si>
  <si>
    <t>Calvin Nara</t>
  </si>
  <si>
    <t>Edward Miller</t>
  </si>
  <si>
    <t>Ashlee Tang</t>
  </si>
  <si>
    <t>Alicia Xu</t>
  </si>
  <si>
    <t>Lacey Jai</t>
  </si>
  <si>
    <t>Wendy Romero</t>
  </si>
  <si>
    <t>Carly Luo</t>
  </si>
  <si>
    <t>Jimmy Ortega</t>
  </si>
  <si>
    <t>Francisco Martinez</t>
  </si>
  <si>
    <t>Lance Vazquez</t>
  </si>
  <si>
    <t>David Robinett</t>
  </si>
  <si>
    <t>Shannon Liang</t>
  </si>
  <si>
    <t>Gary Vazquez</t>
  </si>
  <si>
    <t>Mitchell Kumar</t>
  </si>
  <si>
    <t>Meredith Raman</t>
  </si>
  <si>
    <t>Edward Patterson</t>
  </si>
  <si>
    <t>Marie Gill</t>
  </si>
  <si>
    <t>Tiffany Wang</t>
  </si>
  <si>
    <t>Miguel Allen</t>
  </si>
  <si>
    <t>Jaclyn Cai</t>
  </si>
  <si>
    <t>Megan Ramirez</t>
  </si>
  <si>
    <t>Joseph Martin</t>
  </si>
  <si>
    <t>Karl Shan</t>
  </si>
  <si>
    <t>Christine Raji</t>
  </si>
  <si>
    <t>Lindsay Xie</t>
  </si>
  <si>
    <t>Willie Zhao</t>
  </si>
  <si>
    <t>Kurt Pal</t>
  </si>
  <si>
    <t>George McDonald</t>
  </si>
  <si>
    <t>Beth Gutierrez</t>
  </si>
  <si>
    <t>Ian Lopez</t>
  </si>
  <si>
    <t>Latoya Shan</t>
  </si>
  <si>
    <t>Colin Nath</t>
  </si>
  <si>
    <t>Brenda Mehta</t>
  </si>
  <si>
    <t>Franklin Raji</t>
  </si>
  <si>
    <t>Linda Navarro</t>
  </si>
  <si>
    <t>Kelli Cai</t>
  </si>
  <si>
    <t>Nancy Schmidt</t>
  </si>
  <si>
    <t>Megan Taylor</t>
  </si>
  <si>
    <t>Bonnie Goel</t>
  </si>
  <si>
    <t>Latoya Xu</t>
  </si>
  <si>
    <t>Mario She</t>
  </si>
  <si>
    <t>Darren Gill</t>
  </si>
  <si>
    <t>Jacqueline Hayes</t>
  </si>
  <si>
    <t>Maurice Goel</t>
  </si>
  <si>
    <t>Devin Ross</t>
  </si>
  <si>
    <t>Sydney Bryant</t>
  </si>
  <si>
    <t>Megan Stewart</t>
  </si>
  <si>
    <t>Ian Richardson</t>
  </si>
  <si>
    <t>Randy She</t>
  </si>
  <si>
    <t>Katrina Becker</t>
  </si>
  <si>
    <t>Lacey Zheng</t>
  </si>
  <si>
    <t>Rafael Hu</t>
  </si>
  <si>
    <t>Kyle Scott</t>
  </si>
  <si>
    <t>Jordan Turner</t>
  </si>
  <si>
    <t>Amy Sun</t>
  </si>
  <si>
    <t>Dustin Deng</t>
  </si>
  <si>
    <t>Jasmine Stewart</t>
  </si>
  <si>
    <t>Pamela Garcia</t>
  </si>
  <si>
    <t>Ariana Gray</t>
  </si>
  <si>
    <t>Kristopher Mehta</t>
  </si>
  <si>
    <t>Desiree Dominguez</t>
  </si>
  <si>
    <t>Deanna Perez</t>
  </si>
  <si>
    <t>Marco Lopez</t>
  </si>
  <si>
    <t>Casey Yuan</t>
  </si>
  <si>
    <t>Bryant Garcia</t>
  </si>
  <si>
    <t>Dominique Prasad</t>
  </si>
  <si>
    <t>Maurice Shan</t>
  </si>
  <si>
    <t>Andre Lopez</t>
  </si>
  <si>
    <t>Robin Romero</t>
  </si>
  <si>
    <t>Taylor Cox</t>
  </si>
  <si>
    <t>Alfredo Moreno</t>
  </si>
  <si>
    <t>Jenny Nara</t>
  </si>
  <si>
    <t>Janet Munoz</t>
  </si>
  <si>
    <t>Sergio Weber</t>
  </si>
  <si>
    <t>Erika Gomez</t>
  </si>
  <si>
    <t>Joseph Harris</t>
  </si>
  <si>
    <t>Grace Griffin</t>
  </si>
  <si>
    <t>Tina Mehta</t>
  </si>
  <si>
    <t>Kari Kim</t>
  </si>
  <si>
    <t>Bethany Chander</t>
  </si>
  <si>
    <t>Jennifer Roberts</t>
  </si>
  <si>
    <t>Kyle Patterson</t>
  </si>
  <si>
    <t>Alvin Hu</t>
  </si>
  <si>
    <t>Brett Mehta</t>
  </si>
  <si>
    <t>Ruben Muñoz</t>
  </si>
  <si>
    <t>Erika Rubio</t>
  </si>
  <si>
    <t>Stanley Malhotra</t>
  </si>
  <si>
    <t>Melinda Navarro</t>
  </si>
  <si>
    <t>Ross Sanz</t>
  </si>
  <si>
    <t>Jon Gao</t>
  </si>
  <si>
    <t>Jaime Gutierrez</t>
  </si>
  <si>
    <t>Bianca Liu</t>
  </si>
  <si>
    <t>Tasha Deng</t>
  </si>
  <si>
    <t>Melvin Chande</t>
  </si>
  <si>
    <t>Victor Jimenez</t>
  </si>
  <si>
    <t>Laura Lin</t>
  </si>
  <si>
    <t>Alisha Beck</t>
  </si>
  <si>
    <t>Alejandro Huang</t>
  </si>
  <si>
    <t>Louis Luo</t>
  </si>
  <si>
    <t>Grant Tang</t>
  </si>
  <si>
    <t>Arturo Zheng</t>
  </si>
  <si>
    <t>Jaclyn Andersen</t>
  </si>
  <si>
    <t>Edwin Raji</t>
  </si>
  <si>
    <t>Jay Suarez</t>
  </si>
  <si>
    <t>Latasha Suarez</t>
  </si>
  <si>
    <t>Kenneth Kumar</t>
  </si>
  <si>
    <t>Grace Henderson</t>
  </si>
  <si>
    <t>Melvin Xu</t>
  </si>
  <si>
    <t>Cesar Subram</t>
  </si>
  <si>
    <t>Erika Navarro</t>
  </si>
  <si>
    <t>Tristan Hughes</t>
  </si>
  <si>
    <t>Billy Hernandez</t>
  </si>
  <si>
    <t>Darryl Wu</t>
  </si>
  <si>
    <t>Colleen Ma</t>
  </si>
  <si>
    <t>Erica Hu</t>
  </si>
  <si>
    <t>Adrienne Torres</t>
  </si>
  <si>
    <t>Calvin Chande</t>
  </si>
  <si>
    <t>Erick Sai</t>
  </si>
  <si>
    <t>Donald Chandra</t>
  </si>
  <si>
    <t>Ariana Rogers</t>
  </si>
  <si>
    <t>Morgan Jones</t>
  </si>
  <si>
    <t>Jermaine Lopez</t>
  </si>
  <si>
    <t>Deborah Goel</t>
  </si>
  <si>
    <t>Danny Rubio</t>
  </si>
  <si>
    <t>Andre Perez</t>
  </si>
  <si>
    <t>Terrence Chander</t>
  </si>
  <si>
    <t>Dawn Wu</t>
  </si>
  <si>
    <t>Jimmy Gutierrez</t>
  </si>
  <si>
    <t>Francis Jimenez</t>
  </si>
  <si>
    <t>Gary Ortega</t>
  </si>
  <si>
    <t>Katrina Nath</t>
  </si>
  <si>
    <t>Arturo Sun</t>
  </si>
  <si>
    <t>Pedro Vance</t>
  </si>
  <si>
    <t>Sarah Simmons</t>
  </si>
  <si>
    <t>Brandy Chandra</t>
  </si>
  <si>
    <t>Jared Peterson</t>
  </si>
  <si>
    <t>Dennis Wu</t>
  </si>
  <si>
    <t>Jordan Baker</t>
  </si>
  <si>
    <t>Jasmine Powell</t>
  </si>
  <si>
    <t>Nicholas Brown</t>
  </si>
  <si>
    <t>Isabella Russell</t>
  </si>
  <si>
    <t>Elizabeth Wilson</t>
  </si>
  <si>
    <t>Roger Harui</t>
  </si>
  <si>
    <t>Seth Roberts</t>
  </si>
  <si>
    <t>Caleb Perry</t>
  </si>
  <si>
    <t>Natalie Campbell</t>
  </si>
  <si>
    <t>Alyssa Howard</t>
  </si>
  <si>
    <t>Dalton Diaz</t>
  </si>
  <si>
    <t>Shannon Huang</t>
  </si>
  <si>
    <t>Mya Gonzales</t>
  </si>
  <si>
    <t>Katherine Bryant</t>
  </si>
  <si>
    <t>Edward Washington</t>
  </si>
  <si>
    <t>Jerome Navarro</t>
  </si>
  <si>
    <t>Jada Morgan</t>
  </si>
  <si>
    <t>Ariana Peterson</t>
  </si>
  <si>
    <t>Christian Hughes</t>
  </si>
  <si>
    <t>Lucas Taylor</t>
  </si>
  <si>
    <t>Alyssa Jackson</t>
  </si>
  <si>
    <t>Ariana Cook</t>
  </si>
  <si>
    <t>Katherine Diaz</t>
  </si>
  <si>
    <t>Jenna Green</t>
  </si>
  <si>
    <t>Joan Washington</t>
  </si>
  <si>
    <t>Austin Bryant</t>
  </si>
  <si>
    <t>Andrew Martinez</t>
  </si>
  <si>
    <t>Nina Yuan</t>
  </si>
  <si>
    <t>Lauren Miller</t>
  </si>
  <si>
    <t>Ebony Gill</t>
  </si>
  <si>
    <t>Cameron Lewis</t>
  </si>
  <si>
    <t>Devin Nelson</t>
  </si>
  <si>
    <t>Logan Chow</t>
  </si>
  <si>
    <t>Dakota Ross</t>
  </si>
  <si>
    <t>Nicole Taylor</t>
  </si>
  <si>
    <t>Justin Washington</t>
  </si>
  <si>
    <t>Alberto Navarro</t>
  </si>
  <si>
    <t>Aidan Ross</t>
  </si>
  <si>
    <t>Alejandro Tang</t>
  </si>
  <si>
    <t>Sheena Chande</t>
  </si>
  <si>
    <t>Joel Garcia</t>
  </si>
  <si>
    <t>Reginald Dominguez</t>
  </si>
  <si>
    <t>Christine Chande</t>
  </si>
  <si>
    <t>Cindy Sai</t>
  </si>
  <si>
    <t>Raymond Sanchez</t>
  </si>
  <si>
    <t>Crystal Liang</t>
  </si>
  <si>
    <t>Deb Torres</t>
  </si>
  <si>
    <t>Shannon Alvarez</t>
  </si>
  <si>
    <t>Eddie Rubio</t>
  </si>
  <si>
    <t>Sharon Luo</t>
  </si>
  <si>
    <t>Sydney Simmons</t>
  </si>
  <si>
    <t>Alexandria Henderson</t>
  </si>
  <si>
    <t>Lucas Evans</t>
  </si>
  <si>
    <t>Felicia Ramos</t>
  </si>
  <si>
    <t>Ivan Malhotra</t>
  </si>
  <si>
    <t>Frederick Subram</t>
  </si>
  <si>
    <t>Whitney Srini</t>
  </si>
  <si>
    <t>Briana Dominguez</t>
  </si>
  <si>
    <t>Jarrod Gonzalez</t>
  </si>
  <si>
    <t>Cesar Srini</t>
  </si>
  <si>
    <t>Jorge Liang</t>
  </si>
  <si>
    <t>Erik Diaz</t>
  </si>
  <si>
    <t>April Shan</t>
  </si>
  <si>
    <t>Carla Perez</t>
  </si>
  <si>
    <t>Alexia Foster</t>
  </si>
  <si>
    <t>Troy Malhotra</t>
  </si>
  <si>
    <t>Kristin Andersen</t>
  </si>
  <si>
    <t>Joel Sai</t>
  </si>
  <si>
    <t>Billy Moreno</t>
  </si>
  <si>
    <t>Meagan Subram</t>
  </si>
  <si>
    <t>Karla Luo</t>
  </si>
  <si>
    <t>Jackson Campbell</t>
  </si>
  <si>
    <t>Micah Zhu</t>
  </si>
  <si>
    <t>Janet Serrano</t>
  </si>
  <si>
    <t>Trisha Huang</t>
  </si>
  <si>
    <t>Clayton Beck</t>
  </si>
  <si>
    <t>Melvin Raje</t>
  </si>
  <si>
    <t>Cindy Jordan</t>
  </si>
  <si>
    <t>Claudia Ma</t>
  </si>
  <si>
    <t>Karla Xu</t>
  </si>
  <si>
    <t>Devin Carter</t>
  </si>
  <si>
    <t>Kari Perez</t>
  </si>
  <si>
    <t>Alberto Romero</t>
  </si>
  <si>
    <t>Kevin Bryant</t>
  </si>
  <si>
    <t>Candace Mehta</t>
  </si>
  <si>
    <t>Ebony Malhotra</t>
  </si>
  <si>
    <t>Erika Diaz</t>
  </si>
  <si>
    <t>Stacey Lu</t>
  </si>
  <si>
    <t>Darrell Raji</t>
  </si>
  <si>
    <t>Armando Moreno</t>
  </si>
  <si>
    <t>Corey Goel</t>
  </si>
  <si>
    <t>Sebastian Howard</t>
  </si>
  <si>
    <t>Roger Raje</t>
  </si>
  <si>
    <t>Janelle Chandra</t>
  </si>
  <si>
    <t>Meredith Ruiz</t>
  </si>
  <si>
    <t>Melody Diaz</t>
  </si>
  <si>
    <t>Linda Rubio</t>
  </si>
  <si>
    <t>Ivan Raman</t>
  </si>
  <si>
    <t>Larry Gill</t>
  </si>
  <si>
    <t>Geoffrey Gonzalez</t>
  </si>
  <si>
    <t>Edgar Sanchez</t>
  </si>
  <si>
    <t>Heidi Subram</t>
  </si>
  <si>
    <t>Melody Ramos</t>
  </si>
  <si>
    <t>Clinton Moreno</t>
  </si>
  <si>
    <t>Cesar Madan</t>
  </si>
  <si>
    <t>Eugene Ye</t>
  </si>
  <si>
    <t>Blake Collins</t>
  </si>
  <si>
    <t>Ernest Lin</t>
  </si>
  <si>
    <t>Keith Andersen</t>
  </si>
  <si>
    <t>Meredith Prasad</t>
  </si>
  <si>
    <t>Katrina Sharma</t>
  </si>
  <si>
    <t>Dwayne Navarro</t>
  </si>
  <si>
    <t>Casey Nath</t>
  </si>
  <si>
    <t>Sean Brooks</t>
  </si>
  <si>
    <t>Brian Ramirez</t>
  </si>
  <si>
    <t>Sierra Young</t>
  </si>
  <si>
    <t>Megan Rodriguez</t>
  </si>
  <si>
    <t>Leah She</t>
  </si>
  <si>
    <t>Gabriel Allen</t>
  </si>
  <si>
    <t>Angela Perry</t>
  </si>
  <si>
    <t>Ryan Smith</t>
  </si>
  <si>
    <t>Zachary Moore</t>
  </si>
  <si>
    <t>Destiny Rogers</t>
  </si>
  <si>
    <t>Dalton Gray</t>
  </si>
  <si>
    <t>Mariah Wood</t>
  </si>
  <si>
    <t>Isaiah Wright</t>
  </si>
  <si>
    <t>Haley Powell</t>
  </si>
  <si>
    <t>Antonio Bennett</t>
  </si>
  <si>
    <t>Alexandra Jenkins</t>
  </si>
  <si>
    <t>Thomas Anderson</t>
  </si>
  <si>
    <t>Samuel Collins</t>
  </si>
  <si>
    <t>Darrell Chande</t>
  </si>
  <si>
    <t>Kimberly Cox</t>
  </si>
  <si>
    <t>Morgan Hernandez</t>
  </si>
  <si>
    <t>Antonio Powell</t>
  </si>
  <si>
    <t>Angelica Perry</t>
  </si>
  <si>
    <t>Chloe Wilson</t>
  </si>
  <si>
    <t>James Chen</t>
  </si>
  <si>
    <t>Morgan Hughes</t>
  </si>
  <si>
    <t>Naomi Munoz</t>
  </si>
  <si>
    <t>Charles Torres</t>
  </si>
  <si>
    <t>Gabriella Turner</t>
  </si>
  <si>
    <t>Anna Foster</t>
  </si>
  <si>
    <t>Randy Wu</t>
  </si>
  <si>
    <t>Kevin Scott</t>
  </si>
  <si>
    <t>Ian White</t>
  </si>
  <si>
    <t>Caleb Hayes</t>
  </si>
  <si>
    <t>Patricia Garcia</t>
  </si>
  <si>
    <t>Samuel Russell</t>
  </si>
  <si>
    <t>Sydney Peterson</t>
  </si>
  <si>
    <t>Ariana Sanchez</t>
  </si>
  <si>
    <t>Tamara Sharma</t>
  </si>
  <si>
    <t>Katelyn Perez</t>
  </si>
  <si>
    <t>Megan Cox</t>
  </si>
  <si>
    <t>Robert Mitchell</t>
  </si>
  <si>
    <t>Miguel Adams</t>
  </si>
  <si>
    <t>Miranda Gonzales</t>
  </si>
  <si>
    <t>Jeremiah James</t>
  </si>
  <si>
    <t>Ethan Kumar</t>
  </si>
  <si>
    <t>Seth Williams</t>
  </si>
  <si>
    <t>Alyssa Morgan</t>
  </si>
  <si>
    <t>Janet Dominguez</t>
  </si>
  <si>
    <t>Angel Baker</t>
  </si>
  <si>
    <t>Blake Moore</t>
  </si>
  <si>
    <t>Jada Collins</t>
  </si>
  <si>
    <t>Isabella Simmons</t>
  </si>
  <si>
    <t>Jacqueline Perry</t>
  </si>
  <si>
    <t>Jessica Brown</t>
  </si>
  <si>
    <t>Chad Jai</t>
  </si>
  <si>
    <t>Susan Ye</t>
  </si>
  <si>
    <t>Morgan Rogers</t>
  </si>
  <si>
    <t>Devin Martinez</t>
  </si>
  <si>
    <t>Alan Hu</t>
  </si>
  <si>
    <t>Charles Walker</t>
  </si>
  <si>
    <t>Johnny Chavez</t>
  </si>
  <si>
    <t>Dalton Richardson</t>
  </si>
  <si>
    <t>Kaylee Nelson</t>
  </si>
  <si>
    <t>Abigail Jones</t>
  </si>
  <si>
    <t>Kaitlyn Hall</t>
  </si>
  <si>
    <t>Greg Taylor</t>
  </si>
  <si>
    <t>Devin Parker</t>
  </si>
  <si>
    <t>Jose Griffin</t>
  </si>
  <si>
    <t>Luke Edwards</t>
  </si>
  <si>
    <t>Cody Torres</t>
  </si>
  <si>
    <t>Victoria Morris</t>
  </si>
  <si>
    <t>Ian Diaz</t>
  </si>
  <si>
    <t>Caroline Butler</t>
  </si>
  <si>
    <t>Kaitlyn Wilson</t>
  </si>
  <si>
    <t>Caleb Gonzales</t>
  </si>
  <si>
    <t>Hailey Diaz</t>
  </si>
  <si>
    <t>Jonathon Ortega</t>
  </si>
  <si>
    <t>Logan Campbell</t>
  </si>
  <si>
    <t>Mackenzie Campbell</t>
  </si>
  <si>
    <t>Eduardo Lee</t>
  </si>
  <si>
    <t>Jackson Wright</t>
  </si>
  <si>
    <t>Chase Peterson</t>
  </si>
  <si>
    <t>Xavier Richardson</t>
  </si>
  <si>
    <t>David Hayes</t>
  </si>
  <si>
    <t>Jenny Zhou</t>
  </si>
  <si>
    <t>Kaylee Baker</t>
  </si>
  <si>
    <t>Evan Hernandez</t>
  </si>
  <si>
    <t>Brooke Richardson</t>
  </si>
  <si>
    <t>Blake Perez</t>
  </si>
  <si>
    <t>Natalie Cook</t>
  </si>
  <si>
    <t>Elizabeth Weisman</t>
  </si>
  <si>
    <t>Hailey Collins</t>
  </si>
  <si>
    <t>Zoe Ramirez</t>
  </si>
  <si>
    <t>Daniel Davis</t>
  </si>
  <si>
    <t>Shelby Rogers</t>
  </si>
  <si>
    <t>Kyle Zhang</t>
  </si>
  <si>
    <t>Alexandria Long</t>
  </si>
  <si>
    <t>Chloe Robinson</t>
  </si>
  <si>
    <t>Evan Kelly</t>
  </si>
  <si>
    <t>Marcus Jones</t>
  </si>
  <si>
    <t>Sarah Jones</t>
  </si>
  <si>
    <t>Blake Green</t>
  </si>
  <si>
    <t>Morgan Morris</t>
  </si>
  <si>
    <t>Jennifer Alexander</t>
  </si>
  <si>
    <t>Julian Hughes</t>
  </si>
  <si>
    <t>Luke Coleman</t>
  </si>
  <si>
    <t>Jason Carter</t>
  </si>
  <si>
    <t>Jose Li</t>
  </si>
  <si>
    <t>Micah Liang</t>
  </si>
  <si>
    <t>Benjamin Taylor</t>
  </si>
  <si>
    <t>Logan White</t>
  </si>
  <si>
    <t>Caleb Campbell</t>
  </si>
  <si>
    <t>Emma Torres</t>
  </si>
  <si>
    <t>Tanya Gill</t>
  </si>
  <si>
    <t>Erick Sanchez</t>
  </si>
  <si>
    <t>Kristi Schmidt</t>
  </si>
  <si>
    <t>Omar Chen</t>
  </si>
  <si>
    <t>Sydney Gray</t>
  </si>
  <si>
    <t>Sebastian Sanchez</t>
  </si>
  <si>
    <t>Megan Martin</t>
  </si>
  <si>
    <t>Elijah Alexander</t>
  </si>
  <si>
    <t>Aaron King</t>
  </si>
  <si>
    <t>Jan Hall</t>
  </si>
  <si>
    <t>Tamara Chander</t>
  </si>
  <si>
    <t>Edward Lewis</t>
  </si>
  <si>
    <t>Chase Kelly</t>
  </si>
  <si>
    <t>Stephanie Campbell</t>
  </si>
  <si>
    <t>Allison Gonzalez</t>
  </si>
  <si>
    <t>Seth Brooks</t>
  </si>
  <si>
    <t>Destiny Davis</t>
  </si>
  <si>
    <t>Blake Hill</t>
  </si>
  <si>
    <t>Eduardo Jackson</t>
  </si>
  <si>
    <t>Latoya She</t>
  </si>
  <si>
    <t>Victoria Gonzales</t>
  </si>
  <si>
    <t>Lauren Bryant</t>
  </si>
  <si>
    <t>Felicia Ortega</t>
  </si>
  <si>
    <t>Janet Ortega</t>
  </si>
  <si>
    <t>Willie Pal</t>
  </si>
  <si>
    <t>Linda Ortega</t>
  </si>
  <si>
    <t>Vincent Cai</t>
  </si>
  <si>
    <t>Colin Yuan</t>
  </si>
  <si>
    <t>Dawn Nath</t>
  </si>
  <si>
    <t>Melody Moreno</t>
  </si>
  <si>
    <t>Edgar Mehta</t>
  </si>
  <si>
    <t>Randall Gomez</t>
  </si>
  <si>
    <t>Ross Fernandez</t>
  </si>
  <si>
    <t>Jessie Ramos</t>
  </si>
  <si>
    <t>Marc Torres</t>
  </si>
  <si>
    <t>Candace Raman</t>
  </si>
  <si>
    <t>Meagan Madan</t>
  </si>
  <si>
    <t>Clayton Nara</t>
  </si>
  <si>
    <t>Haley Hernandez</t>
  </si>
  <si>
    <t>Peter Nara</t>
  </si>
  <si>
    <t>Isaac Rivera</t>
  </si>
  <si>
    <t>Cameron Moore</t>
  </si>
  <si>
    <t>Gavin Diaz</t>
  </si>
  <si>
    <t>Emma Sanchez</t>
  </si>
  <si>
    <t>Sierra Roberts</t>
  </si>
  <si>
    <t>Seth Mitchell</t>
  </si>
  <si>
    <t>Miranda Long</t>
  </si>
  <si>
    <t>Haley Henderson</t>
  </si>
  <si>
    <t>Sarah Jackson</t>
  </si>
  <si>
    <t>Jessica Alexander</t>
  </si>
  <si>
    <t>Carlos Gray</t>
  </si>
  <si>
    <t>Barbara Jai</t>
  </si>
  <si>
    <t>Sara Mitchell</t>
  </si>
  <si>
    <t>Jose Turner</t>
  </si>
  <si>
    <t>Theodore Diaz</t>
  </si>
  <si>
    <t>Ian Murphy</t>
  </si>
  <si>
    <t>Jerry Nath</t>
  </si>
  <si>
    <t>Destiny James</t>
  </si>
  <si>
    <t>Bailey Phillips</t>
  </si>
  <si>
    <t>Timothy Gonzalez</t>
  </si>
  <si>
    <t>Chase Morgan</t>
  </si>
  <si>
    <t>Alexia Perry</t>
  </si>
  <si>
    <t>Xavier Rogers</t>
  </si>
  <si>
    <t>Lauren Ross</t>
  </si>
  <si>
    <t>Nicole Thomas</t>
  </si>
  <si>
    <t>Isabel Jenkins</t>
  </si>
  <si>
    <t>Devin Coleman</t>
  </si>
  <si>
    <t>Brendan Chande</t>
  </si>
  <si>
    <t>Jessie Wang</t>
  </si>
  <si>
    <t>Jennifer Baker</t>
  </si>
  <si>
    <t>Aaron Sharma</t>
  </si>
  <si>
    <t>Madison Taylor</t>
  </si>
  <si>
    <t>Jan Hernandez</t>
  </si>
  <si>
    <t>Haley Turner</t>
  </si>
  <si>
    <t>Richard Green</t>
  </si>
  <si>
    <t>Jennifer Stewart</t>
  </si>
  <si>
    <t>Lucas Baker</t>
  </si>
  <si>
    <t>James Parker</t>
  </si>
  <si>
    <t>Juan Gray</t>
  </si>
  <si>
    <t>Antonio Washington</t>
  </si>
  <si>
    <t>Abigail Brooks</t>
  </si>
  <si>
    <t>Andrew Rodriguez</t>
  </si>
  <si>
    <t>Mary Patterson</t>
  </si>
  <si>
    <t>Dalton Morgan</t>
  </si>
  <si>
    <t>Hannah Patterson</t>
  </si>
  <si>
    <t>Joe Torres</t>
  </si>
  <si>
    <t>Morgan Miller</t>
  </si>
  <si>
    <t>Daniel Garcia</t>
  </si>
  <si>
    <t>Jose Lal</t>
  </si>
  <si>
    <t>Katelyn Lopez</t>
  </si>
  <si>
    <t>Austin Johnson</t>
  </si>
  <si>
    <t>Rohinton Wadia</t>
  </si>
  <si>
    <t>Morgan Turner</t>
  </si>
  <si>
    <t>Jill Martin</t>
  </si>
  <si>
    <t>Aimee She</t>
  </si>
  <si>
    <t>Jessie Alonso</t>
  </si>
  <si>
    <t>Sara Baker</t>
  </si>
  <si>
    <t>Katherine Martinez</t>
  </si>
  <si>
    <t>Sophia Campbell</t>
  </si>
  <si>
    <t>Taylor Garcia</t>
  </si>
  <si>
    <t>Christian Ross</t>
  </si>
  <si>
    <t>Zoe Murphy</t>
  </si>
  <si>
    <t>Oscar Price</t>
  </si>
  <si>
    <t>Fernando Flores</t>
  </si>
  <si>
    <t>Elijah Russell</t>
  </si>
  <si>
    <t>Garrett Travers</t>
  </si>
  <si>
    <t>Haley Alexander</t>
  </si>
  <si>
    <t>Justin Rodriguez</t>
  </si>
  <si>
    <t>Tyler Brown</t>
  </si>
  <si>
    <t>Julian Patterson</t>
  </si>
  <si>
    <t>Sean Nelson</t>
  </si>
  <si>
    <t>Justin Wilson</t>
  </si>
  <si>
    <t>Christy Nara</t>
  </si>
  <si>
    <t>Michele Alvarez</t>
  </si>
  <si>
    <t>Natalie Jones</t>
  </si>
  <si>
    <t>Savannah Reed</t>
  </si>
  <si>
    <t>Cassidy Diaz</t>
  </si>
  <si>
    <t>Joshua Lewis</t>
  </si>
  <si>
    <t>Faith Reed</t>
  </si>
  <si>
    <t>Brooke Ramirez</t>
  </si>
  <si>
    <t>Jada Mitchell</t>
  </si>
  <si>
    <t>Kyle Russell</t>
  </si>
  <si>
    <t>Grace Jones</t>
  </si>
  <si>
    <t>Jason Mitchell</t>
  </si>
  <si>
    <t>Christian Walker</t>
  </si>
  <si>
    <t>Seth Hernandez</t>
  </si>
  <si>
    <t>Isabella Young</t>
  </si>
  <si>
    <t>Jordan Coleman</t>
  </si>
  <si>
    <t>Blake Garcia</t>
  </si>
  <si>
    <t>Nicole Walker</t>
  </si>
  <si>
    <t>Katherine Carter</t>
  </si>
  <si>
    <t>Olivia Peterson</t>
  </si>
  <si>
    <t>Jessica Wood</t>
  </si>
  <si>
    <t>Elizabeth Thompson</t>
  </si>
  <si>
    <t>Chloe Rivera</t>
  </si>
  <si>
    <t>Lucas Scott</t>
  </si>
  <si>
    <t>Nathaniel James</t>
  </si>
  <si>
    <t>Jessica Peterson</t>
  </si>
  <si>
    <t>Kaitlyn Adams</t>
  </si>
  <si>
    <t>Jillian Garcia</t>
  </si>
  <si>
    <t>Dalton Bennett</t>
  </si>
  <si>
    <t>Faith Patterson</t>
  </si>
  <si>
    <t>Ryan Zhang</t>
  </si>
  <si>
    <t>Adrian Bell</t>
  </si>
  <si>
    <t>Jonathan Brown</t>
  </si>
  <si>
    <t>Madison White</t>
  </si>
  <si>
    <t>Alexis Diaz</t>
  </si>
  <si>
    <t>Christine Nara</t>
  </si>
  <si>
    <t>Edgar Sai</t>
  </si>
  <si>
    <t>Melissa Sanchez</t>
  </si>
  <si>
    <t>Richard Mitchell</t>
  </si>
  <si>
    <t>Patrick Stewart</t>
  </si>
  <si>
    <t>Hannah Anderson</t>
  </si>
  <si>
    <t>Latoya Shen</t>
  </si>
  <si>
    <t>Kurt Sharma</t>
  </si>
  <si>
    <t>Katelyn Parker</t>
  </si>
  <si>
    <t>Joseph White</t>
  </si>
  <si>
    <t>Aaron Ross</t>
  </si>
  <si>
    <t>Blake Patterson</t>
  </si>
  <si>
    <t>Whitney Lopez</t>
  </si>
  <si>
    <t>Jamie Liang</t>
  </si>
  <si>
    <t>Julio Ortega</t>
  </si>
  <si>
    <t>Orlando Carlson</t>
  </si>
  <si>
    <t>Ann Gonzalez</t>
  </si>
  <si>
    <t>Dustin Chander</t>
  </si>
  <si>
    <t>Frank Carlson</t>
  </si>
  <si>
    <t>Orlando Ashe</t>
  </si>
  <si>
    <t>Angela Henderson</t>
  </si>
  <si>
    <t>Brenda Perez</t>
  </si>
  <si>
    <t>Byron Carlson</t>
  </si>
  <si>
    <t>Stacy Alvarez</t>
  </si>
  <si>
    <t>Drew Pal</t>
  </si>
  <si>
    <t>Kate Raji</t>
  </si>
  <si>
    <t>Kaylee Cook</t>
  </si>
  <si>
    <t>Isaiah Ramirez</t>
  </si>
  <si>
    <t>Gabriella Sanders</t>
  </si>
  <si>
    <t>Sarah Garcia</t>
  </si>
  <si>
    <t>Rafael Tang</t>
  </si>
  <si>
    <t>Nichole She</t>
  </si>
  <si>
    <t>Jaclyn Zheng</t>
  </si>
  <si>
    <t>Rachael Kapoor</t>
  </si>
  <si>
    <t>Rachael Sai</t>
  </si>
  <si>
    <t>Rebecca Robinson</t>
  </si>
  <si>
    <t>Meagan Rana</t>
  </si>
  <si>
    <t>Philip Carlson</t>
  </si>
  <si>
    <t>Joe Rana</t>
  </si>
  <si>
    <t>Roy Sanz</t>
  </si>
  <si>
    <t>Kaylee Hill</t>
  </si>
  <si>
    <t>Warren Andersen</t>
  </si>
  <si>
    <t>Adrienne Gomez</t>
  </si>
  <si>
    <t>Gilbert Zhu</t>
  </si>
  <si>
    <t>James Davis</t>
  </si>
  <si>
    <t>Sarah Bryant</t>
  </si>
  <si>
    <t>Ian Long</t>
  </si>
  <si>
    <t>Ashlee Jai</t>
  </si>
  <si>
    <t>Eduardo Foster</t>
  </si>
  <si>
    <t>Nicole Murphy</t>
  </si>
  <si>
    <t>Isabella Morris</t>
  </si>
  <si>
    <t>Virginia Gonzalez</t>
  </si>
  <si>
    <t>Jaclyn Nara</t>
  </si>
  <si>
    <t>Marcus Adams</t>
  </si>
  <si>
    <t>Elizabeth Coleman</t>
  </si>
  <si>
    <t>Mathew Rubio</t>
  </si>
  <si>
    <t>Justin Shan</t>
  </si>
  <si>
    <t>Jessica Taylor</t>
  </si>
  <si>
    <t>Hunter Clark</t>
  </si>
  <si>
    <t>Devin Perez</t>
  </si>
  <si>
    <t>Seth Alexander</t>
  </si>
  <si>
    <t>Kevin Washington</t>
  </si>
  <si>
    <t>Tyler Miller</t>
  </si>
  <si>
    <t>Adam Roberts</t>
  </si>
  <si>
    <t>George Gonzalez</t>
  </si>
  <si>
    <t>Dawn Huang</t>
  </si>
  <si>
    <t>Rachael Rodriguez</t>
  </si>
  <si>
    <t>Dennis Huang</t>
  </si>
  <si>
    <t>Brandy Saunders</t>
  </si>
  <si>
    <t>Jenny Zheng</t>
  </si>
  <si>
    <t>Tasha Xu</t>
  </si>
  <si>
    <t>Julia Brooks</t>
  </si>
  <si>
    <t>Jordan Carter</t>
  </si>
  <si>
    <t>Lacey Huang</t>
  </si>
  <si>
    <t>Dorothy Robinson</t>
  </si>
  <si>
    <t>Courtney Wright</t>
  </si>
  <si>
    <t>Joseph Garcia</t>
  </si>
  <si>
    <t>Gabriel Green</t>
  </si>
  <si>
    <t>Alexandria Sandberg</t>
  </si>
  <si>
    <t>Courtney Hernandez</t>
  </si>
  <si>
    <t>Dylan Lal</t>
  </si>
  <si>
    <t>Elizabeth Davis</t>
  </si>
  <si>
    <t>Ana Griffin</t>
  </si>
  <si>
    <t>Anne Alvarez</t>
  </si>
  <si>
    <t>Alexandra Roberts</t>
  </si>
  <si>
    <t>Antonio Patterson</t>
  </si>
  <si>
    <t>Sharon Salavaria</t>
  </si>
  <si>
    <t>Katie She</t>
  </si>
  <si>
    <t>Rafael Black</t>
  </si>
  <si>
    <t>Latasha Munoz</t>
  </si>
  <si>
    <t>Kelsey Becker</t>
  </si>
  <si>
    <t>Randy Xu</t>
  </si>
  <si>
    <t>Bailey Collins</t>
  </si>
  <si>
    <t>Amanda Adams</t>
  </si>
  <si>
    <t>Katherine Williams</t>
  </si>
  <si>
    <t>Caroline Barnes</t>
  </si>
  <si>
    <t>Randy Sun</t>
  </si>
  <si>
    <t>Destiny Garcia</t>
  </si>
  <si>
    <t>Audrey Ramos</t>
  </si>
  <si>
    <t>Bonnie Jai</t>
  </si>
  <si>
    <t>Jackson Washington</t>
  </si>
  <si>
    <t>Christopher Johnson</t>
  </si>
  <si>
    <t>Kimberly Richardson</t>
  </si>
  <si>
    <t>Alexandria Howard</t>
  </si>
  <si>
    <t>Alexandra Foster</t>
  </si>
  <si>
    <t>Cheryl Ortega</t>
  </si>
  <si>
    <t>Alex Campbell</t>
  </si>
  <si>
    <t>Melanie Hughes</t>
  </si>
  <si>
    <t>Max Alvarez</t>
  </si>
  <si>
    <t>Diane Vazquez</t>
  </si>
  <si>
    <t>Kathryn Chapman</t>
  </si>
  <si>
    <t>Kara Anand</t>
  </si>
  <si>
    <t>Joanna Vazquez</t>
  </si>
  <si>
    <t>Frederick Martinez</t>
  </si>
  <si>
    <t>Tonya Chande</t>
  </si>
  <si>
    <t>Rosa Wang</t>
  </si>
  <si>
    <t>Leah Hu</t>
  </si>
  <si>
    <t>Kelvin Carson</t>
  </si>
  <si>
    <t>Veronica Srini</t>
  </si>
  <si>
    <t>Kristina Kapoor</t>
  </si>
  <si>
    <t>Donna Sharma</t>
  </si>
  <si>
    <t>Johnny Shan</t>
  </si>
  <si>
    <t>jon24@gmail.com</t>
  </si>
  <si>
    <t>eugene10@gmail.com</t>
  </si>
  <si>
    <t>ruben35@gmail.com</t>
  </si>
  <si>
    <t>christy12@gmail.com</t>
  </si>
  <si>
    <t>elizabeth5@gmail.com</t>
  </si>
  <si>
    <t>julio1@gmail.com</t>
  </si>
  <si>
    <t>janet9@gmail.com</t>
  </si>
  <si>
    <t>marco14@gmail.com</t>
  </si>
  <si>
    <t>rob4@gmail.com</t>
  </si>
  <si>
    <t>shannon38@gmail.com</t>
  </si>
  <si>
    <t>jacquelyn20@gmail.com</t>
  </si>
  <si>
    <t>curtis9@gmail.com</t>
  </si>
  <si>
    <t>lauren41@gmail.com</t>
  </si>
  <si>
    <t>ian47@gmail.com</t>
  </si>
  <si>
    <t>sydney23@gmail.com</t>
  </si>
  <si>
    <t>chloe23@gmail.com</t>
  </si>
  <si>
    <t>wyatt32@gmail.com</t>
  </si>
  <si>
    <t>shannon1@gmail.com</t>
  </si>
  <si>
    <t>clarence32@gmail.com</t>
  </si>
  <si>
    <t>luke18@gmail.com</t>
  </si>
  <si>
    <t>jordan73@gmail.com</t>
  </si>
  <si>
    <t>destiny7@gmail.com</t>
  </si>
  <si>
    <t>ethan20@gmail.com</t>
  </si>
  <si>
    <t>seth46@gmail.com</t>
  </si>
  <si>
    <t>russell7@gmail.com</t>
  </si>
  <si>
    <t>alejandro45@gmail.com</t>
  </si>
  <si>
    <t>harold3@gmail.com</t>
  </si>
  <si>
    <t>jessie16@gmail.com</t>
  </si>
  <si>
    <t>jill13@gmail.com</t>
  </si>
  <si>
    <t>jimmy9@gmail.com</t>
  </si>
  <si>
    <t>bethany10@gmail.com</t>
  </si>
  <si>
    <t>theresa13@gmail.com</t>
  </si>
  <si>
    <t>denise10@gmail.com</t>
  </si>
  <si>
    <t>jaime41@gmail.com</t>
  </si>
  <si>
    <t>ebony19@gmail.com</t>
  </si>
  <si>
    <t>wendy12@gmail.com</t>
  </si>
  <si>
    <t>jennifer93@gmail.com</t>
  </si>
  <si>
    <t>chloe27@gmail.com</t>
  </si>
  <si>
    <t>diana2@gmail.com</t>
  </si>
  <si>
    <t>marc3@gmail.com</t>
  </si>
  <si>
    <t>jesse15@gmail.com</t>
  </si>
  <si>
    <t>amanda53@gmail.com</t>
  </si>
  <si>
    <t>megan28@gmail.com</t>
  </si>
  <si>
    <t>nathan11@gmail.com</t>
  </si>
  <si>
    <t>adam10@gmail.com</t>
  </si>
  <si>
    <t>leonard18@gmail.com</t>
  </si>
  <si>
    <t>christine4@gmail.com</t>
  </si>
  <si>
    <t>jaclyn12@gmail.com</t>
  </si>
  <si>
    <t>jeremy26@gmail.com</t>
  </si>
  <si>
    <t>carol8@gmail.com</t>
  </si>
  <si>
    <t>alan23@gmail.com</t>
  </si>
  <si>
    <t>daniel18@gmail.com</t>
  </si>
  <si>
    <t>heidi19@gmail.com</t>
  </si>
  <si>
    <t>ana0@gmail.com</t>
  </si>
  <si>
    <t>deanna33@gmail.com</t>
  </si>
  <si>
    <t>gilbert35@gmail.com</t>
  </si>
  <si>
    <t>michele19@gmail.com</t>
  </si>
  <si>
    <t>carl12@gmail.com</t>
  </si>
  <si>
    <t>marc6@gmail.com</t>
  </si>
  <si>
    <t>ashlee19@gmail.com</t>
  </si>
  <si>
    <t>jon28@gmail.com</t>
  </si>
  <si>
    <t>todd14@gmail.com</t>
  </si>
  <si>
    <t>noah5@gmail.com</t>
  </si>
  <si>
    <t>angela41@gmail.com</t>
  </si>
  <si>
    <t>chase21@gmail.com</t>
  </si>
  <si>
    <t>jessica29@gmail.com</t>
  </si>
  <si>
    <t>grace62@gmail.com</t>
  </si>
  <si>
    <t>caleb40@gmail.com</t>
  </si>
  <si>
    <t>tiffany17@gmail.com</t>
  </si>
  <si>
    <t>carolyn30@gmail.com</t>
  </si>
  <si>
    <t>willie40@gmail.com</t>
  </si>
  <si>
    <t>linda31@gmail.com</t>
  </si>
  <si>
    <t>casey6@gmail.com</t>
  </si>
  <si>
    <t>amy16@gmail.com</t>
  </si>
  <si>
    <t>levi6@gmail.com</t>
  </si>
  <si>
    <t>felicia4@gmail.com</t>
  </si>
  <si>
    <t>blake9@gmail.com</t>
  </si>
  <si>
    <t>leah7@gmail.com</t>
  </si>
  <si>
    <t>gina1@gmail.com</t>
  </si>
  <si>
    <t>donald20@gmail.com</t>
  </si>
  <si>
    <t>damien32@gmail.com</t>
  </si>
  <si>
    <t>savannah39@gmail.com</t>
  </si>
  <si>
    <t>angela17@gmail.com</t>
  </si>
  <si>
    <t>alyssa37@gmail.com</t>
  </si>
  <si>
    <t>lucas7@gmail.com</t>
  </si>
  <si>
    <t>emily1@gmail.com</t>
  </si>
  <si>
    <t>ryan43@gmail.com</t>
  </si>
  <si>
    <t>tamara6@gmail.com</t>
  </si>
  <si>
    <t>hunter64@gmail.com</t>
  </si>
  <si>
    <t>abigail25@gmail.com</t>
  </si>
  <si>
    <t>trevor18@gmail.com</t>
  </si>
  <si>
    <t>dalton37@gmail.com</t>
  </si>
  <si>
    <t>cheryl4@gmail.com</t>
  </si>
  <si>
    <t>aimee13@gmail.com</t>
  </si>
  <si>
    <t>cedric15@gmail.com</t>
  </si>
  <si>
    <t>chad9@gmail.com</t>
  </si>
  <si>
    <t>andrés18@gmail.com</t>
  </si>
  <si>
    <t>edwin39@gmail.com</t>
  </si>
  <si>
    <t>mallory7@gmail.com</t>
  </si>
  <si>
    <t>adam2@gmail.com</t>
  </si>
  <si>
    <t>latasha10@gmail.com</t>
  </si>
  <si>
    <t>abby4@gmail.com</t>
  </si>
  <si>
    <t>julia7@gmail.com</t>
  </si>
  <si>
    <t>cassie13@gmail.com</t>
  </si>
  <si>
    <t>edgar11@gmail.com</t>
  </si>
  <si>
    <t>candace15@gmail.com</t>
  </si>
  <si>
    <t>jessie9@gmail.com</t>
  </si>
  <si>
    <t>bianca7@gmail.com</t>
  </si>
  <si>
    <t>kari25@gmail.com</t>
  </si>
  <si>
    <t>ruben1@gmail.com</t>
  </si>
  <si>
    <t>curtis5@gmail.com</t>
  </si>
  <si>
    <t>meredith34@gmail.com</t>
  </si>
  <si>
    <t>crystal3@gmail.com</t>
  </si>
  <si>
    <t>micheal11@gmail.com</t>
  </si>
  <si>
    <t>leslie7@gmail.com</t>
  </si>
  <si>
    <t>alvin20@gmail.com</t>
  </si>
  <si>
    <t>clinton14@gmail.com</t>
  </si>
  <si>
    <t>april1@gmail.com</t>
  </si>
  <si>
    <t>alvin21@gmail.com</t>
  </si>
  <si>
    <t>evan8@gmail.com</t>
  </si>
  <si>
    <t>beth8@gmail.com</t>
  </si>
  <si>
    <t>orlando19@gmail.com</t>
  </si>
  <si>
    <t>byron9@gmail.com</t>
  </si>
  <si>
    <t>philip4@gmail.com</t>
  </si>
  <si>
    <t>ross1@gmail.com</t>
  </si>
  <si>
    <t>dana2@gmail.com</t>
  </si>
  <si>
    <t>shaun16@gmail.com</t>
  </si>
  <si>
    <t>jan11@gmail.com</t>
  </si>
  <si>
    <t>samantha35@gmail.com</t>
  </si>
  <si>
    <t>julia17@gmail.com</t>
  </si>
  <si>
    <t>caroline21@gmail.com</t>
  </si>
  <si>
    <t>amanda7@gmail.com</t>
  </si>
  <si>
    <t>melissa31@gmail.com</t>
  </si>
  <si>
    <t>angela23@gmail.com</t>
  </si>
  <si>
    <t>larry14@gmail.com</t>
  </si>
  <si>
    <t>marcus14@gmail.com</t>
  </si>
  <si>
    <t>brianna30@gmail.com</t>
  </si>
  <si>
    <t>jasmine7@gmail.com</t>
  </si>
  <si>
    <t>lauren23@gmail.com</t>
  </si>
  <si>
    <t>tanya2@gmail.com</t>
  </si>
  <si>
    <t>javier1@gmail.com</t>
  </si>
  <si>
    <t>nicole42@gmail.com</t>
  </si>
  <si>
    <t>eduardo55@gmail.com</t>
  </si>
  <si>
    <t>jonathan4@gmail.com</t>
  </si>
  <si>
    <t>edward48@gmail.com</t>
  </si>
  <si>
    <t>jasmine46@gmail.com</t>
  </si>
  <si>
    <t>karla20@gmail.com</t>
  </si>
  <si>
    <t>ernest6@gmail.com</t>
  </si>
  <si>
    <t>ross32@gmail.com</t>
  </si>
  <si>
    <t>theodore14@gmail.com</t>
  </si>
  <si>
    <t>russell6@gmail.com</t>
  </si>
  <si>
    <t>melinda9@gmail.com</t>
  </si>
  <si>
    <t>james77@gmail.com</t>
  </si>
  <si>
    <t>angela34@gmail.com</t>
  </si>
  <si>
    <t>megan25@gmail.com</t>
  </si>
  <si>
    <t>hunter50@gmail.com</t>
  </si>
  <si>
    <t>maria47@gmail.com</t>
  </si>
  <si>
    <t>hannah32@gmail.com</t>
  </si>
  <si>
    <t>jason46@gmail.com</t>
  </si>
  <si>
    <t>brianna57@gmail.com</t>
  </si>
  <si>
    <t>maurice4@gmail.com</t>
  </si>
  <si>
    <t>emily27@gmail.com</t>
  </si>
  <si>
    <t>chase10@gmail.com</t>
  </si>
  <si>
    <t>gabriel21@gmail.com</t>
  </si>
  <si>
    <t>devin63@gmail.com</t>
  </si>
  <si>
    <t>jocelyn18@gmail.com</t>
  </si>
  <si>
    <t>ashley18@gmail.com</t>
  </si>
  <si>
    <t>jasmine43@gmail.com</t>
  </si>
  <si>
    <t>david83@gmail.com</t>
  </si>
  <si>
    <t>bryce8@gmail.com</t>
  </si>
  <si>
    <t>carol5@gmail.com</t>
  </si>
  <si>
    <t>jonathan43@gmail.com</t>
  </si>
  <si>
    <t>gabrielle58@gmail.com</t>
  </si>
  <si>
    <t>sarah13@gmail.com</t>
  </si>
  <si>
    <t>nicholas19@gmail.com</t>
  </si>
  <si>
    <t>luis24@gmail.com</t>
  </si>
  <si>
    <t>mason25@gmail.com</t>
  </si>
  <si>
    <t>jose6@gmail.com</t>
  </si>
  <si>
    <t>nathan55@gmail.com</t>
  </si>
  <si>
    <t>molly18@gmail.com</t>
  </si>
  <si>
    <t>april18@gmail.com</t>
  </si>
  <si>
    <t>devin13@gmail.com</t>
  </si>
  <si>
    <t>stephanie19@gmail.com</t>
  </si>
  <si>
    <t>jasmine19@gmail.com</t>
  </si>
  <si>
    <t>meghan3@gmail.com</t>
  </si>
  <si>
    <t>ashley31@gmail.com</t>
  </si>
  <si>
    <t>sarah25@gmail.com</t>
  </si>
  <si>
    <t>jennifer63@gmail.com</t>
  </si>
  <si>
    <t>catherine16@gmail.com</t>
  </si>
  <si>
    <t>lawrence14@gmail.com</t>
  </si>
  <si>
    <t>carson17@gmail.com</t>
  </si>
  <si>
    <t>kristi39@gmail.com</t>
  </si>
  <si>
    <t>james79@gmail.com</t>
  </si>
  <si>
    <t>ian72@gmail.com</t>
  </si>
  <si>
    <t>jacqueline0@gmail.com</t>
  </si>
  <si>
    <t>megan55@gmail.com</t>
  </si>
  <si>
    <t>alfredo10@gmail.com</t>
  </si>
  <si>
    <t>andrea18@gmail.com</t>
  </si>
  <si>
    <t>brooke3@gmail.com</t>
  </si>
  <si>
    <t>jacqueline1@gmail.com</t>
  </si>
  <si>
    <t>jason18@gmail.com</t>
  </si>
  <si>
    <t>amanda37@gmail.com</t>
  </si>
  <si>
    <t>alexia0@gmail.com</t>
  </si>
  <si>
    <t>luis21@gmail.com</t>
  </si>
  <si>
    <t>destiny33@gmail.com</t>
  </si>
  <si>
    <t>abby13@gmail.com</t>
  </si>
  <si>
    <t>blake60@gmail.com</t>
  </si>
  <si>
    <t>danielle12@gmail.com</t>
  </si>
  <si>
    <t>maria4@gmail.com</t>
  </si>
  <si>
    <t>allison21@gmail.com</t>
  </si>
  <si>
    <t>edward50@gmail.com</t>
  </si>
  <si>
    <t>samantha42@gmail.com</t>
  </si>
  <si>
    <t>chloe4@gmail.com</t>
  </si>
  <si>
    <t>stephanie11@gmail.com</t>
  </si>
  <si>
    <t>charles9@gmail.com</t>
  </si>
  <si>
    <t>ana7@gmail.com</t>
  </si>
  <si>
    <t>jasmine32@gmail.com</t>
  </si>
  <si>
    <t>natalie58@gmail.com</t>
  </si>
  <si>
    <t>olivia4@gmail.com</t>
  </si>
  <si>
    <t>charles69@gmail.com</t>
  </si>
  <si>
    <t>erica5@gmail.com</t>
  </si>
  <si>
    <t>nathan3@gmail.com</t>
  </si>
  <si>
    <t>alexandra11@gmail.com</t>
  </si>
  <si>
    <t>hailey30@gmail.com</t>
  </si>
  <si>
    <t>tiffany3@gmail.com</t>
  </si>
  <si>
    <t>madison22@gmail.com</t>
  </si>
  <si>
    <t>sydney26@gmail.com</t>
  </si>
  <si>
    <t>marshall35@gmail.com</t>
  </si>
  <si>
    <t>ashley3@gmail.com</t>
  </si>
  <si>
    <t>adrian21@gmail.com</t>
  </si>
  <si>
    <t>amber4@gmail.com</t>
  </si>
  <si>
    <t>dennis1@gmail.com</t>
  </si>
  <si>
    <t>hailey38@gmail.com</t>
  </si>
  <si>
    <t>todd5@gmail.com</t>
  </si>
  <si>
    <t>anna46@gmail.com</t>
  </si>
  <si>
    <t>angel24@gmail.com</t>
  </si>
  <si>
    <t>jeremy29@gmail.com</t>
  </si>
  <si>
    <t>clarence36@gmail.com</t>
  </si>
  <si>
    <t>mayra9@gmail.com</t>
  </si>
  <si>
    <t>latoya18@gmail.com</t>
  </si>
  <si>
    <t>anne4@gmail.com</t>
  </si>
  <si>
    <t>lisa24@gmail.com</t>
  </si>
  <si>
    <t>larry9@gmail.com</t>
  </si>
  <si>
    <t>robin2@gmail.com</t>
  </si>
  <si>
    <t>alexis28@gmail.com</t>
  </si>
  <si>
    <t>ricky15@gmail.com</t>
  </si>
  <si>
    <t>latasha21@gmail.com</t>
  </si>
  <si>
    <t>claudia7@gmail.com</t>
  </si>
  <si>
    <t>tristan19@gmail.com</t>
  </si>
  <si>
    <t>cindy3@gmail.com</t>
  </si>
  <si>
    <t>shannon4@gmail.com</t>
  </si>
  <si>
    <t>xavier51@gmail.com</t>
  </si>
  <si>
    <t>nicholas16@gmail.com</t>
  </si>
  <si>
    <t>josé54@gmail.com</t>
  </si>
  <si>
    <t>johnathan5@gmail.com</t>
  </si>
  <si>
    <t>colin8@gmail.com</t>
  </si>
  <si>
    <t>katelyn42@gmail.com</t>
  </si>
  <si>
    <t>jacqueline9@gmail.com</t>
  </si>
  <si>
    <t>xavier26@gmail.com</t>
  </si>
  <si>
    <t>victoria24@gmail.com</t>
  </si>
  <si>
    <t>katelyn1@gmail.com</t>
  </si>
  <si>
    <t>stephanie52@gmail.com</t>
  </si>
  <si>
    <t>jennifer88@gmail.com</t>
  </si>
  <si>
    <t>trinity9@gmail.com</t>
  </si>
  <si>
    <t>eduardo13@gmail.com</t>
  </si>
  <si>
    <t>elizabeth7@gmail.com</t>
  </si>
  <si>
    <t>taylor14@gmail.com</t>
  </si>
  <si>
    <t>david55@gmail.com</t>
  </si>
  <si>
    <t>katelyn33@gmail.com</t>
  </si>
  <si>
    <t>ryan19@gmail.com</t>
  </si>
  <si>
    <t>robert82@gmail.com</t>
  </si>
  <si>
    <t>danielle23@gmail.com</t>
  </si>
  <si>
    <t>lauren35@gmail.com</t>
  </si>
  <si>
    <t>nathan26@gmail.com</t>
  </si>
  <si>
    <t>kyle11@gmail.com</t>
  </si>
  <si>
    <t>jenny40@gmail.com</t>
  </si>
  <si>
    <t>nancy7@gmail.com</t>
  </si>
  <si>
    <t>charles15@gmail.com</t>
  </si>
  <si>
    <t>jonathan35@gmail.com</t>
  </si>
  <si>
    <t>amanda3@gmail.com</t>
  </si>
  <si>
    <t>robert45@gmail.com</t>
  </si>
  <si>
    <t>megan53@gmail.com</t>
  </si>
  <si>
    <t>christian46@gmail.com</t>
  </si>
  <si>
    <t>arturo33@gmail.com</t>
  </si>
  <si>
    <t>theresa12@gmail.com</t>
  </si>
  <si>
    <t>jeremy2@gmail.com</t>
  </si>
  <si>
    <t>hunter16@gmail.com</t>
  </si>
  <si>
    <t>henry16@gmail.com</t>
  </si>
  <si>
    <t>cindy19@gmail.com</t>
  </si>
  <si>
    <t>maria53@gmail.com</t>
  </si>
  <si>
    <t>katelyn26@gmail.com</t>
  </si>
  <si>
    <t>jenna19@gmail.com</t>
  </si>
  <si>
    <t>seth42@gmail.com</t>
  </si>
  <si>
    <t>luke28@gmail.com</t>
  </si>
  <si>
    <t>dalton18@gmail.com</t>
  </si>
  <si>
    <t>taylor67@gmail.com</t>
  </si>
  <si>
    <t>haley10@gmail.com</t>
  </si>
  <si>
    <t>noah2@gmail.com</t>
  </si>
  <si>
    <t>jon46@gmail.com</t>
  </si>
  <si>
    <t>orlando14@gmail.com</t>
  </si>
  <si>
    <t>fernando47@gmail.com</t>
  </si>
  <si>
    <t>cameron38@gmail.com</t>
  </si>
  <si>
    <t>spencer22@gmail.com</t>
  </si>
  <si>
    <t>julia72@gmail.com</t>
  </si>
  <si>
    <t>julia38@gmail.com</t>
  </si>
  <si>
    <t>sean31@gmail.com</t>
  </si>
  <si>
    <t>micah19@gmail.com</t>
  </si>
  <si>
    <t>hunter53@gmail.com</t>
  </si>
  <si>
    <t>ian57@gmail.com</t>
  </si>
  <si>
    <t>victoria20@gmail.com</t>
  </si>
  <si>
    <t>erin7@gmail.com</t>
  </si>
  <si>
    <t>gabrielle63@gmail.com</t>
  </si>
  <si>
    <t>sara10@gmail.com</t>
  </si>
  <si>
    <t>trevor6@gmail.com</t>
  </si>
  <si>
    <t>mya13@gmail.com</t>
  </si>
  <si>
    <t>hailey12@gmail.com</t>
  </si>
  <si>
    <t>luke52@gmail.com</t>
  </si>
  <si>
    <t>victoria66@gmail.com</t>
  </si>
  <si>
    <t>jessica54@gmail.com</t>
  </si>
  <si>
    <t>jade13@gmail.com</t>
  </si>
  <si>
    <t>morgan19@gmail.com</t>
  </si>
  <si>
    <t>terrance9@gmail.com</t>
  </si>
  <si>
    <t>sydney78@gmail.com</t>
  </si>
  <si>
    <t>jose33@gmail.com</t>
  </si>
  <si>
    <t>zachary39@gmail.com</t>
  </si>
  <si>
    <t>elijah7@gmail.com</t>
  </si>
  <si>
    <t>rafael26@gmail.com</t>
  </si>
  <si>
    <t>jaime48@gmail.com</t>
  </si>
  <si>
    <t>julian20@gmail.com</t>
  </si>
  <si>
    <t>andy9@gmail.com</t>
  </si>
  <si>
    <t>ryan38@gmail.com</t>
  </si>
  <si>
    <t>samantha32@gmail.com</t>
  </si>
  <si>
    <t>deanna44@gmail.com</t>
  </si>
  <si>
    <t>emily6@gmail.com</t>
  </si>
  <si>
    <t>nicole4@gmail.com</t>
  </si>
  <si>
    <t>carla14@gmail.com</t>
  </si>
  <si>
    <t>shaun21@gmail.com</t>
  </si>
  <si>
    <t>jerome7@gmail.com</t>
  </si>
  <si>
    <t>frank17@gmail.com</t>
  </si>
  <si>
    <t>dennis25@gmail.com</t>
  </si>
  <si>
    <t>melody8@gmail.com</t>
  </si>
  <si>
    <t>randy24@gmail.com</t>
  </si>
  <si>
    <t>marshall0@gmail.com</t>
  </si>
  <si>
    <t>arthur41@gmail.com</t>
  </si>
  <si>
    <t>jessie3@gmail.com</t>
  </si>
  <si>
    <t>robin13@gmail.com</t>
  </si>
  <si>
    <t>deanna37@gmail.com</t>
  </si>
  <si>
    <t>roy30@gmail.com</t>
  </si>
  <si>
    <t>shawn19@gmail.com</t>
  </si>
  <si>
    <t>mindy10@gmail.com</t>
  </si>
  <si>
    <t>cara5@gmail.com</t>
  </si>
  <si>
    <t>anne19@gmail.com</t>
  </si>
  <si>
    <t>raymond20@gmail.com</t>
  </si>
  <si>
    <t>carrie19@gmail.com</t>
  </si>
  <si>
    <t>deanna45@gmail.com</t>
  </si>
  <si>
    <t>roberto11@gmail.com</t>
  </si>
  <si>
    <t>terrence15@gmail.com</t>
  </si>
  <si>
    <t>ramon9@gmail.com</t>
  </si>
  <si>
    <t>cynthia9@gmail.com</t>
  </si>
  <si>
    <t>jarrod9@gmail.com</t>
  </si>
  <si>
    <t>tyrone15@gmail.com</t>
  </si>
  <si>
    <t>cindy22@gmail.com</t>
  </si>
  <si>
    <t>damien26@gmail.com</t>
  </si>
  <si>
    <t>julian5@gmail.com</t>
  </si>
  <si>
    <t>jennifer6@gmail.com</t>
  </si>
  <si>
    <t>brittney12@gmail.com</t>
  </si>
  <si>
    <t>virginia4@gmail.com</t>
  </si>
  <si>
    <t>calvin15@gmail.com</t>
  </si>
  <si>
    <t>edward28@gmail.com</t>
  </si>
  <si>
    <t>ashlee11@gmail.com</t>
  </si>
  <si>
    <t>alicia3@gmail.com</t>
  </si>
  <si>
    <t>lacey1@gmail.com</t>
  </si>
  <si>
    <t>wendy8@gmail.com</t>
  </si>
  <si>
    <t>carly5@gmail.com</t>
  </si>
  <si>
    <t>jimmy26@gmail.com</t>
  </si>
  <si>
    <t>francisco19@gmail.com</t>
  </si>
  <si>
    <t>lance14@gmail.com</t>
  </si>
  <si>
    <t>david22@gmail.com</t>
  </si>
  <si>
    <t>shannon15@gmail.com</t>
  </si>
  <si>
    <t>gary25@gmail.com</t>
  </si>
  <si>
    <t>mitchell7@gmail.com</t>
  </si>
  <si>
    <t>meredith11@gmail.com</t>
  </si>
  <si>
    <t>edward59@gmail.com</t>
  </si>
  <si>
    <t>marie37@gmail.com</t>
  </si>
  <si>
    <t>tiffany1@gmail.com</t>
  </si>
  <si>
    <t>miguel24@gmail.com</t>
  </si>
  <si>
    <t>jaclyn22@gmail.com</t>
  </si>
  <si>
    <t>megan44@gmail.com</t>
  </si>
  <si>
    <t>joseph21@gmail.com</t>
  </si>
  <si>
    <t>karl11@gmail.com</t>
  </si>
  <si>
    <t>christine16@gmail.com</t>
  </si>
  <si>
    <t>lindsay3@gmail.com</t>
  </si>
  <si>
    <t>willie8@gmail.com</t>
  </si>
  <si>
    <t>kurt12@gmail.com</t>
  </si>
  <si>
    <t>george13@gmail.com</t>
  </si>
  <si>
    <t>beth13@gmail.com</t>
  </si>
  <si>
    <t>ian27@gmail.com</t>
  </si>
  <si>
    <t>latoya9@gmail.com</t>
  </si>
  <si>
    <t>colin41@gmail.com</t>
  </si>
  <si>
    <t>brenda17@gmail.com</t>
  </si>
  <si>
    <t>franklin38@gmail.com</t>
  </si>
  <si>
    <t>linda25@gmail.com</t>
  </si>
  <si>
    <t>kelli21@gmail.com</t>
  </si>
  <si>
    <t>nancy13@gmail.com</t>
  </si>
  <si>
    <t>megan12@gmail.com</t>
  </si>
  <si>
    <t>bonnie25@gmail.com</t>
  </si>
  <si>
    <t>latoya4@gmail.com</t>
  </si>
  <si>
    <t>mario0@gmail.com</t>
  </si>
  <si>
    <t>darren36@gmail.com</t>
  </si>
  <si>
    <t>jacqueline23@gmail.com</t>
  </si>
  <si>
    <t>maurice20@gmail.com</t>
  </si>
  <si>
    <t>devin69@gmail.com</t>
  </si>
  <si>
    <t>sydney40@gmail.com</t>
  </si>
  <si>
    <t>megan27@gmail.com</t>
  </si>
  <si>
    <t>ian76@gmail.com</t>
  </si>
  <si>
    <t>randy25@gmail.com</t>
  </si>
  <si>
    <t>katrina19@gmail.com</t>
  </si>
  <si>
    <t>lacey32@gmail.com</t>
  </si>
  <si>
    <t>rafael20@gmail.com</t>
  </si>
  <si>
    <t>kyle43@gmail.com</t>
  </si>
  <si>
    <t>jordan59@gmail.com</t>
  </si>
  <si>
    <t>amy19@gmail.com</t>
  </si>
  <si>
    <t>dustin1@gmail.com</t>
  </si>
  <si>
    <t>jasmine22@gmail.com</t>
  </si>
  <si>
    <t>pamela18@gmail.com</t>
  </si>
  <si>
    <t>ariana5@gmail.com</t>
  </si>
  <si>
    <t>kristopher12@gmail.com</t>
  </si>
  <si>
    <t>desiree9@gmail.com</t>
  </si>
  <si>
    <t>deanna24@gmail.com</t>
  </si>
  <si>
    <t>marco17@gmail.com</t>
  </si>
  <si>
    <t>casey7@gmail.com</t>
  </si>
  <si>
    <t>bryant14@gmail.com</t>
  </si>
  <si>
    <t>dominique7@gmail.com</t>
  </si>
  <si>
    <t>maurice11@gmail.com</t>
  </si>
  <si>
    <t>andre16@gmail.com</t>
  </si>
  <si>
    <t>robin5@gmail.com</t>
  </si>
  <si>
    <t>taylor13@gmail.com</t>
  </si>
  <si>
    <t>alfredo7@gmail.com</t>
  </si>
  <si>
    <t>jenny39@gmail.com</t>
  </si>
  <si>
    <t>janet12@gmail.com</t>
  </si>
  <si>
    <t>sergio4@gmail.com</t>
  </si>
  <si>
    <t>erika0@gmail.com</t>
  </si>
  <si>
    <t>joseph20@gmail.com</t>
  </si>
  <si>
    <t>grace67@gmail.com</t>
  </si>
  <si>
    <t>tina15@gmail.com</t>
  </si>
  <si>
    <t>kari3@gmail.com</t>
  </si>
  <si>
    <t>bethany19@gmail.com</t>
  </si>
  <si>
    <t>jennifer15@gmail.com</t>
  </si>
  <si>
    <t>kyle5@gmail.com</t>
  </si>
  <si>
    <t>alvin19@gmail.com</t>
  </si>
  <si>
    <t>brett13@gmail.com</t>
  </si>
  <si>
    <t>ruben30@gmail.com</t>
  </si>
  <si>
    <t>erika18@gmail.com</t>
  </si>
  <si>
    <t>stanley5@gmail.com</t>
  </si>
  <si>
    <t>melinda5@gmail.com</t>
  </si>
  <si>
    <t>ross38@gmail.com</t>
  </si>
  <si>
    <t>jon35@gmail.com</t>
  </si>
  <si>
    <t>jaime12@gmail.com</t>
  </si>
  <si>
    <t>bianca3@gmail.com</t>
  </si>
  <si>
    <t>tasha1@gmail.com</t>
  </si>
  <si>
    <t>melvin13@gmail.com</t>
  </si>
  <si>
    <t>victor7@gmail.com</t>
  </si>
  <si>
    <t>laura14@gmail.com</t>
  </si>
  <si>
    <t>alisha45@gmail.com</t>
  </si>
  <si>
    <t>alejandro8@gmail.com</t>
  </si>
  <si>
    <t>louis23@gmail.com</t>
  </si>
  <si>
    <t>grant6@gmail.com</t>
  </si>
  <si>
    <t>arturo21@gmail.com</t>
  </si>
  <si>
    <t>jaclyn37@gmail.com</t>
  </si>
  <si>
    <t>edwin44@gmail.com</t>
  </si>
  <si>
    <t>jay49@gmail.com</t>
  </si>
  <si>
    <t>latasha19@gmail.com</t>
  </si>
  <si>
    <t>kenneth7@gmail.com</t>
  </si>
  <si>
    <t>grace52@gmail.com</t>
  </si>
  <si>
    <t>melvin5@gmail.com</t>
  </si>
  <si>
    <t>cesar12@gmail.com</t>
  </si>
  <si>
    <t>erika7@gmail.com</t>
  </si>
  <si>
    <t>tristan12@gmail.com</t>
  </si>
  <si>
    <t>billy5@gmail.com</t>
  </si>
  <si>
    <t>darryl6@gmail.com</t>
  </si>
  <si>
    <t>colleen16@gmail.com</t>
  </si>
  <si>
    <t>erica19@gmail.com</t>
  </si>
  <si>
    <t>adrienne8@gmail.com</t>
  </si>
  <si>
    <t>calvin13@gmail.com</t>
  </si>
  <si>
    <t>erick5@gmail.com</t>
  </si>
  <si>
    <t>donald4@gmail.com</t>
  </si>
  <si>
    <t>ariana17@gmail.com</t>
  </si>
  <si>
    <t>morgan26@gmail.com</t>
  </si>
  <si>
    <t>jermaine15@gmail.com</t>
  </si>
  <si>
    <t>deborah21@gmail.com</t>
  </si>
  <si>
    <t>danny22@gmail.com</t>
  </si>
  <si>
    <t>andre20@gmail.com</t>
  </si>
  <si>
    <t>terrence16@gmail.com</t>
  </si>
  <si>
    <t>dawn8@gmail.com</t>
  </si>
  <si>
    <t>jimmy14@gmail.com</t>
  </si>
  <si>
    <t>francis3@gmail.com</t>
  </si>
  <si>
    <t>gary31@gmail.com</t>
  </si>
  <si>
    <t>katrina17@gmail.com</t>
  </si>
  <si>
    <t>arturo14@gmail.com</t>
  </si>
  <si>
    <t>pedro4@gmail.com</t>
  </si>
  <si>
    <t>sarah40@gmail.com</t>
  </si>
  <si>
    <t>brandy20@gmail.com</t>
  </si>
  <si>
    <t>jared8@gmail.com</t>
  </si>
  <si>
    <t>dennis8@gmail.com</t>
  </si>
  <si>
    <t>jordan45@gmail.com</t>
  </si>
  <si>
    <t>jasmine48@gmail.com</t>
  </si>
  <si>
    <t>nicholas6@gmail.com</t>
  </si>
  <si>
    <t>isabella30@gmail.com</t>
  </si>
  <si>
    <t>elizabeth11@gmail.com</t>
  </si>
  <si>
    <t>roger4@gmail.com</t>
  </si>
  <si>
    <t>seth40@gmail.com</t>
  </si>
  <si>
    <t>caleb4@gmail.com</t>
  </si>
  <si>
    <t>natalie50@gmail.com</t>
  </si>
  <si>
    <t>alyssa38@gmail.com</t>
  </si>
  <si>
    <t>dalton67@gmail.com</t>
  </si>
  <si>
    <t>shannon6@gmail.com</t>
  </si>
  <si>
    <t>mya17@gmail.com</t>
  </si>
  <si>
    <t>katherine44@gmail.com</t>
  </si>
  <si>
    <t>edward62@gmail.com</t>
  </si>
  <si>
    <t>jerome8@gmail.com</t>
  </si>
  <si>
    <t>jada14@gmail.com</t>
  </si>
  <si>
    <t>ariana4@gmail.com</t>
  </si>
  <si>
    <t>christian26@gmail.com</t>
  </si>
  <si>
    <t>lucas22@gmail.com</t>
  </si>
  <si>
    <t>alyssa11@gmail.com</t>
  </si>
  <si>
    <t>ariana19@gmail.com</t>
  </si>
  <si>
    <t>katherine48@gmail.com</t>
  </si>
  <si>
    <t>jenna14@gmail.com</t>
  </si>
  <si>
    <t>joan7@gmail.com</t>
  </si>
  <si>
    <t>austin14@gmail.com</t>
  </si>
  <si>
    <t>andrew24@gmail.com</t>
  </si>
  <si>
    <t>nina7@gmail.com</t>
  </si>
  <si>
    <t>lauren24@gmail.com</t>
  </si>
  <si>
    <t>ebony35@gmail.com</t>
  </si>
  <si>
    <t>cameron39@gmail.com</t>
  </si>
  <si>
    <t>devin32@gmail.com</t>
  </si>
  <si>
    <t>logan25@gmail.com</t>
  </si>
  <si>
    <t>dakota3@gmail.com</t>
  </si>
  <si>
    <t>nicole9@gmail.com</t>
  </si>
  <si>
    <t>justin10@gmail.com</t>
  </si>
  <si>
    <t>alberto11@gmail.com</t>
  </si>
  <si>
    <t>aidan4@gmail.com</t>
  </si>
  <si>
    <t>alejandro30@gmail.com</t>
  </si>
  <si>
    <t>sheena13@gmail.com</t>
  </si>
  <si>
    <t>joel14@gmail.com</t>
  </si>
  <si>
    <t>reginald20@gmail.com</t>
  </si>
  <si>
    <t>christine10@gmail.com</t>
  </si>
  <si>
    <t>cindy6@gmail.com</t>
  </si>
  <si>
    <t>raymond21@gmail.com</t>
  </si>
  <si>
    <t>crystal17@gmail.com</t>
  </si>
  <si>
    <t>deb4@gmail.com</t>
  </si>
  <si>
    <t>shannon26@gmail.com</t>
  </si>
  <si>
    <t>eddie21@gmail.com</t>
  </si>
  <si>
    <t>sharon12@gmail.com</t>
  </si>
  <si>
    <t>sydney37@gmail.com</t>
  </si>
  <si>
    <t>alexandria5@gmail.com</t>
  </si>
  <si>
    <t>lucas10@gmail.com</t>
  </si>
  <si>
    <t>felicia16@gmail.com</t>
  </si>
  <si>
    <t>ivan3@gmail.com</t>
  </si>
  <si>
    <t>frederick12@gmail.com</t>
  </si>
  <si>
    <t>whitney7@gmail.com</t>
  </si>
  <si>
    <t>briana12@gmail.com</t>
  </si>
  <si>
    <t>jarrod17@gmail.com</t>
  </si>
  <si>
    <t>cesar7@gmail.com</t>
  </si>
  <si>
    <t>jorge19@gmail.com</t>
  </si>
  <si>
    <t>erik4@gmail.com</t>
  </si>
  <si>
    <t>april8@gmail.com</t>
  </si>
  <si>
    <t>carla24@gmail.com</t>
  </si>
  <si>
    <t>alexia13@gmail.com</t>
  </si>
  <si>
    <t>troy5@gmail.com</t>
  </si>
  <si>
    <t>kristin14@gmail.com</t>
  </si>
  <si>
    <t>joel5@gmail.com</t>
  </si>
  <si>
    <t>billy8@gmail.com</t>
  </si>
  <si>
    <t>meagan13@gmail.com</t>
  </si>
  <si>
    <t>karla6@gmail.com</t>
  </si>
  <si>
    <t>jackson37@gmail.com</t>
  </si>
  <si>
    <t>micah1@gmail.com</t>
  </si>
  <si>
    <t>janet22@gmail.com</t>
  </si>
  <si>
    <t>trisha0@gmail.com</t>
  </si>
  <si>
    <t>clayton38@gmail.com</t>
  </si>
  <si>
    <t>melvin12@gmail.com</t>
  </si>
  <si>
    <t>cindy2@gmail.com</t>
  </si>
  <si>
    <t>claudia14@gmail.com</t>
  </si>
  <si>
    <t>karla5@gmail.com</t>
  </si>
  <si>
    <t>devin33@gmail.com</t>
  </si>
  <si>
    <t>kari21@gmail.com</t>
  </si>
  <si>
    <t>alberto10@gmail.com</t>
  </si>
  <si>
    <t>kevin20@gmail.com</t>
  </si>
  <si>
    <t>candace14@gmail.com</t>
  </si>
  <si>
    <t>ebony4@gmail.com</t>
  </si>
  <si>
    <t>erika2@gmail.com</t>
  </si>
  <si>
    <t>stacey12@gmail.com</t>
  </si>
  <si>
    <t>darrell9@gmail.com</t>
  </si>
  <si>
    <t>armando6@gmail.com</t>
  </si>
  <si>
    <t>corey16@gmail.com</t>
  </si>
  <si>
    <t>sebastian12@gmail.com</t>
  </si>
  <si>
    <t>roger41@gmail.com</t>
  </si>
  <si>
    <t>janelle2@gmail.com</t>
  </si>
  <si>
    <t>meredith24@gmail.com</t>
  </si>
  <si>
    <t>melody3@gmail.com</t>
  </si>
  <si>
    <t>linda36@gmail.com</t>
  </si>
  <si>
    <t>ivan8@gmail.com</t>
  </si>
  <si>
    <t>larry16@gmail.com</t>
  </si>
  <si>
    <t>geoffrey16@gmail.com</t>
  </si>
  <si>
    <t>edgar21@gmail.com</t>
  </si>
  <si>
    <t>heidi15@gmail.com</t>
  </si>
  <si>
    <t>melody17@gmail.com</t>
  </si>
  <si>
    <t>clinton3@gmail.com</t>
  </si>
  <si>
    <t>cesar6@gmail.com</t>
  </si>
  <si>
    <t>eugene13@gmail.com</t>
  </si>
  <si>
    <t>blake47@gmail.com</t>
  </si>
  <si>
    <t>ernest7@gmail.com</t>
  </si>
  <si>
    <t>keith16@gmail.com</t>
  </si>
  <si>
    <t>meredith8@gmail.com</t>
  </si>
  <si>
    <t>katrina8@gmail.com</t>
  </si>
  <si>
    <t>dwayne9@gmail.com</t>
  </si>
  <si>
    <t>casey20@gmail.com</t>
  </si>
  <si>
    <t>sean8@gmail.com</t>
  </si>
  <si>
    <t>brian19@gmail.com</t>
  </si>
  <si>
    <t>sierra15@gmail.com</t>
  </si>
  <si>
    <t>megan23@gmail.com</t>
  </si>
  <si>
    <t>leah19@gmail.com</t>
  </si>
  <si>
    <t>gabriel53@gmail.com</t>
  </si>
  <si>
    <t>angela10@gmail.com</t>
  </si>
  <si>
    <t>ryan39@gmail.com</t>
  </si>
  <si>
    <t>zachary37@gmail.com</t>
  </si>
  <si>
    <t>destiny26@gmail.com</t>
  </si>
  <si>
    <t>dalton76@gmail.com</t>
  </si>
  <si>
    <t>mariah6@gmail.com</t>
  </si>
  <si>
    <t>isaiah45@gmail.com</t>
  </si>
  <si>
    <t>haley27@gmail.com</t>
  </si>
  <si>
    <t>antonio1@gmail.com</t>
  </si>
  <si>
    <t>alexandra30@gmail.com</t>
  </si>
  <si>
    <t>thomas71@gmail.com</t>
  </si>
  <si>
    <t>samuel33@gmail.com</t>
  </si>
  <si>
    <t>darrell4@gmail.com</t>
  </si>
  <si>
    <t>kimberly14@gmail.com</t>
  </si>
  <si>
    <t>morgan15@gmail.com</t>
  </si>
  <si>
    <t>antonio8@gmail.com</t>
  </si>
  <si>
    <t>angelica7@gmail.com</t>
  </si>
  <si>
    <t>chloe40@gmail.com</t>
  </si>
  <si>
    <t>james41@gmail.com</t>
  </si>
  <si>
    <t>morgan81@gmail.com</t>
  </si>
  <si>
    <t>naomi7@gmail.com</t>
  </si>
  <si>
    <t>charles52@gmail.com</t>
  </si>
  <si>
    <t>gabriella27@gmail.com</t>
  </si>
  <si>
    <t>anna41@gmail.com</t>
  </si>
  <si>
    <t>randy8@gmail.com</t>
  </si>
  <si>
    <t>kevin50@gmail.com</t>
  </si>
  <si>
    <t>ian12@gmail.com</t>
  </si>
  <si>
    <t>caleb19@gmail.com</t>
  </si>
  <si>
    <t>patricia18@gmail.com</t>
  </si>
  <si>
    <t>samuel19@gmail.com</t>
  </si>
  <si>
    <t>sydney15@gmail.com</t>
  </si>
  <si>
    <t>ariana22@gmail.com</t>
  </si>
  <si>
    <t>tamara21@gmail.com</t>
  </si>
  <si>
    <t>katelyn35@gmail.com</t>
  </si>
  <si>
    <t>megan39@gmail.com</t>
  </si>
  <si>
    <t>robert53@gmail.com</t>
  </si>
  <si>
    <t>miguel32@gmail.com</t>
  </si>
  <si>
    <t>miranda17@gmail.com</t>
  </si>
  <si>
    <t>jeremiah39@gmail.com</t>
  </si>
  <si>
    <t>ethan24@gmail.com</t>
  </si>
  <si>
    <t>seth2@gmail.com</t>
  </si>
  <si>
    <t>alyssa30@gmail.com</t>
  </si>
  <si>
    <t>janet18@gmail.com</t>
  </si>
  <si>
    <t>angel30@gmail.com</t>
  </si>
  <si>
    <t>blake7@gmail.com</t>
  </si>
  <si>
    <t>jada15@gmail.com</t>
  </si>
  <si>
    <t>isabella25@gmail.com</t>
  </si>
  <si>
    <t>jacqueline8@gmail.com</t>
  </si>
  <si>
    <t>jessica51@gmail.com</t>
  </si>
  <si>
    <t>chad13@gmail.com</t>
  </si>
  <si>
    <t>susan19@gmail.com</t>
  </si>
  <si>
    <t>morgan49@gmail.com</t>
  </si>
  <si>
    <t>devin16@gmail.com</t>
  </si>
  <si>
    <t>alan24@gmail.com</t>
  </si>
  <si>
    <t>charles27@gmail.com</t>
  </si>
  <si>
    <t>johnny16@gmail.com</t>
  </si>
  <si>
    <t>dalton80@gmail.com</t>
  </si>
  <si>
    <t>kaylee31@gmail.com</t>
  </si>
  <si>
    <t>abigail50@gmail.com</t>
  </si>
  <si>
    <t>kaitlyn46@gmail.com</t>
  </si>
  <si>
    <t>greg10@gmail.com</t>
  </si>
  <si>
    <t>devin40@gmail.com</t>
  </si>
  <si>
    <t>jose15@gmail.com</t>
  </si>
  <si>
    <t>luke33@gmail.com</t>
  </si>
  <si>
    <t>cody5@gmail.com</t>
  </si>
  <si>
    <t>victoria26@gmail.com</t>
  </si>
  <si>
    <t>ian62@gmail.com</t>
  </si>
  <si>
    <t>caroline15@gmail.com</t>
  </si>
  <si>
    <t>kaitlyn29@gmail.com</t>
  </si>
  <si>
    <t>caleb14@gmail.com</t>
  </si>
  <si>
    <t>hailey42@gmail.com</t>
  </si>
  <si>
    <t>jonathon16@gmail.com</t>
  </si>
  <si>
    <t>logan33@gmail.com</t>
  </si>
  <si>
    <t>mackenzie29@gmail.com</t>
  </si>
  <si>
    <t>eduardo21@gmail.com</t>
  </si>
  <si>
    <t>jackson51@gmail.com</t>
  </si>
  <si>
    <t>chase5@gmail.com</t>
  </si>
  <si>
    <t>xavier76@gmail.com</t>
  </si>
  <si>
    <t>david56@gmail.com</t>
  </si>
  <si>
    <t>jenny11@gmail.com</t>
  </si>
  <si>
    <t>kaylee39@gmail.com</t>
  </si>
  <si>
    <t>evan45@gmail.com</t>
  </si>
  <si>
    <t>brooke9@gmail.com</t>
  </si>
  <si>
    <t>blake39@gmail.com</t>
  </si>
  <si>
    <t>natalie5@gmail.com</t>
  </si>
  <si>
    <t>elizabeth6@gmail.com</t>
  </si>
  <si>
    <t>hailey45@gmail.com</t>
  </si>
  <si>
    <t>zoe6@gmail.com</t>
  </si>
  <si>
    <t>daniel23@gmail.com</t>
  </si>
  <si>
    <t>shelby19@gmail.com</t>
  </si>
  <si>
    <t>kyle19@gmail.com</t>
  </si>
  <si>
    <t>alexandria9@gmail.com</t>
  </si>
  <si>
    <t>chloe28@gmail.com</t>
  </si>
  <si>
    <t>evan2@gmail.com</t>
  </si>
  <si>
    <t>marcus3@gmail.com</t>
  </si>
  <si>
    <t>sarah5@gmail.com</t>
  </si>
  <si>
    <t>blake32@gmail.com</t>
  </si>
  <si>
    <t>morgan48@gmail.com</t>
  </si>
  <si>
    <t>jennifer92@gmail.com</t>
  </si>
  <si>
    <t>julian13@gmail.com</t>
  </si>
  <si>
    <t>luke24@gmail.com</t>
  </si>
  <si>
    <t>jason39@gmail.com</t>
  </si>
  <si>
    <t>jose20@gmail.com</t>
  </si>
  <si>
    <t>micah4@gmail.com</t>
  </si>
  <si>
    <t>benjamin43@gmail.com</t>
  </si>
  <si>
    <t>logan64@gmail.com</t>
  </si>
  <si>
    <t>caleb36@gmail.com</t>
  </si>
  <si>
    <t>emma40@gmail.com</t>
  </si>
  <si>
    <t>tanya10@gmail.com</t>
  </si>
  <si>
    <t>erick20@gmail.com</t>
  </si>
  <si>
    <t>kristi27@gmail.com</t>
  </si>
  <si>
    <t>omar2@gmail.com</t>
  </si>
  <si>
    <t>sydney16@gmail.com</t>
  </si>
  <si>
    <t>sebastian16@gmail.com</t>
  </si>
  <si>
    <t>megan17@gmail.com</t>
  </si>
  <si>
    <t>elijah20@gmail.com</t>
  </si>
  <si>
    <t>aaron51@gmail.com</t>
  </si>
  <si>
    <t>jan18@gmail.com</t>
  </si>
  <si>
    <t>tamara27@gmail.com</t>
  </si>
  <si>
    <t>edward43@gmail.com</t>
  </si>
  <si>
    <t>chase3@gmail.com</t>
  </si>
  <si>
    <t>stephanie54@gmail.com</t>
  </si>
  <si>
    <t>allison31@gmail.com</t>
  </si>
  <si>
    <t>seth74@gmail.com</t>
  </si>
  <si>
    <t>destiny5@gmail.com</t>
  </si>
  <si>
    <t>blake30@gmail.com</t>
  </si>
  <si>
    <t>eduardo10@gmail.com</t>
  </si>
  <si>
    <t>latoya0@gmail.com</t>
  </si>
  <si>
    <t>victoria63@gmail.com</t>
  </si>
  <si>
    <t>lauren64@gmail.com</t>
  </si>
  <si>
    <t>felicia20@gmail.com</t>
  </si>
  <si>
    <t>janet27@gmail.com</t>
  </si>
  <si>
    <t>willie31@gmail.com</t>
  </si>
  <si>
    <t>linda37@gmail.com</t>
  </si>
  <si>
    <t>vincent21@gmail.com</t>
  </si>
  <si>
    <t>colin30@gmail.com</t>
  </si>
  <si>
    <t>dawn42@gmail.com</t>
  </si>
  <si>
    <t>melody7@gmail.com</t>
  </si>
  <si>
    <t>edgar15@gmail.com</t>
  </si>
  <si>
    <t>randall2@gmail.com</t>
  </si>
  <si>
    <t>ross15@gmail.com</t>
  </si>
  <si>
    <t>jessie36@gmail.com</t>
  </si>
  <si>
    <t>marc15@gmail.com</t>
  </si>
  <si>
    <t>candace12@gmail.com</t>
  </si>
  <si>
    <t>meagan8@gmail.com</t>
  </si>
  <si>
    <t>clayton34@gmail.com</t>
  </si>
  <si>
    <t>haley53@gmail.com</t>
  </si>
  <si>
    <t>peter21@gmail.com</t>
  </si>
  <si>
    <t>isaac16@gmail.com</t>
  </si>
  <si>
    <t>cameron48@gmail.com</t>
  </si>
  <si>
    <t>gavin20@gmail.com</t>
  </si>
  <si>
    <t>emma25@gmail.com</t>
  </si>
  <si>
    <t>sierra3@gmail.com</t>
  </si>
  <si>
    <t>seth38@gmail.com</t>
  </si>
  <si>
    <t>miranda9@gmail.com</t>
  </si>
  <si>
    <t>haley24@gmail.com</t>
  </si>
  <si>
    <t>sarah14@gmail.com</t>
  </si>
  <si>
    <t>jessica43@gmail.com</t>
  </si>
  <si>
    <t>carlos7@gmail.com</t>
  </si>
  <si>
    <t>barbara42@gmail.com</t>
  </si>
  <si>
    <t>sara37@gmail.com</t>
  </si>
  <si>
    <t>jose42@gmail.com</t>
  </si>
  <si>
    <t>theodore3@gmail.com</t>
  </si>
  <si>
    <t>ian82@gmail.com</t>
  </si>
  <si>
    <t>jerry20@gmail.com</t>
  </si>
  <si>
    <t>destiny43@gmail.com</t>
  </si>
  <si>
    <t>bailey27@gmail.com</t>
  </si>
  <si>
    <t>timothy34@gmail.com</t>
  </si>
  <si>
    <t>chase13@gmail.com</t>
  </si>
  <si>
    <t>alexia7@gmail.com</t>
  </si>
  <si>
    <t>xavier87@gmail.com</t>
  </si>
  <si>
    <t>lauren51@gmail.com</t>
  </si>
  <si>
    <t>nicole11@gmail.com</t>
  </si>
  <si>
    <t>isabel7@gmail.com</t>
  </si>
  <si>
    <t>devin44@gmail.com</t>
  </si>
  <si>
    <t>brendan13@gmail.com</t>
  </si>
  <si>
    <t>jessie7@gmail.com</t>
  </si>
  <si>
    <t>jennifer19@gmail.com</t>
  </si>
  <si>
    <t>aaron30@gmail.com</t>
  </si>
  <si>
    <t>madison9@gmail.com</t>
  </si>
  <si>
    <t>jan15@gmail.com</t>
  </si>
  <si>
    <t>haley44@gmail.com</t>
  </si>
  <si>
    <t>richard25@gmail.com</t>
  </si>
  <si>
    <t>jennifer52@gmail.com</t>
  </si>
  <si>
    <t>lucas48@gmail.com</t>
  </si>
  <si>
    <t>james57@gmail.com</t>
  </si>
  <si>
    <t>juan16@gmail.com</t>
  </si>
  <si>
    <t>antonio13@gmail.com</t>
  </si>
  <si>
    <t>abigail22@gmail.com</t>
  </si>
  <si>
    <t>andrew27@gmail.com</t>
  </si>
  <si>
    <t>mary40@gmail.com</t>
  </si>
  <si>
    <t>dalton84@gmail.com</t>
  </si>
  <si>
    <t>hannah33@gmail.com</t>
  </si>
  <si>
    <t>joe35@gmail.com</t>
  </si>
  <si>
    <t>morgan29@gmail.com</t>
  </si>
  <si>
    <t>daniel8@gmail.com</t>
  </si>
  <si>
    <t>jose23@gmail.com</t>
  </si>
  <si>
    <t>katelyn45@gmail.com</t>
  </si>
  <si>
    <t>austin40@gmail.com</t>
  </si>
  <si>
    <t>rohinton1@gmail.com</t>
  </si>
  <si>
    <t>morgan3@gmail.com</t>
  </si>
  <si>
    <t>jill6@gmail.com</t>
  </si>
  <si>
    <t>aimee17@gmail.com</t>
  </si>
  <si>
    <t>jessie6@gmail.com</t>
  </si>
  <si>
    <t>sara43@gmail.com</t>
  </si>
  <si>
    <t>katherine88@gmail.com</t>
  </si>
  <si>
    <t>sophia5@gmail.com</t>
  </si>
  <si>
    <t>taylor63@gmail.com</t>
  </si>
  <si>
    <t>christian18@gmail.com</t>
  </si>
  <si>
    <t>zoe13@gmail.com</t>
  </si>
  <si>
    <t>oscar9@gmail.com</t>
  </si>
  <si>
    <t>fernando55@gmail.com</t>
  </si>
  <si>
    <t>elijah21@gmail.com</t>
  </si>
  <si>
    <t>garrett9@gmail.com</t>
  </si>
  <si>
    <t>haley38@gmail.com</t>
  </si>
  <si>
    <t>justin48@gmail.com</t>
  </si>
  <si>
    <t>tyler9@gmail.com</t>
  </si>
  <si>
    <t>julian12@gmail.com</t>
  </si>
  <si>
    <t>sean41@gmail.com</t>
  </si>
  <si>
    <t>justin38@gmail.com</t>
  </si>
  <si>
    <t>christy34@gmail.com</t>
  </si>
  <si>
    <t>michele39@gmail.com</t>
  </si>
  <si>
    <t>natalie71@gmail.com</t>
  </si>
  <si>
    <t>savannah18@gmail.com</t>
  </si>
  <si>
    <t>cassidy23@gmail.com</t>
  </si>
  <si>
    <t>joshua23@gmail.com</t>
  </si>
  <si>
    <t>faith36@gmail.com</t>
  </si>
  <si>
    <t>brooke7@gmail.com</t>
  </si>
  <si>
    <t>jada23@gmail.com</t>
  </si>
  <si>
    <t>kyle15@gmail.com</t>
  </si>
  <si>
    <t>grace2@gmail.com</t>
  </si>
  <si>
    <t>jason40@gmail.com</t>
  </si>
  <si>
    <t>christian44@gmail.com</t>
  </si>
  <si>
    <t>seth26@gmail.com</t>
  </si>
  <si>
    <t>isabella56@gmail.com</t>
  </si>
  <si>
    <t>jordan2@gmail.com</t>
  </si>
  <si>
    <t>blake16@gmail.com</t>
  </si>
  <si>
    <t>nicole23@gmail.com</t>
  </si>
  <si>
    <t>katherine58@gmail.com</t>
  </si>
  <si>
    <t>olivia40@gmail.com</t>
  </si>
  <si>
    <t>jessica26@gmail.com</t>
  </si>
  <si>
    <t>elizabeth19@gmail.com</t>
  </si>
  <si>
    <t>chloe54@gmail.com</t>
  </si>
  <si>
    <t>lucas46@gmail.com</t>
  </si>
  <si>
    <t>nathaniel0@gmail.com</t>
  </si>
  <si>
    <t>jessica17@gmail.com</t>
  </si>
  <si>
    <t>kaitlyn13@gmail.com</t>
  </si>
  <si>
    <t>jillian15@gmail.com</t>
  </si>
  <si>
    <t>dalton46@gmail.com</t>
  </si>
  <si>
    <t>faith9@gmail.com</t>
  </si>
  <si>
    <t>ryan27@gmail.com</t>
  </si>
  <si>
    <t>adrian15@gmail.com</t>
  </si>
  <si>
    <t>jonathan54@gmail.com</t>
  </si>
  <si>
    <t>madison13@gmail.com</t>
  </si>
  <si>
    <t>alexis45@gmail.com</t>
  </si>
  <si>
    <t>christine12@gmail.com</t>
  </si>
  <si>
    <t>edgar6@gmail.com</t>
  </si>
  <si>
    <t>melissa40@gmail.com</t>
  </si>
  <si>
    <t>richard30@gmail.com</t>
  </si>
  <si>
    <t>patrick27@gmail.com</t>
  </si>
  <si>
    <t>hannah9@gmail.com</t>
  </si>
  <si>
    <t>latoya2@gmail.com</t>
  </si>
  <si>
    <t>kurt9@gmail.com</t>
  </si>
  <si>
    <t>katelyn30@gmail.com</t>
  </si>
  <si>
    <t>joseph19@gmail.com</t>
  </si>
  <si>
    <t>aaron3@gmail.com</t>
  </si>
  <si>
    <t>blake58@gmail.com</t>
  </si>
  <si>
    <t>whitney15@gmail.com</t>
  </si>
  <si>
    <t>jamie20@gmail.com</t>
  </si>
  <si>
    <t>julio23@gmail.com</t>
  </si>
  <si>
    <t>orlando18@gmail.com</t>
  </si>
  <si>
    <t>ann23@gmail.com</t>
  </si>
  <si>
    <t>dustin16@gmail.com</t>
  </si>
  <si>
    <t>frank26@gmail.com</t>
  </si>
  <si>
    <t>orlando5@gmail.com</t>
  </si>
  <si>
    <t>angela7@gmail.com</t>
  </si>
  <si>
    <t>brenda25@gmail.com</t>
  </si>
  <si>
    <t>byron12@gmail.com</t>
  </si>
  <si>
    <t>stacy6@gmail.com</t>
  </si>
  <si>
    <t>drew13@gmail.com</t>
  </si>
  <si>
    <t>kate18@gmail.com</t>
  </si>
  <si>
    <t>kaylee18@gmail.com</t>
  </si>
  <si>
    <t>isaiah6@gmail.com</t>
  </si>
  <si>
    <t>gabriella1@gmail.com</t>
  </si>
  <si>
    <t>sarah18@gmail.com</t>
  </si>
  <si>
    <t>rafael27@gmail.com</t>
  </si>
  <si>
    <t>nichole0@gmail.com</t>
  </si>
  <si>
    <t>jaclyn21@gmail.com</t>
  </si>
  <si>
    <t>rachael1@gmail.com</t>
  </si>
  <si>
    <t>rachael5@gmail.com</t>
  </si>
  <si>
    <t>rebecca3@gmail.com</t>
  </si>
  <si>
    <t>meagan11@gmail.com</t>
  </si>
  <si>
    <t>philip17@gmail.com</t>
  </si>
  <si>
    <t>joe14@gmail.com</t>
  </si>
  <si>
    <t>roy40@gmail.com</t>
  </si>
  <si>
    <t>kaylee35@gmail.com</t>
  </si>
  <si>
    <t>warren2@gmail.com</t>
  </si>
  <si>
    <t>adrienne1@gmail.com</t>
  </si>
  <si>
    <t>gilbert11@gmail.com</t>
  </si>
  <si>
    <t>james80@gmail.com</t>
  </si>
  <si>
    <t>sarah42@gmail.com</t>
  </si>
  <si>
    <t>ian50@gmail.com</t>
  </si>
  <si>
    <t>ashlee18@gmail.com</t>
  </si>
  <si>
    <t>eduardo60@gmail.com</t>
  </si>
  <si>
    <t>nicole32@gmail.com</t>
  </si>
  <si>
    <t>isabella83@gmail.com</t>
  </si>
  <si>
    <t>virginia21@gmail.com</t>
  </si>
  <si>
    <t>jaclyn40@gmail.com</t>
  </si>
  <si>
    <t>marcus34@gmail.com</t>
  </si>
  <si>
    <t>elizabeth35@gmail.com</t>
  </si>
  <si>
    <t>mathew17@gmail.com</t>
  </si>
  <si>
    <t>justin27@gmail.com</t>
  </si>
  <si>
    <t>jessica56@gmail.com</t>
  </si>
  <si>
    <t>hunter51@gmail.com</t>
  </si>
  <si>
    <t>devin35@gmail.com</t>
  </si>
  <si>
    <t>seth67@gmail.com</t>
  </si>
  <si>
    <t>kevin16@gmail.com</t>
  </si>
  <si>
    <t>tyler11@gmail.com</t>
  </si>
  <si>
    <t>adam34@gmail.com</t>
  </si>
  <si>
    <t>george25@gmail.com</t>
  </si>
  <si>
    <t>dawn7@gmail.com</t>
  </si>
  <si>
    <t>rachael18@gmail.com</t>
  </si>
  <si>
    <t>dennis7@gmail.com</t>
  </si>
  <si>
    <t>brandy6@gmail.com</t>
  </si>
  <si>
    <t>jenny21@gmail.com</t>
  </si>
  <si>
    <t>tasha5@gmail.com</t>
  </si>
  <si>
    <t>julia63@gmail.com</t>
  </si>
  <si>
    <t>jordan39@gmail.com</t>
  </si>
  <si>
    <t>lacey18@gmail.com</t>
  </si>
  <si>
    <t>dorothy3@gmail.com</t>
  </si>
  <si>
    <t>courtney16@gmail.com</t>
  </si>
  <si>
    <t>joseph23@gmail.com</t>
  </si>
  <si>
    <t>gabriel45@gmail.com</t>
  </si>
  <si>
    <t>alexandria27@gmail.com</t>
  </si>
  <si>
    <t>courtney14@gmail.com</t>
  </si>
  <si>
    <t>dylan28@gmail.com</t>
  </si>
  <si>
    <t>elizabeth9@gmail.com</t>
  </si>
  <si>
    <t>ana19@gmail.com</t>
  </si>
  <si>
    <t>anne5@gmail.com</t>
  </si>
  <si>
    <t>alexandra47@gmail.com</t>
  </si>
  <si>
    <t>antonio10@gmail.com</t>
  </si>
  <si>
    <t>sharon4@gmail.com</t>
  </si>
  <si>
    <t>katie3@gmail.com</t>
  </si>
  <si>
    <t>rafael44@gmail.com</t>
  </si>
  <si>
    <t>latasha7@gmail.com</t>
  </si>
  <si>
    <t>kelsey19@gmail.com</t>
  </si>
  <si>
    <t>randy14@gmail.com</t>
  </si>
  <si>
    <t>bailey22@gmail.com</t>
  </si>
  <si>
    <t>amanda58@gmail.com</t>
  </si>
  <si>
    <t>katherine73@gmail.com</t>
  </si>
  <si>
    <t>caroline5@gmail.com</t>
  </si>
  <si>
    <t>randy15@gmail.com</t>
  </si>
  <si>
    <t>destiny16@gmail.com</t>
  </si>
  <si>
    <t>audrey19@gmail.com</t>
  </si>
  <si>
    <t>bonnie17@gmail.com</t>
  </si>
  <si>
    <t>jackson15@gmail.com</t>
  </si>
  <si>
    <t>christopher25@gmail.com</t>
  </si>
  <si>
    <t>kimberly13@gmail.com</t>
  </si>
  <si>
    <t>alexandria33@gmail.com</t>
  </si>
  <si>
    <t>alexandra37@gmail.com</t>
  </si>
  <si>
    <t>cheryl24@gmail.com</t>
  </si>
  <si>
    <t>alex35@gmail.com</t>
  </si>
  <si>
    <t>melanie27@gmail.com</t>
  </si>
  <si>
    <t>max5@gmail.com</t>
  </si>
  <si>
    <t>diane19@gmail.com</t>
  </si>
  <si>
    <t>kathryn14@gmail.com</t>
  </si>
  <si>
    <t>kara20@gmail.com</t>
  </si>
  <si>
    <t>joanna13@gmail.com</t>
  </si>
  <si>
    <t>frederick14@gmail.com</t>
  </si>
  <si>
    <t>tonya14@gmail.com</t>
  </si>
  <si>
    <t>rosa1@gmail.com</t>
  </si>
  <si>
    <t>leah16@gmail.com</t>
  </si>
  <si>
    <t>kelvin11@gmail.com</t>
  </si>
  <si>
    <t>veronica9@gmail.com</t>
  </si>
  <si>
    <t>kristina1@gmail.com</t>
  </si>
  <si>
    <t>donna9@gmail.com</t>
  </si>
  <si>
    <t>johnny11@gmail.com</t>
  </si>
  <si>
    <t>1 (11) 500 555-0162</t>
  </si>
  <si>
    <t>1 (11) 500 555-0110</t>
  </si>
  <si>
    <t>1 (11) 500 555-0184</t>
  </si>
  <si>
    <t>1 (11) 500 555-0131</t>
  </si>
  <si>
    <t>1 (11) 500 555-0151</t>
  </si>
  <si>
    <t>1 (11) 500 555-0126</t>
  </si>
  <si>
    <t>1 (11) 500 555-0164</t>
  </si>
  <si>
    <t>1 (11) 500 555-0169</t>
  </si>
  <si>
    <t>1 (11) 500 555-0117</t>
  </si>
  <si>
    <t>717-555-0164</t>
  </si>
  <si>
    <t>817-555-0185</t>
  </si>
  <si>
    <t>431-555-0156</t>
  </si>
  <si>
    <t>208-555-0142</t>
  </si>
  <si>
    <t>135-555-0171</t>
  </si>
  <si>
    <t>1 (11) 500 555-0195</t>
  </si>
  <si>
    <t>1 (11) 500 555-0137</t>
  </si>
  <si>
    <t>262-555-0112</t>
  </si>
  <si>
    <t>550-555-0163</t>
  </si>
  <si>
    <t>622-555-0158</t>
  </si>
  <si>
    <t>589-555-0185</t>
  </si>
  <si>
    <t>452-555-0188</t>
  </si>
  <si>
    <t>746-555-0186</t>
  </si>
  <si>
    <t>1 (11) 500 555-0178</t>
  </si>
  <si>
    <t>1 (11) 500 555-0116</t>
  </si>
  <si>
    <t>1 (11) 500 555-0146</t>
  </si>
  <si>
    <t>1 (11) 500 555-0182</t>
  </si>
  <si>
    <t>1 (11) 500 555-0136</t>
  </si>
  <si>
    <t>1 (11) 500 555-0177</t>
  </si>
  <si>
    <t>115-555-0183</t>
  </si>
  <si>
    <t>229-555-0112</t>
  </si>
  <si>
    <t>1 (11) 500 555-0114</t>
  </si>
  <si>
    <t>1 (11) 500 555-0183</t>
  </si>
  <si>
    <t>961-555-0176</t>
  </si>
  <si>
    <t>295-555-0145</t>
  </si>
  <si>
    <t>404-555-0199</t>
  </si>
  <si>
    <t>296-555-0181</t>
  </si>
  <si>
    <t>1 (11) 500 555-0163</t>
  </si>
  <si>
    <t>1 (11) 500 555-0113</t>
  </si>
  <si>
    <t>654-555-0180</t>
  </si>
  <si>
    <t>1 (11) 500 555-0135</t>
  </si>
  <si>
    <t>1 (11) 500 555-0155</t>
  </si>
  <si>
    <t>1 (11) 500 555-0168</t>
  </si>
  <si>
    <t>859-555-0113</t>
  </si>
  <si>
    <t>1 (11) 500 555-0192</t>
  </si>
  <si>
    <t>1 (11) 500 555-0129</t>
  </si>
  <si>
    <t>1 (11) 500 555-0181</t>
  </si>
  <si>
    <t>1 (11) 500 555-0149</t>
  </si>
  <si>
    <t>1 (11) 500 555-0112</t>
  </si>
  <si>
    <t>1 (11) 500 555-0174</t>
  </si>
  <si>
    <t>1 (11) 500 555-0191</t>
  </si>
  <si>
    <t>767-555-0113</t>
  </si>
  <si>
    <t>451-555-0162</t>
  </si>
  <si>
    <t>892-555-0184</t>
  </si>
  <si>
    <t>278-555-0186</t>
  </si>
  <si>
    <t>712-555-0141</t>
  </si>
  <si>
    <t>944-555-0167</t>
  </si>
  <si>
    <t>1 (11) 500 555-0145</t>
  </si>
  <si>
    <t>1 (11) 500 555-0130</t>
  </si>
  <si>
    <t>1 (11) 500 555-0125</t>
  </si>
  <si>
    <t>1 (11) 500 555-0185</t>
  </si>
  <si>
    <t>1 (11) 500 555-0127</t>
  </si>
  <si>
    <t>1 (11) 500 555-0165</t>
  </si>
  <si>
    <t>1 (11) 500 555-0154</t>
  </si>
  <si>
    <t>196-555-0114</t>
  </si>
  <si>
    <t>1 (11) 500 555-0111</t>
  </si>
  <si>
    <t>478-555-0117</t>
  </si>
  <si>
    <t>579-555-0195</t>
  </si>
  <si>
    <t>561-555-0140</t>
  </si>
  <si>
    <t>863-555-0172</t>
  </si>
  <si>
    <t>850-555-0184</t>
  </si>
  <si>
    <t>539-555-0198</t>
  </si>
  <si>
    <t>178-555-0152</t>
  </si>
  <si>
    <t>612-555-0141</t>
  </si>
  <si>
    <t>532-555-0117</t>
  </si>
  <si>
    <t>853-555-0174</t>
  </si>
  <si>
    <t>559-555-0115</t>
  </si>
  <si>
    <t>1 (11) 500 555-0161</t>
  </si>
  <si>
    <t>1 (11) 500 555-0115</t>
  </si>
  <si>
    <t>1 (11) 500 555-0157</t>
  </si>
  <si>
    <t>1 (11) 500 555-0186</t>
  </si>
  <si>
    <t>1 (11) 500 555-0123</t>
  </si>
  <si>
    <t>1 (11) 500 555-0124</t>
  </si>
  <si>
    <t>1 (11) 500 555-0166</t>
  </si>
  <si>
    <t>1 (11) 500 555-0121</t>
  </si>
  <si>
    <t>1 (11) 500 555-0132</t>
  </si>
  <si>
    <t>1 (11) 500 555-0179</t>
  </si>
  <si>
    <t>1 (11) 500 555-0134</t>
  </si>
  <si>
    <t>1 (11) 500 555-0187</t>
  </si>
  <si>
    <t>1 (11) 500 555-0198</t>
  </si>
  <si>
    <t>1 (11) 500 555-0172</t>
  </si>
  <si>
    <t>111-555-0118</t>
  </si>
  <si>
    <t>175-555-0139</t>
  </si>
  <si>
    <t>456-555-0174</t>
  </si>
  <si>
    <t>424-555-0137</t>
  </si>
  <si>
    <t>918-555-0126</t>
  </si>
  <si>
    <t>928-555-0118</t>
  </si>
  <si>
    <t>598-555-0174</t>
  </si>
  <si>
    <t>442-555-0119</t>
  </si>
  <si>
    <t>954-555-0117</t>
  </si>
  <si>
    <t>557-555-0146</t>
  </si>
  <si>
    <t>832-555-0121</t>
  </si>
  <si>
    <t>763-555-0134</t>
  </si>
  <si>
    <t>152-555-0162</t>
  </si>
  <si>
    <t>190-555-0184</t>
  </si>
  <si>
    <t>149-555-0113</t>
  </si>
  <si>
    <t>178-555-0196</t>
  </si>
  <si>
    <t>857-555-0115</t>
  </si>
  <si>
    <t>1 (11) 500 555-0139</t>
  </si>
  <si>
    <t>1 (11) 500 555-0194</t>
  </si>
  <si>
    <t>355-555-0153</t>
  </si>
  <si>
    <t>847-555-0111</t>
  </si>
  <si>
    <t>918-555-0186</t>
  </si>
  <si>
    <t>891-555-0125</t>
  </si>
  <si>
    <t>158-555-0199</t>
  </si>
  <si>
    <t>974-555-0177</t>
  </si>
  <si>
    <t>694-555-0176</t>
  </si>
  <si>
    <t>319-555-0183</t>
  </si>
  <si>
    <t>947-555-0172</t>
  </si>
  <si>
    <t>184-555-0114</t>
  </si>
  <si>
    <t>764-555-0116</t>
  </si>
  <si>
    <t>617-555-0150</t>
  </si>
  <si>
    <t>502-555-0138</t>
  </si>
  <si>
    <t>354-555-0134</t>
  </si>
  <si>
    <t>131-555-0194</t>
  </si>
  <si>
    <t>178-555-0156</t>
  </si>
  <si>
    <t>730-555-0128</t>
  </si>
  <si>
    <t>178-555-0176</t>
  </si>
  <si>
    <t>845-555-0127</t>
  </si>
  <si>
    <t>134-555-0196</t>
  </si>
  <si>
    <t>403-555-0152</t>
  </si>
  <si>
    <t>868-555-0188</t>
  </si>
  <si>
    <t>949-555-0138</t>
  </si>
  <si>
    <t>418-555-0127</t>
  </si>
  <si>
    <t>539-555-0162</t>
  </si>
  <si>
    <t>157-555-0182</t>
  </si>
  <si>
    <t>117-555-0182</t>
  </si>
  <si>
    <t>135-555-0185</t>
  </si>
  <si>
    <t>702-555-0144</t>
  </si>
  <si>
    <t>735-555-0197</t>
  </si>
  <si>
    <t>567-555-0176</t>
  </si>
  <si>
    <t>147-555-0199</t>
  </si>
  <si>
    <t>967-555-0188</t>
  </si>
  <si>
    <t>173-555-0121</t>
  </si>
  <si>
    <t>180-555-0133</t>
  </si>
  <si>
    <t>857-555-0111</t>
  </si>
  <si>
    <t>795-555-0117</t>
  </si>
  <si>
    <t>656-555-0171</t>
  </si>
  <si>
    <t>240-555-0142</t>
  </si>
  <si>
    <t>123-555-0181</t>
  </si>
  <si>
    <t>725-555-0117</t>
  </si>
  <si>
    <t>596-555-0190</t>
  </si>
  <si>
    <t>266-555-0112</t>
  </si>
  <si>
    <t>560-555-0150</t>
  </si>
  <si>
    <t>342-555-0110</t>
  </si>
  <si>
    <t>715-555-0178</t>
  </si>
  <si>
    <t>215-555-0156</t>
  </si>
  <si>
    <t>413-555-0174</t>
  </si>
  <si>
    <t>232-555-0160</t>
  </si>
  <si>
    <t>505-555-0159</t>
  </si>
  <si>
    <t>552-555-0118</t>
  </si>
  <si>
    <t>171-555-0126</t>
  </si>
  <si>
    <t>743-555-0111</t>
  </si>
  <si>
    <t>134-555-0119</t>
  </si>
  <si>
    <t>975-555-0163</t>
  </si>
  <si>
    <t>396-555-0158</t>
  </si>
  <si>
    <t>156-555-0163</t>
  </si>
  <si>
    <t>988-555-0151</t>
  </si>
  <si>
    <t>229-555-0114</t>
  </si>
  <si>
    <t>547-555-0121</t>
  </si>
  <si>
    <t>205-555-0169</t>
  </si>
  <si>
    <t>293-555-0151</t>
  </si>
  <si>
    <t>389-555-0115</t>
  </si>
  <si>
    <t>446-555-0134</t>
  </si>
  <si>
    <t>939-555-0130</t>
  </si>
  <si>
    <t>300-555-0150</t>
  </si>
  <si>
    <t>414-555-0147</t>
  </si>
  <si>
    <t>755-555-0111</t>
  </si>
  <si>
    <t>618-555-0157</t>
  </si>
  <si>
    <t>271-555-0191</t>
  </si>
  <si>
    <t>488-555-0143</t>
  </si>
  <si>
    <t>480-555-0126</t>
  </si>
  <si>
    <t>197-555-0118</t>
  </si>
  <si>
    <t>471-555-0142</t>
  </si>
  <si>
    <t>219-555-0146</t>
  </si>
  <si>
    <t>712-555-0116</t>
  </si>
  <si>
    <t>996-555-0169</t>
  </si>
  <si>
    <t>812-555-0122</t>
  </si>
  <si>
    <t>155-555-0131</t>
  </si>
  <si>
    <t>710-555-0134</t>
  </si>
  <si>
    <t>156-555-0195</t>
  </si>
  <si>
    <t>680-555-0147</t>
  </si>
  <si>
    <t>965-555-0146</t>
  </si>
  <si>
    <t>540-555-0122</t>
  </si>
  <si>
    <t>980-555-0117</t>
  </si>
  <si>
    <t>1 (11) 500 555-0119</t>
  </si>
  <si>
    <t>1 (11) 500 555-0193</t>
  </si>
  <si>
    <t>1 (11) 500 555-0147</t>
  </si>
  <si>
    <t>243-555-0114</t>
  </si>
  <si>
    <t>377-555-0147</t>
  </si>
  <si>
    <t>712-555-0130</t>
  </si>
  <si>
    <t>494-555-0166</t>
  </si>
  <si>
    <t>599-555-0132</t>
  </si>
  <si>
    <t>249-555-0116</t>
  </si>
  <si>
    <t>796-555-0111</t>
  </si>
  <si>
    <t>559-555-0149</t>
  </si>
  <si>
    <t>230-555-0139</t>
  </si>
  <si>
    <t>507-555-0132</t>
  </si>
  <si>
    <t>209-555-0173</t>
  </si>
  <si>
    <t>148-555-0115</t>
  </si>
  <si>
    <t>111-555-0116</t>
  </si>
  <si>
    <t>342-555-0195</t>
  </si>
  <si>
    <t>941-555-0110</t>
  </si>
  <si>
    <t>162-555-0131</t>
  </si>
  <si>
    <t>613-555-0119</t>
  </si>
  <si>
    <t>103-555-0195</t>
  </si>
  <si>
    <t>961-555-0133</t>
  </si>
  <si>
    <t>447-555-0174</t>
  </si>
  <si>
    <t>136-555-0114</t>
  </si>
  <si>
    <t>977-555-0117</t>
  </si>
  <si>
    <t>147-555-0121</t>
  </si>
  <si>
    <t>846-555-0126</t>
  </si>
  <si>
    <t>780-555-0119</t>
  </si>
  <si>
    <t>909-555-0129</t>
  </si>
  <si>
    <t>194-555-0175</t>
  </si>
  <si>
    <t>967-555-0176</t>
  </si>
  <si>
    <t>252-555-0177</t>
  </si>
  <si>
    <t>966-555-0171</t>
  </si>
  <si>
    <t>807-555-0156</t>
  </si>
  <si>
    <t>692-555-0172</t>
  </si>
  <si>
    <t>638-555-0164</t>
  </si>
  <si>
    <t>777-555-0162</t>
  </si>
  <si>
    <t>940-555-0176</t>
  </si>
  <si>
    <t>410-555-0148</t>
  </si>
  <si>
    <t>282-555-0185</t>
  </si>
  <si>
    <t>198-555-0118</t>
  </si>
  <si>
    <t>239-555-0158</t>
  </si>
  <si>
    <t>395-555-0150</t>
  </si>
  <si>
    <t>118-555-0191</t>
  </si>
  <si>
    <t>980-555-0196</t>
  </si>
  <si>
    <t>786-555-0117</t>
  </si>
  <si>
    <t>388-555-0195</t>
  </si>
  <si>
    <t>291-555-0174</t>
  </si>
  <si>
    <t>620-555-0129</t>
  </si>
  <si>
    <t>847-555-0167</t>
  </si>
  <si>
    <t>127-555-0189</t>
  </si>
  <si>
    <t>757-555-0143</t>
  </si>
  <si>
    <t>469-555-0125</t>
  </si>
  <si>
    <t>727-555-0119</t>
  </si>
  <si>
    <t>834-555-0131</t>
  </si>
  <si>
    <t>907-555-0170</t>
  </si>
  <si>
    <t>923-555-0183</t>
  </si>
  <si>
    <t>791-555-0174</t>
  </si>
  <si>
    <t>497-555-0185</t>
  </si>
  <si>
    <t>996-555-0142</t>
  </si>
  <si>
    <t>904-555-0153</t>
  </si>
  <si>
    <t>586-555-0191</t>
  </si>
  <si>
    <t>233-555-0160</t>
  </si>
  <si>
    <t>783-555-0174</t>
  </si>
  <si>
    <t>296-555-0174</t>
  </si>
  <si>
    <t>120-555-0129</t>
  </si>
  <si>
    <t>522-555-0140</t>
  </si>
  <si>
    <t>767-555-0151</t>
  </si>
  <si>
    <t>786-555-0133</t>
  </si>
  <si>
    <t>663-555-0197</t>
  </si>
  <si>
    <t>702-555-0180</t>
  </si>
  <si>
    <t>819-555-0160</t>
  </si>
  <si>
    <t>510-555-0120</t>
  </si>
  <si>
    <t>879-555-0124</t>
  </si>
  <si>
    <t>783-555-0116</t>
  </si>
  <si>
    <t>768-555-0153</t>
  </si>
  <si>
    <t>693-555-0118</t>
  </si>
  <si>
    <t>409-555-0142</t>
  </si>
  <si>
    <t>663-555-0137</t>
  </si>
  <si>
    <t>457-555-0178</t>
  </si>
  <si>
    <t>636-555-0197</t>
  </si>
  <si>
    <t>367-555-0172</t>
  </si>
  <si>
    <t>138-555-0142</t>
  </si>
  <si>
    <t>936-555-0152</t>
  </si>
  <si>
    <t>1 (11) 500 555-0138</t>
  </si>
  <si>
    <t>1 (11) 500 555-0122</t>
  </si>
  <si>
    <t>1 (11) 500 555-0141</t>
  </si>
  <si>
    <t>1 (11) 500 555-0144</t>
  </si>
  <si>
    <t>1 (11) 500 555-0118</t>
  </si>
  <si>
    <t>1 (11) 500 555-0148</t>
  </si>
  <si>
    <t>1 (11) 500 555-0189</t>
  </si>
  <si>
    <t>1 (11) 500 555-0143</t>
  </si>
  <si>
    <t>1 (11) 500 555-0176</t>
  </si>
  <si>
    <t>1 (11) 500 555-0173</t>
  </si>
  <si>
    <t>1 (11) 500 555-0142</t>
  </si>
  <si>
    <t>1 (11) 500 555-0196</t>
  </si>
  <si>
    <t>238-555-0100</t>
  </si>
  <si>
    <t>1 (11) 500 555-0159</t>
  </si>
  <si>
    <t>1 (11) 500 555-0128</t>
  </si>
  <si>
    <t>1 (11) 500 555-0153</t>
  </si>
  <si>
    <t>1 (11) 500 555-0120</t>
  </si>
  <si>
    <t>1 (11) 500 555-0150</t>
  </si>
  <si>
    <t>1 (11) 500 555-0180</t>
  </si>
  <si>
    <t>1 (11) 500 555-0156</t>
  </si>
  <si>
    <t>1 (11) 500 555-0133</t>
  </si>
  <si>
    <t>1 (11) 500 555-0170</t>
  </si>
  <si>
    <t>1 (11) 500 555-0171</t>
  </si>
  <si>
    <t>1 (11) 500 555-0160</t>
  </si>
  <si>
    <t>1 (11) 500 555-0197</t>
  </si>
  <si>
    <t>694-555-0114</t>
  </si>
  <si>
    <t>149-555-0132</t>
  </si>
  <si>
    <t>579-555-0169</t>
  </si>
  <si>
    <t>323-555-0162</t>
  </si>
  <si>
    <t>879-555-0159</t>
  </si>
  <si>
    <t>724-555-0194</t>
  </si>
  <si>
    <t>138-555-0117</t>
  </si>
  <si>
    <t>847-555-0156</t>
  </si>
  <si>
    <t>883-555-0144</t>
  </si>
  <si>
    <t>168-555-0190</t>
  </si>
  <si>
    <t>469-555-0110</t>
  </si>
  <si>
    <t>731-555-0184</t>
  </si>
  <si>
    <t>199-555-0147</t>
  </si>
  <si>
    <t>786-555-0137</t>
  </si>
  <si>
    <t>178-555-0147</t>
  </si>
  <si>
    <t>805-555-0188</t>
  </si>
  <si>
    <t>994-555-0158</t>
  </si>
  <si>
    <t>458-555-0116</t>
  </si>
  <si>
    <t>211-555-0110</t>
  </si>
  <si>
    <t>802-555-0135</t>
  </si>
  <si>
    <t>446-555-0170</t>
  </si>
  <si>
    <t>934-555-0191</t>
  </si>
  <si>
    <t>160-555-0131</t>
  </si>
  <si>
    <t>298-555-0145</t>
  </si>
  <si>
    <t>231-555-0168</t>
  </si>
  <si>
    <t>149-555-0146</t>
  </si>
  <si>
    <t>398-555-0193</t>
  </si>
  <si>
    <t>160-555-0119</t>
  </si>
  <si>
    <t>147-555-0124</t>
  </si>
  <si>
    <t>961-555-0153</t>
  </si>
  <si>
    <t>732-555-0144</t>
  </si>
  <si>
    <t>537-555-0113</t>
  </si>
  <si>
    <t>226-555-0113</t>
  </si>
  <si>
    <t>568-555-0198</t>
  </si>
  <si>
    <t>827-555-0183</t>
  </si>
  <si>
    <t>327-555-0157</t>
  </si>
  <si>
    <t>199-555-0180</t>
  </si>
  <si>
    <t>256-555-0111</t>
  </si>
  <si>
    <t>545-555-0121</t>
  </si>
  <si>
    <t>186-555-0170</t>
  </si>
  <si>
    <t>217-555-0170</t>
  </si>
  <si>
    <t>701-555-0175</t>
  </si>
  <si>
    <t>535-555-0131</t>
  </si>
  <si>
    <t>154-555-0143</t>
  </si>
  <si>
    <t>1 (11) 500 555-0199</t>
  </si>
  <si>
    <t>1 (11) 500 555-0167</t>
  </si>
  <si>
    <t>1 (11) 500 555-0152</t>
  </si>
  <si>
    <t>1 (11) 500 555-0140</t>
  </si>
  <si>
    <t>1 (11) 500 555-0190</t>
  </si>
  <si>
    <t>294-555-0111</t>
  </si>
  <si>
    <t>167-555-0144</t>
  </si>
  <si>
    <t>410-555-0125</t>
  </si>
  <si>
    <t>156-555-0144</t>
  </si>
  <si>
    <t>787-555-0163</t>
  </si>
  <si>
    <t>787-555-0146</t>
  </si>
  <si>
    <t>198-555-0159</t>
  </si>
  <si>
    <t>394-555-0168</t>
  </si>
  <si>
    <t>209-555-0118</t>
  </si>
  <si>
    <t>262-555-0170</t>
  </si>
  <si>
    <t>263-555-0144</t>
  </si>
  <si>
    <t>662-555-0125</t>
  </si>
  <si>
    <t>525-555-0190</t>
  </si>
  <si>
    <t>200-555-0198</t>
  </si>
  <si>
    <t>380-555-0192</t>
  </si>
  <si>
    <t>664-555-0121</t>
  </si>
  <si>
    <t>315-555-0121</t>
  </si>
  <si>
    <t>385-555-0179</t>
  </si>
  <si>
    <t>455-555-0152</t>
  </si>
  <si>
    <t>383-555-0177</t>
  </si>
  <si>
    <t>379-555-0153</t>
  </si>
  <si>
    <t>966-555-0128</t>
  </si>
  <si>
    <t>936-555-0157</t>
  </si>
  <si>
    <t>748-555-0137</t>
  </si>
  <si>
    <t>143-555-0119</t>
  </si>
  <si>
    <t>165-555-0182</t>
  </si>
  <si>
    <t>293-555-0147</t>
  </si>
  <si>
    <t>202-555-0114</t>
  </si>
  <si>
    <t>131-555-0142</t>
  </si>
  <si>
    <t>288-555-0189</t>
  </si>
  <si>
    <t>189-555-0124</t>
  </si>
  <si>
    <t>364-555-0111</t>
  </si>
  <si>
    <t>200-555-0138</t>
  </si>
  <si>
    <t>243-555-0128</t>
  </si>
  <si>
    <t>501-555-0174</t>
  </si>
  <si>
    <t>828-555-0112</t>
  </si>
  <si>
    <t>848-555-0130</t>
  </si>
  <si>
    <t>435-555-0160</t>
  </si>
  <si>
    <t>164-555-0166</t>
  </si>
  <si>
    <t>864-555-0116</t>
  </si>
  <si>
    <t>466-555-0163</t>
  </si>
  <si>
    <t>132-555-0112</t>
  </si>
  <si>
    <t>910-555-0185</t>
  </si>
  <si>
    <t>343-555-0197</t>
  </si>
  <si>
    <t>716-555-0117</t>
  </si>
  <si>
    <t>214-555-0118</t>
  </si>
  <si>
    <t>878-555-0119</t>
  </si>
  <si>
    <t>144-555-0113</t>
  </si>
  <si>
    <t>142-555-0139</t>
  </si>
  <si>
    <t>616-555-0161</t>
  </si>
  <si>
    <t>485-555-0144</t>
  </si>
  <si>
    <t>169-555-0194</t>
  </si>
  <si>
    <t>424-555-0125</t>
  </si>
  <si>
    <t>172-555-0136</t>
  </si>
  <si>
    <t>895-555-0138</t>
  </si>
  <si>
    <t>355-555-0162</t>
  </si>
  <si>
    <t>268-555-0189</t>
  </si>
  <si>
    <t>405-555-0116</t>
  </si>
  <si>
    <t>594-555-0155</t>
  </si>
  <si>
    <t>723-555-0187</t>
  </si>
  <si>
    <t>162-555-0110</t>
  </si>
  <si>
    <t>895-555-0161</t>
  </si>
  <si>
    <t>139-555-0186</t>
  </si>
  <si>
    <t>889-555-0151</t>
  </si>
  <si>
    <t>959-555-0135</t>
  </si>
  <si>
    <t>897-555-0155</t>
  </si>
  <si>
    <t>789-555-0114</t>
  </si>
  <si>
    <t>815-555-0192</t>
  </si>
  <si>
    <t>269-555-0120</t>
  </si>
  <si>
    <t>136-555-0185</t>
  </si>
  <si>
    <t>101-555-0110</t>
  </si>
  <si>
    <t>968-555-0196</t>
  </si>
  <si>
    <t>475-555-0114</t>
  </si>
  <si>
    <t>835-555-0168</t>
  </si>
  <si>
    <t>733-555-0157</t>
  </si>
  <si>
    <t>164-555-0159</t>
  </si>
  <si>
    <t>786-555-0184</t>
  </si>
  <si>
    <t>993-555-0176</t>
  </si>
  <si>
    <t>112-555-0181</t>
  </si>
  <si>
    <t>369-555-0167</t>
  </si>
  <si>
    <t>578-555-0132</t>
  </si>
  <si>
    <t>872-555-0191</t>
  </si>
  <si>
    <t>763-555-0124</t>
  </si>
  <si>
    <t>609-555-0179</t>
  </si>
  <si>
    <t>592-555-0143</t>
  </si>
  <si>
    <t>752-555-0155</t>
  </si>
  <si>
    <t>146-555-0191</t>
  </si>
  <si>
    <t>468-555-0193</t>
  </si>
  <si>
    <t>117-555-0118</t>
  </si>
  <si>
    <t>394-555-0185</t>
  </si>
  <si>
    <t>712-555-0144</t>
  </si>
  <si>
    <t>217-555-0147</t>
  </si>
  <si>
    <t>187-555-0139</t>
  </si>
  <si>
    <t>793-555-0118</t>
  </si>
  <si>
    <t>676-555-0172</t>
  </si>
  <si>
    <t>570-555-0117</t>
  </si>
  <si>
    <t>222-555-0139</t>
  </si>
  <si>
    <t>465-555-0162</t>
  </si>
  <si>
    <t>585-555-0177</t>
  </si>
  <si>
    <t>397-555-0128</t>
  </si>
  <si>
    <t>178-555-0115</t>
  </si>
  <si>
    <t>623-555-0122</t>
  </si>
  <si>
    <t>301-555-0114</t>
  </si>
  <si>
    <t>959-555-0119</t>
  </si>
  <si>
    <t>234-555-0170</t>
  </si>
  <si>
    <t>145-555-0188</t>
  </si>
  <si>
    <t>843-555-0120</t>
  </si>
  <si>
    <t>571-555-0135</t>
  </si>
  <si>
    <t>710-555-0132</t>
  </si>
  <si>
    <t>459-555-0187</t>
  </si>
  <si>
    <t>192-555-0182</t>
  </si>
  <si>
    <t>742-555-0111</t>
  </si>
  <si>
    <t>827-555-0145</t>
  </si>
  <si>
    <t>995-555-0114</t>
  </si>
  <si>
    <t>938-555-0117</t>
  </si>
  <si>
    <t>637-555-0114</t>
  </si>
  <si>
    <t>404-555-0117</t>
  </si>
  <si>
    <t>612-555-0171</t>
  </si>
  <si>
    <t>100-555-0155</t>
  </si>
  <si>
    <t>600-555-0195</t>
  </si>
  <si>
    <t>118-555-0131</t>
  </si>
  <si>
    <t>112-555-0164</t>
  </si>
  <si>
    <t>936-555-0189</t>
  </si>
  <si>
    <t>153-555-0118</t>
  </si>
  <si>
    <t>712-555-0117</t>
  </si>
  <si>
    <t>728-555-0144</t>
  </si>
  <si>
    <t>771-555-0118</t>
  </si>
  <si>
    <t>251-555-0153</t>
  </si>
  <si>
    <t>171-555-0174</t>
  </si>
  <si>
    <t>120-555-0112</t>
  </si>
  <si>
    <t>244-555-0113</t>
  </si>
  <si>
    <t>750-555-0140</t>
  </si>
  <si>
    <t>293-555-0136</t>
  </si>
  <si>
    <t>726-555-0116</t>
  </si>
  <si>
    <t>365-555-0125</t>
  </si>
  <si>
    <t>111-555-0177</t>
  </si>
  <si>
    <t>171-555-0140</t>
  </si>
  <si>
    <t>258-555-0111</t>
  </si>
  <si>
    <t>868-555-0128</t>
  </si>
  <si>
    <t>653-555-0150</t>
  </si>
  <si>
    <t>617-555-0146</t>
  </si>
  <si>
    <t>252-555-0175</t>
  </si>
  <si>
    <t>361-555-0177</t>
  </si>
  <si>
    <t>537-555-0144</t>
  </si>
  <si>
    <t>189-555-0195</t>
  </si>
  <si>
    <t>690-555-0189</t>
  </si>
  <si>
    <t>754-555-0141</t>
  </si>
  <si>
    <t>271-555-0115</t>
  </si>
  <si>
    <t>913-555-0130</t>
  </si>
  <si>
    <t>474-555-0183</t>
  </si>
  <si>
    <t>147-555-0193</t>
  </si>
  <si>
    <t>194-555-0127</t>
  </si>
  <si>
    <t>193-555-0135</t>
  </si>
  <si>
    <t>457-555-0162</t>
  </si>
  <si>
    <t>143-555-0123</t>
  </si>
  <si>
    <t>667-555-0136</t>
  </si>
  <si>
    <t>774-555-0127</t>
  </si>
  <si>
    <t>792-555-0157</t>
  </si>
  <si>
    <t>551-555-0157</t>
  </si>
  <si>
    <t>527-555-0124</t>
  </si>
  <si>
    <t>506-555-0157</t>
  </si>
  <si>
    <t>500-555-0177</t>
  </si>
  <si>
    <t>635-555-0173</t>
  </si>
  <si>
    <t>845-555-0160</t>
  </si>
  <si>
    <t>489-555-0139</t>
  </si>
  <si>
    <t>142-555-0146</t>
  </si>
  <si>
    <t>159-555-0111</t>
  </si>
  <si>
    <t>787-555-0141</t>
  </si>
  <si>
    <t>730-555-0125</t>
  </si>
  <si>
    <t>373-555-0139</t>
  </si>
  <si>
    <t>367-555-0138</t>
  </si>
  <si>
    <t>586-555-0118</t>
  </si>
  <si>
    <t>956-555-0136</t>
  </si>
  <si>
    <t>530-555-0182</t>
  </si>
  <si>
    <t>110-555-0136</t>
  </si>
  <si>
    <t>450-555-0115</t>
  </si>
  <si>
    <t>339-555-0137</t>
  </si>
  <si>
    <t>125-555-0145</t>
  </si>
  <si>
    <t>152-555-0130</t>
  </si>
  <si>
    <t>316-555-0185</t>
  </si>
  <si>
    <t>163-555-0134</t>
  </si>
  <si>
    <t>792-555-0137</t>
  </si>
  <si>
    <t>856-555-0168</t>
  </si>
  <si>
    <t>884-555-0127</t>
  </si>
  <si>
    <t>137-555-0149</t>
  </si>
  <si>
    <t>579-555-0138</t>
  </si>
  <si>
    <t>256-555-0180</t>
  </si>
  <si>
    <t>584-555-0118</t>
  </si>
  <si>
    <t>766-555-0146</t>
  </si>
  <si>
    <t>301-555-0163</t>
  </si>
  <si>
    <t>123-555-0152</t>
  </si>
  <si>
    <t>798-555-0157</t>
  </si>
  <si>
    <t>389-555-0114</t>
  </si>
  <si>
    <t>162-555-0175</t>
  </si>
  <si>
    <t>188-555-0159</t>
  </si>
  <si>
    <t>879-555-0116</t>
  </si>
  <si>
    <t>951-555-0164</t>
  </si>
  <si>
    <t>211-555-0112</t>
  </si>
  <si>
    <t>801-555-0121</t>
  </si>
  <si>
    <t>603-555-0169</t>
  </si>
  <si>
    <t>314-555-0153</t>
  </si>
  <si>
    <t>585-555-0152</t>
  </si>
  <si>
    <t>639-555-0189</t>
  </si>
  <si>
    <t>103-555-0162</t>
  </si>
  <si>
    <t>119-555-0148</t>
  </si>
  <si>
    <t>503-555-0151</t>
  </si>
  <si>
    <t>323-555-0140</t>
  </si>
  <si>
    <t>365-555-0198</t>
  </si>
  <si>
    <t>727-555-0162</t>
  </si>
  <si>
    <t>729-555-0139</t>
  </si>
  <si>
    <t>416-555-0196</t>
  </si>
  <si>
    <t>473-555-0199</t>
  </si>
  <si>
    <t>388-555-0168</t>
  </si>
  <si>
    <t>480-555-0139</t>
  </si>
  <si>
    <t>531-555-0113</t>
  </si>
  <si>
    <t>195-555-0146</t>
  </si>
  <si>
    <t>747-555-0149</t>
  </si>
  <si>
    <t>996-555-0179</t>
  </si>
  <si>
    <t>713-555-0128</t>
  </si>
  <si>
    <t>129-555-0165</t>
  </si>
  <si>
    <t>572-555-0120</t>
  </si>
  <si>
    <t>409-555-0135</t>
  </si>
  <si>
    <t>130-555-0137</t>
  </si>
  <si>
    <t>465-555-0154</t>
  </si>
  <si>
    <t>372-555-0142</t>
  </si>
  <si>
    <t>764-555-0119</t>
  </si>
  <si>
    <t>112-555-0116</t>
  </si>
  <si>
    <t>974-555-0184</t>
  </si>
  <si>
    <t>512-555-0158</t>
  </si>
  <si>
    <t>386-555-0159</t>
  </si>
  <si>
    <t>941-555-0138</t>
  </si>
  <si>
    <t>148-555-0143</t>
  </si>
  <si>
    <t>295-555-0128</t>
  </si>
  <si>
    <t>254-555-0175</t>
  </si>
  <si>
    <t>108-555-0111</t>
  </si>
  <si>
    <t>813-555-0171</t>
  </si>
  <si>
    <t>409-555-0139</t>
  </si>
  <si>
    <t>792-555-0139</t>
  </si>
  <si>
    <t>525-555-0117</t>
  </si>
  <si>
    <t>409-555-0153</t>
  </si>
  <si>
    <t>142-555-0165</t>
  </si>
  <si>
    <t>115-555-0181</t>
  </si>
  <si>
    <t>819-555-0146</t>
  </si>
  <si>
    <t>390-555-0186</t>
  </si>
  <si>
    <t>146-555-0179</t>
  </si>
  <si>
    <t>451-555-0135</t>
  </si>
  <si>
    <t>149-555-0116</t>
  </si>
  <si>
    <t>473-555-0194</t>
  </si>
  <si>
    <t>307-555-0113</t>
  </si>
  <si>
    <t>138-555-0111</t>
  </si>
  <si>
    <t>1 (11) 500 555-0188</t>
  </si>
  <si>
    <t>648-555-0100</t>
  </si>
  <si>
    <t>483-555-0135</t>
  </si>
  <si>
    <t>212-555-0171</t>
  </si>
  <si>
    <t>547-555-0176</t>
  </si>
  <si>
    <t>522-555-0169</t>
  </si>
  <si>
    <t>373-555-0118</t>
  </si>
  <si>
    <t>693-555-0146</t>
  </si>
  <si>
    <t>687-555-0170</t>
  </si>
  <si>
    <t>400-555-0120</t>
  </si>
  <si>
    <t>430-555-0126</t>
  </si>
  <si>
    <t>215-555-0113</t>
  </si>
  <si>
    <t>144-555-0123</t>
  </si>
  <si>
    <t>121-555-0144</t>
  </si>
  <si>
    <t>500-555-0169</t>
  </si>
  <si>
    <t>178-555-0186</t>
  </si>
  <si>
    <t>970-555-0114</t>
  </si>
  <si>
    <t>456-555-0191</t>
  </si>
  <si>
    <t>868-555-0122</t>
  </si>
  <si>
    <t>183-555-0120</t>
  </si>
  <si>
    <t>845-555-0143</t>
  </si>
  <si>
    <t>609-555-0117</t>
  </si>
  <si>
    <t>423-555-0100</t>
  </si>
  <si>
    <t>366-555-0162</t>
  </si>
  <si>
    <t>594-555-0120</t>
  </si>
  <si>
    <t>149-555-0162</t>
  </si>
  <si>
    <t>998-555-0194</t>
  </si>
  <si>
    <t>424-555-0199</t>
  </si>
  <si>
    <t>844-555-0156</t>
  </si>
  <si>
    <t>884-555-0119</t>
  </si>
  <si>
    <t>377-555-0180</t>
  </si>
  <si>
    <t>297-555-0150</t>
  </si>
  <si>
    <t>685-555-0149</t>
  </si>
  <si>
    <t>109-555-0100</t>
  </si>
  <si>
    <t>968-555-0128</t>
  </si>
  <si>
    <t>592-555-0166</t>
  </si>
  <si>
    <t>351-555-0197</t>
  </si>
  <si>
    <t>820-555-0119</t>
  </si>
  <si>
    <t>156-555-0147</t>
  </si>
  <si>
    <t>928-555-0186</t>
  </si>
  <si>
    <t>644-555-0115</t>
  </si>
  <si>
    <t>130-555-0198</t>
  </si>
  <si>
    <t>116-555-0182</t>
  </si>
  <si>
    <t>935-555-0120</t>
  </si>
  <si>
    <t>278-555-0183</t>
  </si>
  <si>
    <t>354-555-0177</t>
  </si>
  <si>
    <t>376-555-0156</t>
  </si>
  <si>
    <t>909-555-0153</t>
  </si>
  <si>
    <t>3761 N. 14th St</t>
  </si>
  <si>
    <t>2243 W St.</t>
  </si>
  <si>
    <t>5844 Linden Land</t>
  </si>
  <si>
    <t>1825 Village Pl.</t>
  </si>
  <si>
    <t>7553 Harness Circle</t>
  </si>
  <si>
    <t>7305 Humphrey Drive</t>
  </si>
  <si>
    <t>2612 Berry Dr</t>
  </si>
  <si>
    <t>942 Brook Street</t>
  </si>
  <si>
    <t>624 Peabody Road</t>
  </si>
  <si>
    <t>3839 Northgate Road</t>
  </si>
  <si>
    <t>7800 Corrinne Court</t>
  </si>
  <si>
    <t>1224 Shoenic</t>
  </si>
  <si>
    <t>4785 Scott Street</t>
  </si>
  <si>
    <t>7902 Hudson Ave.</t>
  </si>
  <si>
    <t>9011 Tank Drive</t>
  </si>
  <si>
    <t>244 Willow Pass Road</t>
  </si>
  <si>
    <t>9666 Northridge Ct.</t>
  </si>
  <si>
    <t>7330 Saddlehill Lane</t>
  </si>
  <si>
    <t>244 Rivewview</t>
  </si>
  <si>
    <t>7832 Landing Dr</t>
  </si>
  <si>
    <t>7156 Rose Dr.</t>
  </si>
  <si>
    <t>8148 W. Lake Dr.</t>
  </si>
  <si>
    <t>1769 Nicholas Drive</t>
  </si>
  <si>
    <t>4499 Valley Crest</t>
  </si>
  <si>
    <t>8734 Oxford Place</t>
  </si>
  <si>
    <t>2596 Franklin Canyon Road</t>
  </si>
  <si>
    <t>8211 Leeds Ct.</t>
  </si>
  <si>
    <t>213 Valencia Place</t>
  </si>
  <si>
    <t>9111 Rose Ann Ave</t>
  </si>
  <si>
    <t>6385 Mark Twain</t>
  </si>
  <si>
    <t>636 Vine Hill Way</t>
  </si>
  <si>
    <t>6465 Detroit Ave.</t>
  </si>
  <si>
    <t>626 Bentley Street</t>
  </si>
  <si>
    <t>5927 Rainbow Dr</t>
  </si>
  <si>
    <t>5167 Condor Place</t>
  </si>
  <si>
    <t>1873 Mt. Whitney Dr</t>
  </si>
  <si>
    <t>3981 Augustine Drive</t>
  </si>
  <si>
    <t>8915 Woodside Way</t>
  </si>
  <si>
    <t>8357 Sandy Cove Lane</t>
  </si>
  <si>
    <t>9353 Creekside Dr.</t>
  </si>
  <si>
    <t>3350 Kingswood Circle</t>
  </si>
  <si>
    <t>5826 Escobar</t>
  </si>
  <si>
    <t>1397 Paraiso Ct.</t>
  </si>
  <si>
    <t>1170 Shaw Rd</t>
  </si>
  <si>
    <t>6935 Candle Dr</t>
  </si>
  <si>
    <t>7466 La Vista Ave.</t>
  </si>
  <si>
    <t>2356 Orange St</t>
  </si>
  <si>
    <t>2812 Mazatlan</t>
  </si>
  <si>
    <t>1803 Potomac Dr.</t>
  </si>
  <si>
    <t>6064 Madrid</t>
  </si>
  <si>
    <t>2741 Gainborough Dr.</t>
  </si>
  <si>
    <t>8085 Sunnyvale Avenue</t>
  </si>
  <si>
    <t>2514 Via Cordona</t>
  </si>
  <si>
    <t>1660 Stonyhill Circle</t>
  </si>
  <si>
    <t>5825 B Way</t>
  </si>
  <si>
    <t>8811 The Trees Dr.</t>
  </si>
  <si>
    <t>5464 Janin Pl.</t>
  </si>
  <si>
    <t>6930 Lake Nadine Place</t>
  </si>
  <si>
    <t>6645 Sinaloa</t>
  </si>
  <si>
    <t>8255 Highland Road</t>
  </si>
  <si>
    <t>6574 Hemlock Ave.</t>
  </si>
  <si>
    <t>8808 Geneva Ave</t>
  </si>
  <si>
    <t>9794 Marion Ct</t>
  </si>
  <si>
    <t>4927 Virgil Street</t>
  </si>
  <si>
    <t>2721 Alexander Pl.</t>
  </si>
  <si>
    <t>9343 Ironwood Way</t>
  </si>
  <si>
    <t>4739 Garden Ave.</t>
  </si>
  <si>
    <t>9563 Pennsylvania Blvd.</t>
  </si>
  <si>
    <t>3608 Sinclair Avenue</t>
  </si>
  <si>
    <t>4606 Springwood Court</t>
  </si>
  <si>
    <t>6260 Vernal Drive</t>
  </si>
  <si>
    <t>9808 Shaw Rd.</t>
  </si>
  <si>
    <t>9513 Roslyn Drive</t>
  </si>
  <si>
    <t>2262 Kirkwood Ct.</t>
  </si>
  <si>
    <t>4661 Bluetail</t>
  </si>
  <si>
    <t>786 Eastgate Ave</t>
  </si>
  <si>
    <t>5436 Clear</t>
  </si>
  <si>
    <t>1291 Arguello Blvd.</t>
  </si>
  <si>
    <t>1349 Sol St.</t>
  </si>
  <si>
    <t>4236 Malibu Place</t>
  </si>
  <si>
    <t>9941 Stonehedge Dr.</t>
  </si>
  <si>
    <t>1210 Trafalgar Circle</t>
  </si>
  <si>
    <t>6040 Listing Ct</t>
  </si>
  <si>
    <t>867 La Orinda Place</t>
  </si>
  <si>
    <t>8668 St. Celestine Court</t>
  </si>
  <si>
    <t>7926 Stephanie Way</t>
  </si>
  <si>
    <t>2939 Wesley Ct.</t>
  </si>
  <si>
    <t>3791 Rossmor Parkway</t>
  </si>
  <si>
    <t>4308 Sand Pointe Lane</t>
  </si>
  <si>
    <t>2685 Blackburn Ct</t>
  </si>
  <si>
    <t>5781 Sharon Dr.</t>
  </si>
  <si>
    <t>6083 San Jose</t>
  </si>
  <si>
    <t>7297 Kaywood Drive</t>
  </si>
  <si>
    <t>1833 Olympic Drive</t>
  </si>
  <si>
    <t>3407 Oak Brook Place</t>
  </si>
  <si>
    <t>1681 Lighthouse Way</t>
  </si>
  <si>
    <t>5423 Los Gatos Ct.</t>
  </si>
  <si>
    <t>719 William Way</t>
  </si>
  <si>
    <t>6452 Harris Circle</t>
  </si>
  <si>
    <t>4378 Westminster Place</t>
  </si>
  <si>
    <t>6954 Ranch Road</t>
  </si>
  <si>
    <t>7074 N. Spoonwood Court</t>
  </si>
  <si>
    <t>2196 Coat Ct.</t>
  </si>
  <si>
    <t>9448 San Marino Ct.</t>
  </si>
  <si>
    <t>6127 Lilly Lane</t>
  </si>
  <si>
    <t>5029 Blue Ridge</t>
  </si>
  <si>
    <t>3063 Blue Jay Drive</t>
  </si>
  <si>
    <t>7530 Eola</t>
  </si>
  <si>
    <t>9178 Thornhill Place</t>
  </si>
  <si>
    <t>1984 Glendale Circle</t>
  </si>
  <si>
    <t>4052 Mt. Wilson Way</t>
  </si>
  <si>
    <t>7610 Northridge Ct.</t>
  </si>
  <si>
    <t>2773 Kirkwood Dr</t>
  </si>
  <si>
    <t>596 Marfargoa Drive</t>
  </si>
  <si>
    <t>7941 Cristobal</t>
  </si>
  <si>
    <t>7759 Azalea Avenue</t>
  </si>
  <si>
    <t>7943 Cunha Ct.</t>
  </si>
  <si>
    <t>485 Ash Lane</t>
  </si>
  <si>
    <t>3853 Wildcat Circle</t>
  </si>
  <si>
    <t>4157 Sierra Ridge</t>
  </si>
  <si>
    <t>7401 Las Palmas</t>
  </si>
  <si>
    <t>7743 Hames Dr</t>
  </si>
  <si>
    <t>3187 Hackamore Lane</t>
  </si>
  <si>
    <t>2775 Mt. Olivet Pl.</t>
  </si>
  <si>
    <t>6973 Dublin Court</t>
  </si>
  <si>
    <t>8481 Zartop Street</t>
  </si>
  <si>
    <t>57 Wolf Way</t>
  </si>
  <si>
    <t>9409 The Alameda</t>
  </si>
  <si>
    <t>1606 Alderwood Lane</t>
  </si>
  <si>
    <t>7397 Central Blvd.</t>
  </si>
  <si>
    <t>3884 Bates Court</t>
  </si>
  <si>
    <t>9573 Royal Oak Rd.</t>
  </si>
  <si>
    <t>6832 Fruitwood Dr</t>
  </si>
  <si>
    <t>3828 Baltic Sea Ct</t>
  </si>
  <si>
    <t>7034 Carson</t>
  </si>
  <si>
    <t>9068 Quiet Place Drive</t>
  </si>
  <si>
    <t>9005 Eagle Ct.</t>
  </si>
  <si>
    <t>2457 Matterhorn Court</t>
  </si>
  <si>
    <t>8105 Pembrook Court</t>
  </si>
  <si>
    <t>6155 Wilbur Drive</t>
  </si>
  <si>
    <t>8935 Etcheverry Dr.</t>
  </si>
  <si>
    <t>1101 C Street</t>
  </si>
  <si>
    <t>6255 Macalvey Dr.</t>
  </si>
  <si>
    <t>165 East Lane Road</t>
  </si>
  <si>
    <t>7607 Pine Hollow Road</t>
  </si>
  <si>
    <t>1961 Oak Grove Road</t>
  </si>
  <si>
    <t>3272 Corrie Lane</t>
  </si>
  <si>
    <t>1832 RiverRock Dr</t>
  </si>
  <si>
    <t>1201 Paso Del Rio Way</t>
  </si>
  <si>
    <t>9120 Pinewood Court</t>
  </si>
  <si>
    <t>4755 Easley Drive</t>
  </si>
  <si>
    <t>805 Rainier Dr.</t>
  </si>
  <si>
    <t>6827 Seagull Court</t>
  </si>
  <si>
    <t>8877 Weatherly Drive</t>
  </si>
  <si>
    <t>6898 Holiday Hills</t>
  </si>
  <si>
    <t>8356 Mori Court</t>
  </si>
  <si>
    <t>9452 Mariposa Ct.</t>
  </si>
  <si>
    <t>1832 Preston Ct.</t>
  </si>
  <si>
    <t>6771 Bundros Court</t>
  </si>
  <si>
    <t>6793 Bonifacio St.</t>
  </si>
  <si>
    <t>2886 Chaparral Court</t>
  </si>
  <si>
    <t>1562 Black Walnut</t>
  </si>
  <si>
    <t>P.O. Box 8070</t>
  </si>
  <si>
    <t>8002 Crane Court</t>
  </si>
  <si>
    <t>4231 Highland Dr.</t>
  </si>
  <si>
    <t>3376 Bank Way</t>
  </si>
  <si>
    <t>6993 Whyte Park Ave.</t>
  </si>
  <si>
    <t>9183 Via Del Sol</t>
  </si>
  <si>
    <t>38 Shangri-la Rd.</t>
  </si>
  <si>
    <t>1841 Blackwood Drive</t>
  </si>
  <si>
    <t>6281 Edward Ave</t>
  </si>
  <si>
    <t>3731 Chinquapin Ct</t>
  </si>
  <si>
    <t>5621 Arcadia Pl.</t>
  </si>
  <si>
    <t>5636 Mt. Whitney Dr.</t>
  </si>
  <si>
    <t>1318 Lasalle Street</t>
  </si>
  <si>
    <t>6943 Patterson Blvd.</t>
  </si>
  <si>
    <t>5753 Megan Dr.</t>
  </si>
  <si>
    <t>3991 Rambling Rose Drive</t>
  </si>
  <si>
    <t>8927 Daylight Place</t>
  </si>
  <si>
    <t>5556 Riverland Dr.</t>
  </si>
  <si>
    <t>3531 Brookview Drive</t>
  </si>
  <si>
    <t>1085 Greenbelt Way</t>
  </si>
  <si>
    <t>6968 Mildred Ln.</t>
  </si>
  <si>
    <t>7502 Contuti Avenue</t>
  </si>
  <si>
    <t>5872 L St.</t>
  </si>
  <si>
    <t>8834 San Jose Ave.</t>
  </si>
  <si>
    <t>4815 Paraiso Ct.</t>
  </si>
  <si>
    <t>2429 Longview Road</t>
  </si>
  <si>
    <t>6542 Stonewood Drive</t>
  </si>
  <si>
    <t>2995 Youngsdale Dr.</t>
  </si>
  <si>
    <t>1769 Lislin Ct</t>
  </si>
  <si>
    <t>673 Old Mountain View Dr.</t>
  </si>
  <si>
    <t>5941 Gill Dr.</t>
  </si>
  <si>
    <t>872 Mark Twain Dr</t>
  </si>
  <si>
    <t>8411 Mt. Olivet Place</t>
  </si>
  <si>
    <t>2499 Greendell Pl</t>
  </si>
  <si>
    <t>1883 Green View Court</t>
  </si>
  <si>
    <t>5192 Dumbarton Drive</t>
  </si>
  <si>
    <t>8948 Chinquapin Court</t>
  </si>
  <si>
    <t>7239 Nicholas Drive</t>
  </si>
  <si>
    <t>3984 San Francisco</t>
  </si>
  <si>
    <t>2079 Wellington Ct</t>
  </si>
  <si>
    <t>3682 Diablo View Road</t>
  </si>
  <si>
    <t>6965 Appalachian Drive</t>
  </si>
  <si>
    <t>8330 Glenside Court</t>
  </si>
  <si>
    <t>9410 Ferry St.</t>
  </si>
  <si>
    <t>2346 Wren Ave</t>
  </si>
  <si>
    <t>1413 Bridgeview St</t>
  </si>
  <si>
    <t>3515 Sutton Circle</t>
  </si>
  <si>
    <t>1039 Adelaide St.</t>
  </si>
  <si>
    <t>9256 Village Oaks Dr.</t>
  </si>
  <si>
    <t>3562 East Ave.</t>
  </si>
  <si>
    <t>5514 Grant Street</t>
  </si>
  <si>
    <t>2719 Little Dr</t>
  </si>
  <si>
    <t>3114 Arlington Way</t>
  </si>
  <si>
    <t>8328 San Francisco</t>
  </si>
  <si>
    <t>6592 Bent Tree Lane</t>
  </si>
  <si>
    <t>3964 Stony Hill Circle</t>
  </si>
  <si>
    <t>6871 Bel Air Dr.</t>
  </si>
  <si>
    <t>9142 All Ways Drive</t>
  </si>
  <si>
    <t>9714 Nicholas Drive</t>
  </si>
  <si>
    <t>4999 Corte Segunda</t>
  </si>
  <si>
    <t>5045 Vancouver Way</t>
  </si>
  <si>
    <t>6404 Del Mar Ave</t>
  </si>
  <si>
    <t>5927 Seaview Avenue</t>
  </si>
  <si>
    <t>5252 Santa Fe</t>
  </si>
  <si>
    <t>9022 Estudillo Street</t>
  </si>
  <si>
    <t>7681 Willow Pass Road</t>
  </si>
  <si>
    <t>6898 Shaw Rd.</t>
  </si>
  <si>
    <t>6345 Ridge Circle</t>
  </si>
  <si>
    <t>3951 Calle Verde Drive</t>
  </si>
  <si>
    <t>2828 Rogers Ave.</t>
  </si>
  <si>
    <t>5897 Scottsdale Rd.</t>
  </si>
  <si>
    <t>7221 Peachwillow Street</t>
  </si>
  <si>
    <t>2585 La Salle Ct.</t>
  </si>
  <si>
    <t>Welt Platz 6</t>
  </si>
  <si>
    <t>1119 Elderwood Dr.</t>
  </si>
  <si>
    <t>8154 Pheasant Circle</t>
  </si>
  <si>
    <t>76 Woodcrest Dr.</t>
  </si>
  <si>
    <t xml:space="preserve"> rue de Berri</t>
  </si>
  <si>
    <t>Midi-Couleurs</t>
  </si>
  <si>
    <t>4086 Emmons Canyon Lane</t>
  </si>
  <si>
    <t>7140 Camelback Road</t>
  </si>
  <si>
    <t>Roßstr 9928</t>
  </si>
  <si>
    <t>Alderstr 7690</t>
  </si>
  <si>
    <t>6516 Beauer Lane</t>
  </si>
  <si>
    <t xml:space="preserve"> avenue des Champs-Elysées</t>
  </si>
  <si>
    <t>Essener Straße 123</t>
  </si>
  <si>
    <t>4185 Keywood Ct.</t>
  </si>
  <si>
    <t>9245 Dantley Way</t>
  </si>
  <si>
    <t>504 O St.</t>
  </si>
  <si>
    <t>5703 Donald Dr.</t>
  </si>
  <si>
    <t>9430 Versailles Pl</t>
  </si>
  <si>
    <t>7496 Deerfield Dr.</t>
  </si>
  <si>
    <t>4076 Northwood Dr</t>
  </si>
  <si>
    <t>2707 Virgil Street</t>
  </si>
  <si>
    <t>3623 Barquentine Court</t>
  </si>
  <si>
    <t>7085 Solano Drive</t>
  </si>
  <si>
    <t>2868 Central Avenue</t>
  </si>
  <si>
    <t>7959 Mt. Wilson Way</t>
  </si>
  <si>
    <t>5137 Pheasant Court</t>
  </si>
  <si>
    <t>2253 Firestone Dr.</t>
  </si>
  <si>
    <t>7396 Stratton Circle</t>
  </si>
  <si>
    <t>2075 Browse Ct</t>
  </si>
  <si>
    <t>3050 Monte Cresta Avenue</t>
  </si>
  <si>
    <t>5376 Sahara Drive</t>
  </si>
  <si>
    <t>5461 Camino Verde Ct.</t>
  </si>
  <si>
    <t>6683 Carrick Ct</t>
  </si>
  <si>
    <t>4357 Tosca Way</t>
  </si>
  <si>
    <t>7064 Cypress Ave</t>
  </si>
  <si>
    <t>5617 Landing Dr</t>
  </si>
  <si>
    <t>1440 Willow Pass Dr.</t>
  </si>
  <si>
    <t>1480 Shoenic</t>
  </si>
  <si>
    <t>3400 Folson Drive</t>
  </si>
  <si>
    <t>8772 Rock Creek Way</t>
  </si>
  <si>
    <t>9187 Vista Del Sol</t>
  </si>
  <si>
    <t>5271 Sierra Road</t>
  </si>
  <si>
    <t>40 Ellis St.</t>
  </si>
  <si>
    <t>5205 Coralie Drive</t>
  </si>
  <si>
    <t>4593 Mendouno Dr.</t>
  </si>
  <si>
    <t>9007 S Royal Links Circle</t>
  </si>
  <si>
    <t>7655 Greer Ave</t>
  </si>
  <si>
    <t>4079 Redbird Lane</t>
  </si>
  <si>
    <t>3268 Hazelwood Lane</t>
  </si>
  <si>
    <t>7062 Starflower Drive</t>
  </si>
  <si>
    <t>8603 Elmhurst Lane</t>
  </si>
  <si>
    <t>8869 Climbing Vine Court</t>
  </si>
  <si>
    <t>232 Pinnacle Drive</t>
  </si>
  <si>
    <t>4361 Loftus Road</t>
  </si>
  <si>
    <t>3177 Dover Way</t>
  </si>
  <si>
    <t>4381 Amazonas</t>
  </si>
  <si>
    <t>8827 Ward Court</t>
  </si>
  <si>
    <t>6203 Laurel Drive</t>
  </si>
  <si>
    <t>5562 Galindo Street</t>
  </si>
  <si>
    <t>3560 River Rock Lane</t>
  </si>
  <si>
    <t>8547 Catherine Way</t>
  </si>
  <si>
    <t>7633 Greenhills Circle</t>
  </si>
  <si>
    <t>1217 Mariposa</t>
  </si>
  <si>
    <t>2396 Mink Court</t>
  </si>
  <si>
    <t>3128 Ramsey Circle</t>
  </si>
  <si>
    <t>6179 Mt. Hamilton Dr.</t>
  </si>
  <si>
    <t>7118 Elliott Dr.</t>
  </si>
  <si>
    <t>6105 Brownstone Rd</t>
  </si>
  <si>
    <t>4343 Cook Street</t>
  </si>
  <si>
    <t>7122 Athene Dr.</t>
  </si>
  <si>
    <t>4426 Tanager Road</t>
  </si>
  <si>
    <t>7541 Black Point Pl</t>
  </si>
  <si>
    <t>8619 Parkside Dr.</t>
  </si>
  <si>
    <t>7375 Kipling Court</t>
  </si>
  <si>
    <t>4697 Yosemite Dr.</t>
  </si>
  <si>
    <t>8439 Rio Grande Drive</t>
  </si>
  <si>
    <t>6321 Maya</t>
  </si>
  <si>
    <t>419 Deermeadow Way</t>
  </si>
  <si>
    <t>9268 Keller Ridge</t>
  </si>
  <si>
    <t>1652 Willcrest Circle</t>
  </si>
  <si>
    <t>8119 Northridge Ct</t>
  </si>
  <si>
    <t>6951 Harmony Way</t>
  </si>
  <si>
    <t>2297 Via Valencia</t>
  </si>
  <si>
    <t>252 Hemlock Drive</t>
  </si>
  <si>
    <t>648 Newport Drive</t>
  </si>
  <si>
    <t>2476 Mt. Whitney Way</t>
  </si>
  <si>
    <t>6679 Cornelius Dr</t>
  </si>
  <si>
    <t>369 Peabody Road</t>
  </si>
  <si>
    <t>83 Mountain View Blvd</t>
  </si>
  <si>
    <t>7398 Withersed Lane</t>
  </si>
  <si>
    <t>9466 Morning Glory Dr.</t>
  </si>
  <si>
    <t>3407 Pinon Dr.</t>
  </si>
  <si>
    <t>1046 Cloverleaf Circle</t>
  </si>
  <si>
    <t>Roßstr 9938</t>
  </si>
  <si>
    <t>9075 Calle Verde</t>
  </si>
  <si>
    <t>1135 W St.</t>
  </si>
  <si>
    <t>Winterfeldtstr 255</t>
  </si>
  <si>
    <t xml:space="preserve"> rue du Départ</t>
  </si>
  <si>
    <t>7289 Brookview Dr.</t>
  </si>
  <si>
    <t>Buergermeister-ulrich-str 2987</t>
  </si>
  <si>
    <t xml:space="preserve"> avenue Reille</t>
  </si>
  <si>
    <t>2334 Brandywine Way</t>
  </si>
  <si>
    <t xml:space="preserve"> rue des Grands Champs</t>
  </si>
  <si>
    <t>6507 Fieldcrest Dr.</t>
  </si>
  <si>
    <t>5723 C Wharton Way</t>
  </si>
  <si>
    <t xml:space="preserve"> rue de l´Esplanade</t>
  </si>
  <si>
    <t>Attaché de Presse</t>
  </si>
  <si>
    <t>Viktoria-Luise-Platz 43</t>
  </si>
  <si>
    <t>Westheimer Straße 7606</t>
  </si>
  <si>
    <t>Brunnenstr 7566</t>
  </si>
  <si>
    <t>7280 Greendell Pl</t>
  </si>
  <si>
    <t>7113 Eastgate Ave.</t>
  </si>
  <si>
    <t xml:space="preserve"> impasse Ste-Madeleine</t>
  </si>
  <si>
    <t>1883 Cowell Rd.</t>
  </si>
  <si>
    <t>Dunckerstr 22525</t>
  </si>
  <si>
    <t>3545 Chickpea Ct.</t>
  </si>
  <si>
    <t>6613 Thornhill Place</t>
  </si>
  <si>
    <t>3245 Vista Oak Dr.</t>
  </si>
  <si>
    <t>6757 Pamplona Ct.</t>
  </si>
  <si>
    <t>7657 H St.</t>
  </si>
  <si>
    <t>3767 View Dr.</t>
  </si>
  <si>
    <t>6565 Jamie Way</t>
  </si>
  <si>
    <t>5312 Riverwood Circle</t>
  </si>
  <si>
    <t>3346 Larkwood Ct.</t>
  </si>
  <si>
    <t>4536 Killdeer Court</t>
  </si>
  <si>
    <t>8856 Mt. Wilson Way</t>
  </si>
  <si>
    <t>3118 Creekside Drive</t>
  </si>
  <si>
    <t>5795 Morning Glory Dr.</t>
  </si>
  <si>
    <t>598 Limeridge Drive</t>
  </si>
  <si>
    <t>4111 Vista Diablo</t>
  </si>
  <si>
    <t>3743 Grenadine Way</t>
  </si>
  <si>
    <t>6208 Prestwick Dr.</t>
  </si>
  <si>
    <t>24 San Vincente Drive</t>
  </si>
  <si>
    <t>Hellweg 4644</t>
  </si>
  <si>
    <t>Postfach 11 11 22</t>
  </si>
  <si>
    <t>5508 Glenmount Dr.</t>
  </si>
  <si>
    <t>9159 Shepberry Court</t>
  </si>
  <si>
    <t>Pappelallee 6667</t>
  </si>
  <si>
    <t>7445 Meaham Drive</t>
  </si>
  <si>
    <t xml:space="preserve"> rue de la Cavalerie</t>
  </si>
  <si>
    <t>Husemann Straße 6464</t>
  </si>
  <si>
    <t>6092 Chestnut</t>
  </si>
  <si>
    <t xml:space="preserve"> avenue Foch</t>
  </si>
  <si>
    <t xml:space="preserve"> rue Malar</t>
  </si>
  <si>
    <t>6834 Violetta</t>
  </si>
  <si>
    <t>Postfach 55 00 00</t>
  </si>
  <si>
    <t>507 Sahara Drive</t>
  </si>
  <si>
    <t>7028 San Gabriel Dr.</t>
  </si>
  <si>
    <t>Nollendorfplatz 48</t>
  </si>
  <si>
    <t xml:space="preserve"> boulevard Tremblay</t>
  </si>
  <si>
    <t>Am Grossen Dern 4624</t>
  </si>
  <si>
    <t>Königstr 282</t>
  </si>
  <si>
    <t xml:space="preserve"> avenue de l´ Union Centrale</t>
  </si>
  <si>
    <t>9186 West Boyd Rd.</t>
  </si>
  <si>
    <t>Rehstr 1346</t>
  </si>
  <si>
    <t>Zur Lindung 6</t>
  </si>
  <si>
    <t>8900 Escobar</t>
  </si>
  <si>
    <t xml:space="preserve"> avenue du Port</t>
  </si>
  <si>
    <t>3477 Mt. Washington Way</t>
  </si>
  <si>
    <t xml:space="preserve"> route de Marseille</t>
  </si>
  <si>
    <t xml:space="preserve"> place de la Concorde</t>
  </si>
  <si>
    <t xml:space="preserve"> boulevard d´Albi</t>
  </si>
  <si>
    <t>Berliner Platz 43</t>
  </si>
  <si>
    <t>Carlsplatz 89</t>
  </si>
  <si>
    <t xml:space="preserve"> rue de Terre Neuve</t>
  </si>
  <si>
    <t>Conesweg 720</t>
  </si>
  <si>
    <t>8132 Twincreek Ct</t>
  </si>
  <si>
    <t xml:space="preserve"> rue Georges-Clémenceau</t>
  </si>
  <si>
    <t xml:space="preserve"> avenue de la Gare</t>
  </si>
  <si>
    <t>Postenweg 2428</t>
  </si>
  <si>
    <t>Postfach 99 92 92</t>
  </si>
  <si>
    <t>8192 Seagull Court</t>
  </si>
  <si>
    <t>726 W. Buchanan Rd.</t>
  </si>
  <si>
    <t>Roßstr 5538</t>
  </si>
  <si>
    <t xml:space="preserve"> rue de Linois</t>
  </si>
  <si>
    <t>Zeiter Weg 7765</t>
  </si>
  <si>
    <t>9381 Alpine Rd.</t>
  </si>
  <si>
    <t xml:space="preserve"> rue Maillard</t>
  </si>
  <si>
    <t>Am Karlshof 2500</t>
  </si>
  <si>
    <t>8185 Sol Street</t>
  </si>
  <si>
    <t>Heidestieg Straße 8224</t>
  </si>
  <si>
    <t>Postfach 11 09 99</t>
  </si>
  <si>
    <t>3675 Palms Dr</t>
  </si>
  <si>
    <t>Herzogstr 328</t>
  </si>
  <si>
    <t>Holzstr 4222</t>
  </si>
  <si>
    <t>Marienplatz 56</t>
  </si>
  <si>
    <t xml:space="preserve"> rue de l'Espace De Schengen</t>
  </si>
  <si>
    <t>Hunzinger Allee 153</t>
  </si>
  <si>
    <t>Am Gallberg 94</t>
  </si>
  <si>
    <t xml:space="preserve"> rue Villedo</t>
  </si>
  <si>
    <t xml:space="preserve"> rue Montcalm</t>
  </si>
  <si>
    <t>638 Shangri-la Rd.</t>
  </si>
  <si>
    <t>Hüttenstr 9995</t>
  </si>
  <si>
    <t>6409 Buckthorn Court</t>
  </si>
  <si>
    <t>Alderstr 8642</t>
  </si>
  <si>
    <t xml:space="preserve"> rue Pierre-Demoulin</t>
  </si>
  <si>
    <t xml:space="preserve"> place de Fontenoy</t>
  </si>
  <si>
    <t xml:space="preserve"> place Beaubernard</t>
  </si>
  <si>
    <t xml:space="preserve"> rue des Vendangeurs</t>
  </si>
  <si>
    <t>9825 Mt. Dell Drive</t>
  </si>
  <si>
    <t>5357 Willow Drive</t>
  </si>
  <si>
    <t>977 Davona Drive</t>
  </si>
  <si>
    <t>3464 Chilpancingo Park</t>
  </si>
  <si>
    <t>618 Natalie Drive</t>
  </si>
  <si>
    <t>5444 Bohon Circle</t>
  </si>
  <si>
    <t>8468 Clifford Court</t>
  </si>
  <si>
    <t>7411 Crivello Avenue</t>
  </si>
  <si>
    <t>3255 Olive Hill</t>
  </si>
  <si>
    <t>5065 Maywood Lane</t>
  </si>
  <si>
    <t>9218 Old Mt. View Drive</t>
  </si>
  <si>
    <t>6782 First Ave</t>
  </si>
  <si>
    <t>6455 Garnet Lane</t>
  </si>
  <si>
    <t>6615 Camel Place</t>
  </si>
  <si>
    <t>811 Via Cordona</t>
  </si>
  <si>
    <t>9627 Kendall Rd</t>
  </si>
  <si>
    <t>5075 Reading Dr.</t>
  </si>
  <si>
    <t>7201 Elk Dr.</t>
  </si>
  <si>
    <t>3378 Coldwater Drive</t>
  </si>
  <si>
    <t>1328 Huntleigh Dr.</t>
  </si>
  <si>
    <t>6171 Golf Club Rd</t>
  </si>
  <si>
    <t>4187 Banbury Loop</t>
  </si>
  <si>
    <t>2710 Saddlehill Lane</t>
  </si>
  <si>
    <t>9719 Hamilton Ave</t>
  </si>
  <si>
    <t>8274 Gladstone Drive</t>
  </si>
  <si>
    <t>6045 Nightingale Drive</t>
  </si>
  <si>
    <t>Heidestieg Straße 8664</t>
  </si>
  <si>
    <t>7815 Driftwood Drive</t>
  </si>
  <si>
    <t xml:space="preserve"> rue Mazagran</t>
  </si>
  <si>
    <t>4092 Folson Drive</t>
  </si>
  <si>
    <t>8778 So. Silver Spring</t>
  </si>
  <si>
    <t>37 Amaranth Way</t>
  </si>
  <si>
    <t>Platz des Landtags 33</t>
  </si>
  <si>
    <t>Am Gallberg 46</t>
  </si>
  <si>
    <t>9684 La Vista Avenue</t>
  </si>
  <si>
    <t xml:space="preserve"> rue de l´Avenir</t>
  </si>
  <si>
    <t>Hauptstr 6057</t>
  </si>
  <si>
    <t>1644 Alicante Court</t>
  </si>
  <si>
    <t>Königstr 381</t>
  </si>
  <si>
    <t xml:space="preserve"> impasse Notre-Dame</t>
  </si>
  <si>
    <t>5456 Old Oak Drive</t>
  </si>
  <si>
    <t>3670 All Ways Drive</t>
  </si>
  <si>
    <t>70 Tobi Drive</t>
  </si>
  <si>
    <t>Reiherweg 5014</t>
  </si>
  <si>
    <t>6344 St Paul Way</t>
  </si>
  <si>
    <t>9627 N. Civic Drive</t>
  </si>
  <si>
    <t>Curieweg 3991</t>
  </si>
  <si>
    <t>5009 Grasswood Circle</t>
  </si>
  <si>
    <t>8874 Folson Drive</t>
  </si>
  <si>
    <t>4023 Jasper Court</t>
  </si>
  <si>
    <t>4438 Chrislend Court</t>
  </si>
  <si>
    <t>1005 Valley Oak Plaza</t>
  </si>
  <si>
    <t>7089 Monti Circle</t>
  </si>
  <si>
    <t>6878 Dublin</t>
  </si>
  <si>
    <t>9810 Rishell Ct.</t>
  </si>
  <si>
    <t>3427 B Wildbrook Ct.</t>
  </si>
  <si>
    <t>5684 San Marino Ct.</t>
  </si>
  <si>
    <t>2813 Dew Drop Circle</t>
  </si>
  <si>
    <t>2427 Pastime Dr</t>
  </si>
  <si>
    <t>1144 N. Jackson Way</t>
  </si>
  <si>
    <t>3989 Tice Valley Blvd.</t>
  </si>
  <si>
    <t>5989 Concord Ave</t>
  </si>
  <si>
    <t>2324 Cherry Street</t>
  </si>
  <si>
    <t>3481 Broadmoor Drive</t>
  </si>
  <si>
    <t>5780 Conifer Terrace</t>
  </si>
  <si>
    <t>8033 Danesta Dr.</t>
  </si>
  <si>
    <t>4679 Duke Way</t>
  </si>
  <si>
    <t>8826 Fine Drive</t>
  </si>
  <si>
    <t>8761 Dancing Court</t>
  </si>
  <si>
    <t>2747 Carmel Dr.</t>
  </si>
  <si>
    <t>9537 Ridgewood Drive</t>
  </si>
  <si>
    <t>8394 Lincoln Drive</t>
  </si>
  <si>
    <t>9052 Blue Ridge Dr</t>
  </si>
  <si>
    <t>3279 W 46th St</t>
  </si>
  <si>
    <t>2328 California Street</t>
  </si>
  <si>
    <t>8752 Greenway Drive</t>
  </si>
  <si>
    <t>869 Aspen Drive</t>
  </si>
  <si>
    <t>8160 Star Tree Court</t>
  </si>
  <si>
    <t>905 Johnson Road</t>
  </si>
  <si>
    <t>2932 Esperanza Dr</t>
  </si>
  <si>
    <t>3183 Trasher Road</t>
  </si>
  <si>
    <t>4851 Heights Ave.</t>
  </si>
  <si>
    <t>6437 Brookview Dr.</t>
  </si>
  <si>
    <t>3235 Mi Casa Court</t>
  </si>
  <si>
    <t>7665 Terrace Road</t>
  </si>
  <si>
    <t>2569 Webster Drive</t>
  </si>
  <si>
    <t>6024 Lacanda</t>
  </si>
  <si>
    <t>1024 Walnut Blvd.</t>
  </si>
  <si>
    <t>112 Kathleen Drive</t>
  </si>
  <si>
    <t>7615 Buena Vista</t>
  </si>
  <si>
    <t>2209 Sequoia Drive</t>
  </si>
  <si>
    <t>5545 Clemson Court</t>
  </si>
  <si>
    <t>Essener Straße 8</t>
  </si>
  <si>
    <t>522bis</t>
  </si>
  <si>
    <t xml:space="preserve"> rue des Peupliers</t>
  </si>
  <si>
    <t xml:space="preserve"> allée des Princes</t>
  </si>
  <si>
    <t>2381 Tupelo Drive</t>
  </si>
  <si>
    <t>5077 Bannock Ct.</t>
  </si>
  <si>
    <t xml:space="preserve"> avenue de l´Europe</t>
  </si>
  <si>
    <t>Heiderplatz 662</t>
  </si>
  <si>
    <t>6804 Coldwater Drive</t>
  </si>
  <si>
    <t>3663 A St.</t>
  </si>
  <si>
    <t>9557 Steven Circle</t>
  </si>
  <si>
    <t>5086 Nottingham Place</t>
  </si>
  <si>
    <t>Rotthäuser Weg 636</t>
  </si>
  <si>
    <t>7341 Rockne Drive</t>
  </si>
  <si>
    <t>Hüttenstr 7005</t>
  </si>
  <si>
    <t>Nonnendamm 22</t>
  </si>
  <si>
    <t>1547 Larkwood Ct.</t>
  </si>
  <si>
    <t>Heiderweg 4982</t>
  </si>
  <si>
    <t>4408 Trinity Ave.</t>
  </si>
  <si>
    <t xml:space="preserve"> boulevard du Montparnasse</t>
  </si>
  <si>
    <t>Klara Straße 8463</t>
  </si>
  <si>
    <t>7246 Gloria Terr.</t>
  </si>
  <si>
    <t>1629 Queens Road</t>
  </si>
  <si>
    <t>Zimmerstr 137</t>
  </si>
  <si>
    <t xml:space="preserve"> rue du Puits Dixme</t>
  </si>
  <si>
    <t xml:space="preserve"> rue Basse-du-Rocher</t>
  </si>
  <si>
    <t>7469 Paradise Ct.</t>
  </si>
  <si>
    <t>7390 Discovery Bay</t>
  </si>
  <si>
    <t>2109 Mt. Washington</t>
  </si>
  <si>
    <t>6788 Edward Ave</t>
  </si>
  <si>
    <t xml:space="preserve"> place de la République</t>
  </si>
  <si>
    <t>3626 N Ranchford Court</t>
  </si>
  <si>
    <t>9113 Flamingo Dr.</t>
  </si>
  <si>
    <t xml:space="preserve"> rue de la Centenaire</t>
  </si>
  <si>
    <t xml:space="preserve"> rue de Cambrai</t>
  </si>
  <si>
    <t xml:space="preserve"> rue de la Comédie</t>
  </si>
  <si>
    <t>Buergermeister-ulrich-str 5</t>
  </si>
  <si>
    <t>6124 Clayton Road</t>
  </si>
  <si>
    <t>2348 Fruitwood</t>
  </si>
  <si>
    <t xml:space="preserve"> rue Royale</t>
  </si>
  <si>
    <t>Höhenstr 9419</t>
  </si>
  <si>
    <t>9100 Main Street</t>
  </si>
  <si>
    <t>Holzstr 6444</t>
  </si>
  <si>
    <t>Am Gallberg 645</t>
  </si>
  <si>
    <t>1538 Golden Meadow</t>
  </si>
  <si>
    <t>6543 Jacobsen Street</t>
  </si>
  <si>
    <t>Auf den Kuhlen Straße 9</t>
  </si>
  <si>
    <t xml:space="preserve"> rue des Rosiers</t>
  </si>
  <si>
    <t xml:space="preserve"> rue Descartes</t>
  </si>
  <si>
    <t>2877 Bounty Way</t>
  </si>
  <si>
    <t>4519 Lydia Lane</t>
  </si>
  <si>
    <t xml:space="preserve"> rue Faubourg St Antoine</t>
  </si>
  <si>
    <t>2411 Clark Creek Lane</t>
  </si>
  <si>
    <t>Hunzinger Allee 292</t>
  </si>
  <si>
    <t>Nollendorfplatz 62</t>
  </si>
  <si>
    <t>5717 Monterey Ave</t>
  </si>
  <si>
    <t>3728 Chinquapin Ct.</t>
  </si>
  <si>
    <t>6616 Baird Court</t>
  </si>
  <si>
    <t>9145 Danesta Dr.</t>
  </si>
  <si>
    <t>3230 Virginia Hills</t>
  </si>
  <si>
    <t>7285 Roanwood Way</t>
  </si>
  <si>
    <t>8120 E Leland</t>
  </si>
  <si>
    <t>8520 Waterview Place</t>
  </si>
  <si>
    <t>4117 Missing Canyon Court</t>
  </si>
  <si>
    <t>5462 El Pintado Rd.</t>
  </si>
  <si>
    <t>9734 Jane Ct.</t>
  </si>
  <si>
    <t>3588 Vancouver Way</t>
  </si>
  <si>
    <t>4833 Nottingham Pl.</t>
  </si>
  <si>
    <t>4088 Mills Place</t>
  </si>
  <si>
    <t>7501 Sandy Cove Lane</t>
  </si>
  <si>
    <t>418 Alfred Avenue</t>
  </si>
  <si>
    <t>6200 Mt. Pisgah</t>
  </si>
  <si>
    <t>346 Sutcliffe Pl.</t>
  </si>
  <si>
    <t>8307 Monument Blvd.</t>
  </si>
  <si>
    <t>2240 Inverness Dr.</t>
  </si>
  <si>
    <t>3767 Banana Court</t>
  </si>
  <si>
    <t>752 Shuey Ave</t>
  </si>
  <si>
    <t>3767 Benet Court</t>
  </si>
  <si>
    <t>4059 High Street</t>
  </si>
  <si>
    <t>8885 Alta Vista</t>
  </si>
  <si>
    <t>3797 Baird Court</t>
  </si>
  <si>
    <t>3441 Wellington Ct.</t>
  </si>
  <si>
    <t>316 Rose Ann Ave</t>
  </si>
  <si>
    <t>7347 Ready Road</t>
  </si>
  <si>
    <t>9976 Manila Avenue</t>
  </si>
  <si>
    <t>6580 Poor Ridge Court</t>
  </si>
  <si>
    <t>589 Ashwood Dr.</t>
  </si>
  <si>
    <t>4414 Kendree St.</t>
  </si>
  <si>
    <t>6289 Duck Horn Court</t>
  </si>
  <si>
    <t>3824 White Dr</t>
  </si>
  <si>
    <t>2500 Ward Court</t>
  </si>
  <si>
    <t>9668 Fieldbrook Pl</t>
  </si>
  <si>
    <t>3152 Woodcrest Drive</t>
  </si>
  <si>
    <t>5278 Mill Road</t>
  </si>
  <si>
    <t>4221 Birch Bark Road</t>
  </si>
  <si>
    <t>7494 Sunset Circle</t>
  </si>
  <si>
    <t>9825 Coralie Drive</t>
  </si>
  <si>
    <t>9350 Mt. Hood Circle</t>
  </si>
  <si>
    <t>4912 Mellowood Street</t>
  </si>
  <si>
    <t>2458 Blocking Ct.</t>
  </si>
  <si>
    <t>4909 Vine Lane</t>
  </si>
  <si>
    <t>447 Barberry Court</t>
  </si>
  <si>
    <t>3796 Peachwillow</t>
  </si>
  <si>
    <t>6751 Yosemite Ct.</t>
  </si>
  <si>
    <t>8914 Jam Way</t>
  </si>
  <si>
    <t>7119 Iowa Drive</t>
  </si>
  <si>
    <t>1245 Clay Road</t>
  </si>
  <si>
    <t>1978 Medina Dr.</t>
  </si>
  <si>
    <t>3495 Virginia Lane</t>
  </si>
  <si>
    <t>2326 MountainAire Parkway</t>
  </si>
  <si>
    <t>8874 Dallis Drive</t>
  </si>
  <si>
    <t>1386 Fillet Ave.</t>
  </si>
  <si>
    <t>2093 Dubhe Court</t>
  </si>
  <si>
    <t>1168 Escobar</t>
  </si>
  <si>
    <t>5571 Crawford</t>
  </si>
  <si>
    <t>970 Pheasant Circle</t>
  </si>
  <si>
    <t>189 Richview Dr</t>
  </si>
  <si>
    <t>4778 Geary Road</t>
  </si>
  <si>
    <t>6453 Castle Hill Road</t>
  </si>
  <si>
    <t>7755 West Road</t>
  </si>
  <si>
    <t>1433 C Mt. Hood Crest</t>
  </si>
  <si>
    <t>5715 5th Ave.</t>
  </si>
  <si>
    <t>1052 Stanford Street</t>
  </si>
  <si>
    <t>4024 Calhoun Court</t>
  </si>
  <si>
    <t>4769 Book Ct</t>
  </si>
  <si>
    <t>4895 Hickory Drive</t>
  </si>
  <si>
    <t>3889 Castle Hill Road</t>
  </si>
  <si>
    <t>7675 Moss Hollow Court</t>
  </si>
  <si>
    <t>4091 Hill Meadow Pl.</t>
  </si>
  <si>
    <t>5629 Seagull Court</t>
  </si>
  <si>
    <t>24 Roslyn Drive</t>
  </si>
  <si>
    <t>2150 Pershing Dr</t>
  </si>
  <si>
    <t>9063 Vista Aven.</t>
  </si>
  <si>
    <t>4453 Bannock Ct.</t>
  </si>
  <si>
    <t>8910 Hilltop Road</t>
  </si>
  <si>
    <t>5905 Hawthorne Dr.</t>
  </si>
  <si>
    <t>265 Jeff Ct</t>
  </si>
  <si>
    <t>7796 Adobe Drive</t>
  </si>
  <si>
    <t>4315 Glenside Ct.</t>
  </si>
  <si>
    <t>3249 E Leland</t>
  </si>
  <si>
    <t>3570 Book Ct</t>
  </si>
  <si>
    <t>2107 Cardinal</t>
  </si>
  <si>
    <t>4668 Chilpancingo Park</t>
  </si>
  <si>
    <t>6337 Margo Drive</t>
  </si>
  <si>
    <t>4171 Miller Avenue</t>
  </si>
  <si>
    <t>3064 Fern Leaf Lane</t>
  </si>
  <si>
    <t>1064 William Way</t>
  </si>
  <si>
    <t>7085 Valley Run</t>
  </si>
  <si>
    <t>5609 Gary Drive</t>
  </si>
  <si>
    <t>8085 Grasswood Ct</t>
  </si>
  <si>
    <t>263 La Orinda Pl.</t>
  </si>
  <si>
    <t>16 White Pl.</t>
  </si>
  <si>
    <t>4417 W. Watson Court</t>
  </si>
  <si>
    <t>5543 Hamilton Ave.</t>
  </si>
  <si>
    <t>6779 Willcrest Circle</t>
  </si>
  <si>
    <t>9531 Lancaster</t>
  </si>
  <si>
    <t>4836 Marina</t>
  </si>
  <si>
    <t>2935 Pine Creek Way</t>
  </si>
  <si>
    <t>2850 D Bel Air Dr</t>
  </si>
  <si>
    <t>9671 Leewood Place</t>
  </si>
  <si>
    <t>4195 San Paolo</t>
  </si>
  <si>
    <t>613 Glen Wood Drive</t>
  </si>
  <si>
    <t>4848 Azalea Ave.</t>
  </si>
  <si>
    <t>2033 Woodbury Place</t>
  </si>
  <si>
    <t>4685 York Dr</t>
  </si>
  <si>
    <t>2078 Jennifer Way</t>
  </si>
  <si>
    <t>5087 Bonita Ave.</t>
  </si>
  <si>
    <t>1895 San Carlos Ave.</t>
  </si>
  <si>
    <t>6062 Mota Dr.</t>
  </si>
  <si>
    <t>8850 Thunderbird Drive</t>
  </si>
  <si>
    <t>664 Book Pl</t>
  </si>
  <si>
    <t>1536 Camino Verde Ct.</t>
  </si>
  <si>
    <t>3181 Hacienda</t>
  </si>
  <si>
    <t>1229 Apollo Way</t>
  </si>
  <si>
    <t>7706 California St.</t>
  </si>
  <si>
    <t>8243 Gilardy Drive</t>
  </si>
  <si>
    <t>6933 Sutton Circle</t>
  </si>
  <si>
    <t>5793 West Road</t>
  </si>
  <si>
    <t>6344 Dartmouth Way</t>
  </si>
  <si>
    <t>3508 Canning Road</t>
  </si>
  <si>
    <t>5940 Dleta Road</t>
  </si>
  <si>
    <t>6339 E. 108th Street</t>
  </si>
  <si>
    <t>3345 Macaroon Drive</t>
  </si>
  <si>
    <t>733 Eaker Way</t>
  </si>
  <si>
    <t>7121 Oakleaf Ct.</t>
  </si>
  <si>
    <t>1315 Norse Drive</t>
  </si>
  <si>
    <t>5524 Virgil St</t>
  </si>
  <si>
    <t>2681 Black Walnut Ct.</t>
  </si>
  <si>
    <t>1872 Walnut Avenue</t>
  </si>
  <si>
    <t>7551 Santa Lucia</t>
  </si>
  <si>
    <t>452 Rain Drop Circle</t>
  </si>
  <si>
    <t>4921 Oakwood Circle</t>
  </si>
  <si>
    <t>9893 Hastings Dr</t>
  </si>
  <si>
    <t>3544 Brush Creek Drive</t>
  </si>
  <si>
    <t>5917 Panoramic Avenue</t>
  </si>
  <si>
    <t>6969 Eaker Way</t>
  </si>
  <si>
    <t>6312 San Ramon Road</t>
  </si>
  <si>
    <t>4173 Willow Pass Road</t>
  </si>
  <si>
    <t>1159 Lacassie Ave</t>
  </si>
  <si>
    <t>8461 Everett Ct</t>
  </si>
  <si>
    <t>5613 Gary Drive</t>
  </si>
  <si>
    <t>1439 N. Michell Canyon Road</t>
  </si>
  <si>
    <t>1060 Mcelroy Court</t>
  </si>
  <si>
    <t>8250 11th Avenue</t>
  </si>
  <si>
    <t>4642 Peabody Road</t>
  </si>
  <si>
    <t>1671 Via Del Verdes</t>
  </si>
  <si>
    <t>6489 Kentucky Drive</t>
  </si>
  <si>
    <t>7962 Macalvey Drive</t>
  </si>
  <si>
    <t>5551 Silverado Dr.</t>
  </si>
  <si>
    <t>6082 Trafalgar Circle</t>
  </si>
  <si>
    <t>4996 Hillview Drive</t>
  </si>
  <si>
    <t>1721 Concord Blvd</t>
  </si>
  <si>
    <t>8125 Westbury Drive</t>
  </si>
  <si>
    <t>8970 Cash Avenue</t>
  </si>
  <si>
    <t>1019 Chance Drive</t>
  </si>
  <si>
    <t>1058 Park Blvd.</t>
  </si>
  <si>
    <t>3459 Tri-state Ave</t>
  </si>
  <si>
    <t>4239 Water St.</t>
  </si>
  <si>
    <t>9834 Hamlet</t>
  </si>
  <si>
    <t>9024 Dumbarton Drive</t>
  </si>
  <si>
    <t>6648 Choctaw Court</t>
  </si>
  <si>
    <t>4956 Vista Del Diablo</t>
  </si>
  <si>
    <t>2391 St. Peter Court</t>
  </si>
  <si>
    <t>6096 Pheasant Circle</t>
  </si>
  <si>
    <t>6538 Camelback Road</t>
  </si>
  <si>
    <t>571 Lafayette Drive</t>
  </si>
  <si>
    <t>6615 Cambelback Place</t>
  </si>
  <si>
    <t>5446 N. Civic Dr.</t>
  </si>
  <si>
    <t>879 Hillview Ct</t>
  </si>
  <si>
    <t>1480 Oliveria Road</t>
  </si>
  <si>
    <t>5375 Clearland Circle</t>
  </si>
  <si>
    <t>4303 Athene Drive</t>
  </si>
  <si>
    <t>9348 Notre Dame Ave</t>
  </si>
  <si>
    <t>4143 Heather Pl.</t>
  </si>
  <si>
    <t>1519 Sheffield Place</t>
  </si>
  <si>
    <t>4593 Camino Peral</t>
  </si>
  <si>
    <t>8998 Katharyn Drive</t>
  </si>
  <si>
    <t>4073 Niagara Court</t>
  </si>
  <si>
    <t>627 La Salle Street</t>
  </si>
  <si>
    <t>3553 Grant Street</t>
  </si>
  <si>
    <t>5450 Bellows Ct.</t>
  </si>
  <si>
    <t>5407 Cougar Way</t>
  </si>
  <si>
    <t>1500 Grant Street</t>
  </si>
  <si>
    <t>1086 Ash Lane</t>
  </si>
  <si>
    <t>751 Countrywood Ct.</t>
  </si>
  <si>
    <t>1289 Quigley St.</t>
  </si>
  <si>
    <t>7095 Curletto Dr.</t>
  </si>
  <si>
    <t>1617 Crossbow Way</t>
  </si>
  <si>
    <t>3997 Via De Luna</t>
  </si>
  <si>
    <t>1102 Ravenwood</t>
  </si>
  <si>
    <t>3327 Rockridge Dr.</t>
  </si>
  <si>
    <t>8069 Vine Hill Way</t>
  </si>
  <si>
    <t>5929 William Reed Dr.</t>
  </si>
  <si>
    <t>4010 Willow Pass Road</t>
  </si>
  <si>
    <t>6264 Center Ave</t>
  </si>
  <si>
    <t>8873 Folson Drive</t>
  </si>
  <si>
    <t>6569 Endriss</t>
  </si>
  <si>
    <t>5935 Seawind Dr.</t>
  </si>
  <si>
    <t>6091 Bluefish Lane</t>
  </si>
  <si>
    <t>6752 Covington Court</t>
  </si>
  <si>
    <t>7342 Dew Drop Circle</t>
  </si>
  <si>
    <t>5269 Mt. Trinity Court</t>
  </si>
  <si>
    <t>3836 Carletto Drive</t>
  </si>
  <si>
    <t>8122 Mink Court</t>
  </si>
  <si>
    <t>6986 Ida Ave.</t>
  </si>
  <si>
    <t>971 Harness Circle</t>
  </si>
  <si>
    <t>3426 Calhoun Court</t>
  </si>
  <si>
    <t>5049 Teakwood Dr.</t>
  </si>
  <si>
    <t>3789 Linden Lane</t>
  </si>
  <si>
    <t>1592 Working Drive</t>
  </si>
  <si>
    <t>7947 Stillman Court</t>
  </si>
  <si>
    <t>80 Mozden Lane</t>
  </si>
  <si>
    <t>761 Orchard View Ave.</t>
  </si>
  <si>
    <t>9271 Prestwick Ave.</t>
  </si>
  <si>
    <t>9240 Limewood Pl.</t>
  </si>
  <si>
    <t>4594 Hill Drive</t>
  </si>
  <si>
    <t>7164 Pinncale Drive</t>
  </si>
  <si>
    <t>4678 Ygnacio Valley Road</t>
  </si>
  <si>
    <t>9249 Martin St</t>
  </si>
  <si>
    <t>1442 Hill Top Rd</t>
  </si>
  <si>
    <t>4080 Pelican Loop</t>
  </si>
  <si>
    <t>3797 Concord Royale</t>
  </si>
  <si>
    <t>7166 Brock Lane</t>
  </si>
  <si>
    <t>2751 Trail Way</t>
  </si>
  <si>
    <t>8004 Water Street</t>
  </si>
  <si>
    <t>6848 Calico Way</t>
  </si>
  <si>
    <t>1345 Prospect Street</t>
  </si>
  <si>
    <t>8866 Alpha Way</t>
  </si>
  <si>
    <t>7537 Clark Creek Lane</t>
  </si>
  <si>
    <t>1575 Brown Street</t>
  </si>
  <si>
    <t>4107 St. Raphael Drive</t>
  </si>
  <si>
    <t>9175 Benton Street</t>
  </si>
  <si>
    <t>8005 Ranchhand Court</t>
  </si>
  <si>
    <t>9322 Driving Drive</t>
  </si>
  <si>
    <t>8362 Abbey Court</t>
  </si>
  <si>
    <t>591 Laguna Street</t>
  </si>
  <si>
    <t>9212 Tupelo Drive</t>
  </si>
  <si>
    <t>1439 N. Canyon Road</t>
  </si>
  <si>
    <t>2894 Encino Dr.</t>
  </si>
  <si>
    <t>6282 Mcneil Place</t>
  </si>
  <si>
    <t>1218 Woodside Court</t>
  </si>
  <si>
    <t>4268 Weaver Court</t>
  </si>
  <si>
    <t>1613 Santa Maria</t>
  </si>
  <si>
    <t>3815 Berry Dr.</t>
  </si>
  <si>
    <t>6375 Freda Drive</t>
  </si>
  <si>
    <t>4188 Green Valley Road</t>
  </si>
  <si>
    <t>1141 Rolling Hill Way</t>
  </si>
  <si>
    <t>4176 Cotton Ct</t>
  </si>
  <si>
    <t>302 Briarcliff Ct.</t>
  </si>
  <si>
    <t>5373 Montgomery Ave.</t>
  </si>
  <si>
    <t>27 Athens Circle</t>
  </si>
  <si>
    <t>8541 Summerfield Drive</t>
  </si>
  <si>
    <t>5784 Yeoman Dr.</t>
  </si>
  <si>
    <t>9037 Saddlehill Lane</t>
  </si>
  <si>
    <t>2524 Fish Dr</t>
  </si>
  <si>
    <t>8998 Adobe Drive</t>
  </si>
  <si>
    <t>2880 Ponderosa Dr.</t>
  </si>
  <si>
    <t>5622 Geary</t>
  </si>
  <si>
    <t>2328 Sand View Way</t>
  </si>
  <si>
    <t>4461 Centennial Way</t>
  </si>
  <si>
    <t>7111 Concord Ct.</t>
  </si>
  <si>
    <t>8656 Lakespring Place</t>
  </si>
  <si>
    <t>2111 Ringing Dr</t>
  </si>
  <si>
    <t>8129 Golden Rain</t>
  </si>
  <si>
    <t>3098 Eastgate Ave</t>
  </si>
  <si>
    <t>3213 Glenside Dr</t>
  </si>
  <si>
    <t>1681 Via Estrella</t>
  </si>
  <si>
    <t>4166 Deercreek Ln.</t>
  </si>
  <si>
    <t>5553 Cash Avenue</t>
  </si>
  <si>
    <t>8851 Northridge Dr.</t>
  </si>
  <si>
    <t>9478 Rheem Dr.</t>
  </si>
  <si>
    <t>9377 Ash Lane</t>
  </si>
  <si>
    <t>9935 San Carlos Avenue</t>
  </si>
  <si>
    <t>4002 Fawn Glen Circle</t>
  </si>
  <si>
    <t>3917 Catalpa Court</t>
  </si>
  <si>
    <t>8991 Olivera</t>
  </si>
  <si>
    <t>1225 Santa Lucia</t>
  </si>
  <si>
    <t>5742 Curtis Drive</t>
  </si>
  <si>
    <t>1069 Central Blvd.</t>
  </si>
  <si>
    <t>4938 Nightingale Drive</t>
  </si>
  <si>
    <t>9481 Laguna Street</t>
  </si>
  <si>
    <t>8839 Leonard Dr</t>
  </si>
  <si>
    <t>7484 Roundtree Drive</t>
  </si>
  <si>
    <t>7413 Alpine Drive</t>
  </si>
  <si>
    <t>4159 Bayshore Rd.</t>
  </si>
  <si>
    <t>5108 Heights Avenue</t>
  </si>
  <si>
    <t>1861 Chinquapin Ct</t>
  </si>
  <si>
    <t>7867 F Mt Hood Circle</t>
  </si>
  <si>
    <t>6672 Mt. Dias Blvd.</t>
  </si>
  <si>
    <t>5087 Valle Vista Avenue</t>
  </si>
  <si>
    <t>8205 Soto St.</t>
  </si>
  <si>
    <t>7783 Limewood Pl</t>
  </si>
  <si>
    <t>4373 Sherry Circle</t>
  </si>
  <si>
    <t>2939 West Ct.</t>
  </si>
  <si>
    <t>3704 Elliott Dr.</t>
  </si>
  <si>
    <t>9855 Norse Ct.</t>
  </si>
  <si>
    <t>2389 E Eagle Peak Rd.</t>
  </si>
  <si>
    <t>6468 Gatewood Court</t>
  </si>
  <si>
    <t>609 Power Ave.</t>
  </si>
  <si>
    <t>7468 Franklin Canyon Road</t>
  </si>
  <si>
    <t>8487 Amador</t>
  </si>
  <si>
    <t>7566 Keller Ridge Dr.</t>
  </si>
  <si>
    <t>2121 Royal Ann Lane</t>
  </si>
  <si>
    <t>9246 Westminster Pl</t>
  </si>
  <si>
    <t>7546 Gonzalez Ct.</t>
  </si>
  <si>
    <t>9911 Northgate Road</t>
  </si>
  <si>
    <t>9377 Lightwood Drive</t>
  </si>
  <si>
    <t>5843 Mountaire Pkwy.</t>
  </si>
  <si>
    <t>9001 Esperanza</t>
  </si>
  <si>
    <t>8510 G St.</t>
  </si>
  <si>
    <t>3842 Algiers Dr.</t>
  </si>
  <si>
    <t>9105 Jacobsen Street</t>
  </si>
  <si>
    <t>9231 Brook Hollow Ct.</t>
  </si>
  <si>
    <t>626 Redlands Way</t>
  </si>
  <si>
    <t>80 San Remo Ct</t>
  </si>
  <si>
    <t>1318 Ramer Ct.</t>
  </si>
  <si>
    <t>6335 Benita Way</t>
  </si>
  <si>
    <t>1901 Mitchell Canyon Court</t>
  </si>
  <si>
    <t>3809 Lancelot Dr.</t>
  </si>
  <si>
    <t>8268 Donald Dr</t>
  </si>
  <si>
    <t>2013 Filling Ave.</t>
  </si>
  <si>
    <t>1657 Morengo Ct.</t>
  </si>
  <si>
    <t>1127 Oak Street</t>
  </si>
  <si>
    <t>8762 Terrace</t>
  </si>
  <si>
    <t>4693 Mills Dr.</t>
  </si>
  <si>
    <t>445 San Carlos Avenue</t>
  </si>
  <si>
    <t>1220 Bradford Way</t>
  </si>
  <si>
    <t>6991 Gloria Terr.</t>
  </si>
  <si>
    <t>844 Sol Street</t>
  </si>
  <si>
    <t>8426 Kendall Rd.</t>
  </si>
  <si>
    <t>6746 River Ash Court</t>
  </si>
  <si>
    <t>117 Esperanza Dr</t>
  </si>
  <si>
    <t>6612 Concord</t>
  </si>
  <si>
    <t>6318 Merriewood Dr.</t>
  </si>
  <si>
    <t>9024 Grant Street</t>
  </si>
  <si>
    <t>2355 Regina Lane</t>
  </si>
  <si>
    <t>5652 East View Place</t>
  </si>
  <si>
    <t>1174 Royal Ann Lane</t>
  </si>
  <si>
    <t>1730 D Reliez Valley Ct.</t>
  </si>
  <si>
    <t>4799 Buena Vista</t>
  </si>
  <si>
    <t>6577 La Canada</t>
  </si>
  <si>
    <t>2140 Clifford Court</t>
  </si>
  <si>
    <t>2578 Welle Road</t>
  </si>
  <si>
    <t>6730 Saddlehill Lane</t>
  </si>
  <si>
    <t>927 Live Oak Ave.</t>
  </si>
  <si>
    <t>112 RaceCt</t>
  </si>
  <si>
    <t>8540 Ravenwood Dr.</t>
  </si>
  <si>
    <t>1993 South Villa Way</t>
  </si>
  <si>
    <t>598 Merry Drive</t>
  </si>
  <si>
    <t>2544 Ashley Way</t>
  </si>
  <si>
    <t>1374 Queens Road</t>
  </si>
  <si>
    <t>9234 Carmel Drive</t>
  </si>
  <si>
    <t>7629 Bonanza</t>
  </si>
  <si>
    <t>341 Victory Lane</t>
  </si>
  <si>
    <t>6754 Pampered Ct.</t>
  </si>
  <si>
    <t>6501 West Way</t>
  </si>
  <si>
    <t>4164 Kenneth Ct.</t>
  </si>
  <si>
    <t>2546 Crowe Place</t>
  </si>
  <si>
    <t>4594 Rose Dr.</t>
  </si>
  <si>
    <t>6772 Geraldine Dr.</t>
  </si>
  <si>
    <t>4095 Minert Rd.</t>
  </si>
  <si>
    <t>1088 Ash Lane</t>
  </si>
  <si>
    <t>198 Edie Ct.</t>
  </si>
  <si>
    <t>3410 Hemlock Ave.</t>
  </si>
  <si>
    <t>4766 Palm Ave</t>
  </si>
  <si>
    <t>9135 Rockford Dr.</t>
  </si>
  <si>
    <t>2599 Amaranth Way</t>
  </si>
  <si>
    <t>4681 Deerfield Dr.</t>
  </si>
  <si>
    <t>6828 Willow Pass Road</t>
  </si>
  <si>
    <t>1641 Overhill Rd</t>
  </si>
  <si>
    <t>7177 Santa Rosa</t>
  </si>
  <si>
    <t>SalesOrderNumber</t>
  </si>
  <si>
    <t>SalesOrderLine</t>
  </si>
  <si>
    <t>PaymentTypeDesc</t>
  </si>
  <si>
    <t>CustInfo</t>
  </si>
  <si>
    <t>CustRecordId</t>
  </si>
  <si>
    <t>PromoRecordId</t>
  </si>
  <si>
    <t>Promotable</t>
  </si>
  <si>
    <t>Generate incremental and sequential ids starting from 1 for each row</t>
  </si>
  <si>
    <t>salesorderline</t>
  </si>
  <si>
    <t>Qty  * Price</t>
  </si>
  <si>
    <t>TotalAmountWithDiscount</t>
  </si>
  <si>
    <t>Apply the discount as per applicable promotion</t>
  </si>
  <si>
    <t>TotalAmountWithDiscount * VatPercentage</t>
  </si>
  <si>
    <t>TotalOrderAmount</t>
  </si>
  <si>
    <t>BookDateKey</t>
  </si>
  <si>
    <t>ShippedDateKey</t>
  </si>
  <si>
    <t>DeliveredKey</t>
  </si>
  <si>
    <t>promotable</t>
  </si>
  <si>
    <t>SalesOrderLineRecordId</t>
  </si>
  <si>
    <t>TotalAmountWithDiscount + VatAmount</t>
  </si>
  <si>
    <t>silver.dimpaymenttypes</t>
  </si>
  <si>
    <t>bronze.currency</t>
  </si>
  <si>
    <t>NULL</t>
  </si>
  <si>
    <t>320-555-0195</t>
  </si>
  <si>
    <t>Guy Gilbert</t>
  </si>
  <si>
    <t>150-555-0189</t>
  </si>
  <si>
    <t>Kevin Brown</t>
  </si>
  <si>
    <t>Marketing</t>
  </si>
  <si>
    <t>212-555-0187</t>
  </si>
  <si>
    <t>Roberto Tamburello</t>
  </si>
  <si>
    <t>612-555-0100</t>
  </si>
  <si>
    <t>Rob Walters</t>
  </si>
  <si>
    <t>168-555-0183</t>
  </si>
  <si>
    <t>Thierry D'Hers</t>
  </si>
  <si>
    <t>913-555-0172</t>
  </si>
  <si>
    <t>David Bradley</t>
  </si>
  <si>
    <t>903-555-0145</t>
  </si>
  <si>
    <t>JoLynn Dobney</t>
  </si>
  <si>
    <t>145-555-0130</t>
  </si>
  <si>
    <t>Ruth Ellerbrock</t>
  </si>
  <si>
    <t>849-555-0139</t>
  </si>
  <si>
    <t>Gail Erickson</t>
  </si>
  <si>
    <t>206-555-0180</t>
  </si>
  <si>
    <t>Barry Johnson</t>
  </si>
  <si>
    <t>122-555-0189</t>
  </si>
  <si>
    <t>Jossef Goldberg</t>
  </si>
  <si>
    <t>819-555-0175</t>
  </si>
  <si>
    <t>Terri Duffy</t>
  </si>
  <si>
    <t>424-555-0189</t>
  </si>
  <si>
    <t>Sidney Higa</t>
  </si>
  <si>
    <t>508-555-0165</t>
  </si>
  <si>
    <t>Taylor Maxwell</t>
  </si>
  <si>
    <t>984-555-0185</t>
  </si>
  <si>
    <t>Jeffrey Ford</t>
  </si>
  <si>
    <t>632-555-0129</t>
  </si>
  <si>
    <t>Jo Brown</t>
  </si>
  <si>
    <t>328-555-0150</t>
  </si>
  <si>
    <t>Doris Hartwig</t>
  </si>
  <si>
    <t>435-555-0113</t>
  </si>
  <si>
    <t>John Campbell</t>
  </si>
  <si>
    <t>202-555-0151</t>
  </si>
  <si>
    <t>Diane Glimp</t>
  </si>
  <si>
    <t>925-555-0114</t>
  </si>
  <si>
    <t>Steven Selikoff</t>
  </si>
  <si>
    <t>913-555-0196</t>
  </si>
  <si>
    <t>Peter Krebs</t>
  </si>
  <si>
    <t>413-555-0136</t>
  </si>
  <si>
    <t>Stuart Munson</t>
  </si>
  <si>
    <t>332-555-0150</t>
  </si>
  <si>
    <t>Greg Alderson</t>
  </si>
  <si>
    <t>166-555-0162</t>
  </si>
  <si>
    <t>David Johnson</t>
  </si>
  <si>
    <t>113-555-0173</t>
  </si>
  <si>
    <t>Zheng Mu</t>
  </si>
  <si>
    <t>115-555-0179</t>
  </si>
  <si>
    <t>Ivo Salmre</t>
  </si>
  <si>
    <t>147-555-0160</t>
  </si>
  <si>
    <t>Paul Komosinski</t>
  </si>
  <si>
    <t>656-555-0119</t>
  </si>
  <si>
    <t>Ashvini Sharma</t>
  </si>
  <si>
    <t>138-555-0128</t>
  </si>
  <si>
    <t>Kendall Keil</t>
  </si>
  <si>
    <t>523-555-0175</t>
  </si>
  <si>
    <t>Paula Barreto de Mattos</t>
  </si>
  <si>
    <t>668-555-0130</t>
  </si>
  <si>
    <t>Alejandro McGuel</t>
  </si>
  <si>
    <t>Garrett Young</t>
  </si>
  <si>
    <t>952-555-0178</t>
  </si>
  <si>
    <t>Jian Shuo Wang</t>
  </si>
  <si>
    <t>943-555-0196</t>
  </si>
  <si>
    <t>Susan Eaton</t>
  </si>
  <si>
    <t>937-555-0137</t>
  </si>
  <si>
    <t>Vamsi Kuppa</t>
  </si>
  <si>
    <t>333-555-0173</t>
  </si>
  <si>
    <t>Alice Ciccu</t>
  </si>
  <si>
    <t>963-555-0134</t>
  </si>
  <si>
    <t>Simon Rapier</t>
  </si>
  <si>
    <t>794-555-0159</t>
  </si>
  <si>
    <t>Jinghao Liu</t>
  </si>
  <si>
    <t>218-555-0126</t>
  </si>
  <si>
    <t>Michael Hines</t>
  </si>
  <si>
    <t>286-555-0189</t>
  </si>
  <si>
    <t>Yvonne McKay</t>
  </si>
  <si>
    <t>164-555-0164</t>
  </si>
  <si>
    <t>Peng Wu</t>
  </si>
  <si>
    <t>685-555-0120</t>
  </si>
  <si>
    <t>Jean Trenary</t>
  </si>
  <si>
    <t>786-555-0144</t>
  </si>
  <si>
    <t>Russell Hunter</t>
  </si>
  <si>
    <t>992-555-0194</t>
  </si>
  <si>
    <t>A. Scott Wright</t>
  </si>
  <si>
    <t>818-555-0192</t>
  </si>
  <si>
    <t>Fred Northup</t>
  </si>
  <si>
    <t>399-555-0176</t>
  </si>
  <si>
    <t>Sariya Harnpadoungsataya</t>
  </si>
  <si>
    <t>778-555-0141</t>
  </si>
  <si>
    <t>Willis Johnson</t>
  </si>
  <si>
    <t>299-555-0113</t>
  </si>
  <si>
    <t>Jun Cao</t>
  </si>
  <si>
    <t>846-555-0157</t>
  </si>
  <si>
    <t>Christian Kleinerman</t>
  </si>
  <si>
    <t>639-555-0164</t>
  </si>
  <si>
    <t>Susan Metters</t>
  </si>
  <si>
    <t>191-555-0112</t>
  </si>
  <si>
    <t>Reuben D'sa</t>
  </si>
  <si>
    <t>669-555-0150</t>
  </si>
  <si>
    <t>Kirk Koenigsbauer</t>
  </si>
  <si>
    <t>712-555-0119</t>
  </si>
  <si>
    <t>David Ortiz</t>
  </si>
  <si>
    <t>910-555-0116</t>
  </si>
  <si>
    <t>Tengiz Kharatishvili</t>
  </si>
  <si>
    <t>319-555-0139</t>
  </si>
  <si>
    <t>Hanying Feng</t>
  </si>
  <si>
    <t>714-555-0138</t>
  </si>
  <si>
    <t>Kevin Liu</t>
  </si>
  <si>
    <t>499-555-0125</t>
  </si>
  <si>
    <t>Annik Stahl</t>
  </si>
  <si>
    <t>932-555-0161</t>
  </si>
  <si>
    <t>Suroor Fatima</t>
  </si>
  <si>
    <t>602-555-0194</t>
  </si>
  <si>
    <t>Deborah Poe</t>
  </si>
  <si>
    <t>679-555-0113</t>
  </si>
  <si>
    <t>Jim Scardelis</t>
  </si>
  <si>
    <t>688-555-0192</t>
  </si>
  <si>
    <t>Carole Poland</t>
  </si>
  <si>
    <t>518-555-0199</t>
  </si>
  <si>
    <t>George Li</t>
  </si>
  <si>
    <t>901-555-0125</t>
  </si>
  <si>
    <t>Gary Yukish</t>
  </si>
  <si>
    <t>434-555-0133</t>
  </si>
  <si>
    <t>Cristian Petculescu</t>
  </si>
  <si>
    <t>226-555-0197</t>
  </si>
  <si>
    <t>Raymond Sam</t>
  </si>
  <si>
    <t>623-555-0155</t>
  </si>
  <si>
    <t>Janaina Bueno</t>
  </si>
  <si>
    <t>611-555-0116</t>
  </si>
  <si>
    <t>Bob Hohman</t>
  </si>
  <si>
    <t>793-555-0179</t>
  </si>
  <si>
    <t>Shammi Mohamed</t>
  </si>
  <si>
    <t>Linda Moschell</t>
  </si>
  <si>
    <t>522-555-0147</t>
  </si>
  <si>
    <t>Mindy Martin</t>
  </si>
  <si>
    <t>248-555-0134</t>
  </si>
  <si>
    <t>Wendy Kahn</t>
  </si>
  <si>
    <t>309-555-0129</t>
  </si>
  <si>
    <t>Kim Ralls</t>
  </si>
  <si>
    <t>896-555-0168</t>
  </si>
  <si>
    <t>Sandra Reátegui Alayo</t>
  </si>
  <si>
    <t>999-555-0155</t>
  </si>
  <si>
    <t>Kok-Ho Loh</t>
  </si>
  <si>
    <t>808-555-0172</t>
  </si>
  <si>
    <t>Douglas Hite</t>
  </si>
  <si>
    <t>119-555-0117</t>
  </si>
  <si>
    <t>James Kramer</t>
  </si>
  <si>
    <t>420-555-0173</t>
  </si>
  <si>
    <t>Sean Alexander</t>
  </si>
  <si>
    <t>143-555-0173</t>
  </si>
  <si>
    <t>Nitin Mirchandani</t>
  </si>
  <si>
    <t>815-555-0138</t>
  </si>
  <si>
    <t>Diane Margheim</t>
  </si>
  <si>
    <t>314-555-0113</t>
  </si>
  <si>
    <t>Rebecca Laszlo</t>
  </si>
  <si>
    <t>373-555-0137</t>
  </si>
  <si>
    <t>Rajesh Patel</t>
  </si>
  <si>
    <t>153-555-0186</t>
  </si>
  <si>
    <t>Vidur Luthra</t>
  </si>
  <si>
    <t>172-555-0130</t>
  </si>
  <si>
    <t>John Evans</t>
  </si>
  <si>
    <t>970-555-0118</t>
  </si>
  <si>
    <t>Nancy Anderson</t>
  </si>
  <si>
    <t>577-555-0185</t>
  </si>
  <si>
    <t>Pilar Ackerman</t>
  </si>
  <si>
    <t>373-555-0142</t>
  </si>
  <si>
    <t>David Yalovsky</t>
  </si>
  <si>
    <t>986-555-0177</t>
  </si>
  <si>
    <t>David Hamilton</t>
  </si>
  <si>
    <t>777-555-0141</t>
  </si>
  <si>
    <t>Laura Steele</t>
  </si>
  <si>
    <t>818-555-0128</t>
  </si>
  <si>
    <t>Margie Shoop</t>
  </si>
  <si>
    <t>204-555-0115</t>
  </si>
  <si>
    <t>Zainal Arifin</t>
  </si>
  <si>
    <t>845-555-0184</t>
  </si>
  <si>
    <t>Lorraine Nay</t>
  </si>
  <si>
    <t>935-555-0116</t>
  </si>
  <si>
    <t>Fadi Fakhouri</t>
  </si>
  <si>
    <t>208-555-0114</t>
  </si>
  <si>
    <t>Ryan Cornelsen</t>
  </si>
  <si>
    <t>920-555-0177</t>
  </si>
  <si>
    <t>Candy Spoon</t>
  </si>
  <si>
    <t>913-555-0184</t>
  </si>
  <si>
    <t>Nuan Yu</t>
  </si>
  <si>
    <t>148-555-0145</t>
  </si>
  <si>
    <t>William Vong</t>
  </si>
  <si>
    <t>199-555-0117</t>
  </si>
  <si>
    <t>Bjorn Rettig</t>
  </si>
  <si>
    <t>391-555-0138</t>
  </si>
  <si>
    <t>Scott Gode</t>
  </si>
  <si>
    <t>454-555-0119</t>
  </si>
  <si>
    <t>Michael Rothkugel</t>
  </si>
  <si>
    <t>200-555-0117</t>
  </si>
  <si>
    <t>Lane Sacksteder</t>
  </si>
  <si>
    <t>768-555-0123</t>
  </si>
  <si>
    <t>Pete Male</t>
  </si>
  <si>
    <t>166-555-0159</t>
  </si>
  <si>
    <t>Dan Bacon</t>
  </si>
  <si>
    <t>477-555-0132</t>
  </si>
  <si>
    <t>David Barber</t>
  </si>
  <si>
    <t>582-555-0178</t>
  </si>
  <si>
    <t>Lolan Song</t>
  </si>
  <si>
    <t>476-555-0119</t>
  </si>
  <si>
    <t>Paula Nartker</t>
  </si>
  <si>
    <t>531-555-0183</t>
  </si>
  <si>
    <t>Mary Gibson</t>
  </si>
  <si>
    <t>637-555-0120</t>
  </si>
  <si>
    <t>Mindaugas Krapauskas</t>
  </si>
  <si>
    <t>260-555-0119</t>
  </si>
  <si>
    <t>Eric Gubbels</t>
  </si>
  <si>
    <t>697-555-0142</t>
  </si>
  <si>
    <t>Ken Sánchez</t>
  </si>
  <si>
    <t>571-555-0179</t>
  </si>
  <si>
    <t>Jason Watters</t>
  </si>
  <si>
    <t>147-555-0179</t>
  </si>
  <si>
    <t>Mark Harrington</t>
  </si>
  <si>
    <t>540-555-0191</t>
  </si>
  <si>
    <t>Janeth Esteves</t>
  </si>
  <si>
    <t>234-555-0169</t>
  </si>
  <si>
    <t>Marc Ingle</t>
  </si>
  <si>
    <t>185-555-0186</t>
  </si>
  <si>
    <t>Gigi Matthew</t>
  </si>
  <si>
    <t>727-555-0112</t>
  </si>
  <si>
    <t>Paul Singh</t>
  </si>
  <si>
    <t>158-555-0191</t>
  </si>
  <si>
    <t>Frank Lee</t>
  </si>
  <si>
    <t>785-555-0110</t>
  </si>
  <si>
    <t>François Ajenstat</t>
  </si>
  <si>
    <t>361-555-0180</t>
  </si>
  <si>
    <t>Diane Tibbott</t>
  </si>
  <si>
    <t>510-555-0121</t>
  </si>
  <si>
    <t>Jill Williams</t>
  </si>
  <si>
    <t>150-555-0194</t>
  </si>
  <si>
    <t>Angela Barbariol</t>
  </si>
  <si>
    <t>139-555-0120</t>
  </si>
  <si>
    <t>Matthias Berndt</t>
  </si>
  <si>
    <t>712-555-0113</t>
  </si>
  <si>
    <t>Bryan Baker</t>
  </si>
  <si>
    <t>350-555-0167</t>
  </si>
  <si>
    <t>Jeff Hay</t>
  </si>
  <si>
    <t>241-555-0191</t>
  </si>
  <si>
    <t>Eugene Zabokritski</t>
  </si>
  <si>
    <t>119-555-0192</t>
  </si>
  <si>
    <t>Barbara Decker</t>
  </si>
  <si>
    <t>200-555-0112</t>
  </si>
  <si>
    <t>Chris Preston</t>
  </si>
  <si>
    <t>205-555-0132</t>
  </si>
  <si>
    <t>Sean Chai</t>
  </si>
  <si>
    <t>653-555-0144</t>
  </si>
  <si>
    <t>Dan Wilson</t>
  </si>
  <si>
    <t>417-555-0154</t>
  </si>
  <si>
    <t>Mark McArthur</t>
  </si>
  <si>
    <t>935-555-0199</t>
  </si>
  <si>
    <t>Bryan Walton</t>
  </si>
  <si>
    <t>180-555-0136</t>
  </si>
  <si>
    <t>Houman Pournasseh</t>
  </si>
  <si>
    <t>500-555-0159</t>
  </si>
  <si>
    <t>Sairaj Uddin</t>
  </si>
  <si>
    <t>984-555-0148</t>
  </si>
  <si>
    <t>Michiko Osada</t>
  </si>
  <si>
    <t>533-555-0111</t>
  </si>
  <si>
    <t>Benjamin Martin</t>
  </si>
  <si>
    <t>352-555-0138</t>
  </si>
  <si>
    <t>Cynthia Randall</t>
  </si>
  <si>
    <t>446-555-0118</t>
  </si>
  <si>
    <t>Kathie Flood</t>
  </si>
  <si>
    <t>955-555-0169</t>
  </si>
  <si>
    <t>Britta Simon</t>
  </si>
  <si>
    <t>110-555-0182</t>
  </si>
  <si>
    <t>Brian Lloyd</t>
  </si>
  <si>
    <t>646-555-0185</t>
  </si>
  <si>
    <t>David Liu</t>
  </si>
  <si>
    <t>615-555-0110</t>
  </si>
  <si>
    <t>Laura Norman</t>
  </si>
  <si>
    <t>441-555-0195</t>
  </si>
  <si>
    <t>Michael Patten</t>
  </si>
  <si>
    <t>118-555-0110</t>
  </si>
  <si>
    <t>Andy Ruth</t>
  </si>
  <si>
    <t>965-555-0155</t>
  </si>
  <si>
    <t>Yuhong Li</t>
  </si>
  <si>
    <t>589-555-0147</t>
  </si>
  <si>
    <t>Robert Rounthwaite</t>
  </si>
  <si>
    <t>181-555-0124</t>
  </si>
  <si>
    <t>Andreas Berglund</t>
  </si>
  <si>
    <t>678-555-0110</t>
  </si>
  <si>
    <t>Reed Koch</t>
  </si>
  <si>
    <t>696-555-0157</t>
  </si>
  <si>
    <t>Linda Randall</t>
  </si>
  <si>
    <t>870-555-0122</t>
  </si>
  <si>
    <t>James Hamilton</t>
  </si>
  <si>
    <t>182-555-0134</t>
  </si>
  <si>
    <t>Ramesh Meyyappan</t>
  </si>
  <si>
    <t>594-555-0110</t>
  </si>
  <si>
    <t>Stephanie Conroy</t>
  </si>
  <si>
    <t>587-555-0114</t>
  </si>
  <si>
    <t>Samantha Smith</t>
  </si>
  <si>
    <t>368-555-0113</t>
  </si>
  <si>
    <t>Tawana Nusbaum</t>
  </si>
  <si>
    <t>869-555-0119</t>
  </si>
  <si>
    <t>Denise Smith</t>
  </si>
  <si>
    <t>806-555-0136</t>
  </si>
  <si>
    <t>Hao Chen</t>
  </si>
  <si>
    <t>819-555-0198</t>
  </si>
  <si>
    <t>Alex Nayberg</t>
  </si>
  <si>
    <t>173-555-0179</t>
  </si>
  <si>
    <t>Eugene Kogan</t>
  </si>
  <si>
    <t>429-555-0137</t>
  </si>
  <si>
    <t>Brandon Heidepriem</t>
  </si>
  <si>
    <t>181-555-0156</t>
  </si>
  <si>
    <t>Dylan Miller</t>
  </si>
  <si>
    <t>810-555-0178</t>
  </si>
  <si>
    <t>Shane Kim</t>
  </si>
  <si>
    <t>201-555-0163</t>
  </si>
  <si>
    <t>John Chen</t>
  </si>
  <si>
    <t>746-555-0164</t>
  </si>
  <si>
    <t>Karen Berge</t>
  </si>
  <si>
    <t>587-555-0115</t>
  </si>
  <si>
    <t>Jose Lugo</t>
  </si>
  <si>
    <t>140-555-0132</t>
  </si>
  <si>
    <t>Mandar Samant</t>
  </si>
  <si>
    <t>309-555-0170</t>
  </si>
  <si>
    <t>Mikael Sandberg</t>
  </si>
  <si>
    <t>990-555-0172</t>
  </si>
  <si>
    <t>Sameer Tejani</t>
  </si>
  <si>
    <t>117-555-0185</t>
  </si>
  <si>
    <t>Dragan Tomic</t>
  </si>
  <si>
    <t>609-555-0153</t>
  </si>
  <si>
    <t>Carol Philips</t>
  </si>
  <si>
    <t>238-555-0116</t>
  </si>
  <si>
    <t>Rob Caron</t>
  </si>
  <si>
    <t>100-555-0174</t>
  </si>
  <si>
    <t>Don Hall</t>
  </si>
  <si>
    <t>438-555-0172</t>
  </si>
  <si>
    <t>Alan Brewer</t>
  </si>
  <si>
    <t>118-555-0177</t>
  </si>
  <si>
    <t>David Lawrence</t>
  </si>
  <si>
    <t>164-555-0114</t>
  </si>
  <si>
    <t>Baris Cetinok</t>
  </si>
  <si>
    <t>156-555-0199</t>
  </si>
  <si>
    <t>Michael Ray</t>
  </si>
  <si>
    <t>712-555-0170</t>
  </si>
  <si>
    <t>Steve Masters</t>
  </si>
  <si>
    <t>753-555-0129</t>
  </si>
  <si>
    <t>Suchitra Mohan</t>
  </si>
  <si>
    <t>654-555-0177</t>
  </si>
  <si>
    <t>Karen Berg</t>
  </si>
  <si>
    <t>110-555-0115</t>
  </si>
  <si>
    <t>Terrence Earls</t>
  </si>
  <si>
    <t>822-555-0145</t>
  </si>
  <si>
    <t>Barbara Moreland</t>
  </si>
  <si>
    <t>559-555-0175</t>
  </si>
  <si>
    <t>Chad Niswonger</t>
  </si>
  <si>
    <t>751-555-0134</t>
  </si>
  <si>
    <t>Rostislav Shabalin</t>
  </si>
  <si>
    <t>319-555-0126</t>
  </si>
  <si>
    <t>Belinda Newman</t>
  </si>
  <si>
    <t>809-555-0133</t>
  </si>
  <si>
    <t>Katie McAskill-White</t>
  </si>
  <si>
    <t>517-555-0122</t>
  </si>
  <si>
    <t>Russell King</t>
  </si>
  <si>
    <t>552-555-0111</t>
  </si>
  <si>
    <t>Jack Richins</t>
  </si>
  <si>
    <t>908-555-0159</t>
  </si>
  <si>
    <t>Andrew Hill</t>
  </si>
  <si>
    <t>508-555-0129</t>
  </si>
  <si>
    <t>Nicole Holliday</t>
  </si>
  <si>
    <t>167-555-0139</t>
  </si>
  <si>
    <t>Frank Miller</t>
  </si>
  <si>
    <t>310-555-0133</t>
  </si>
  <si>
    <t>Peter Connelly</t>
  </si>
  <si>
    <t>106-555-0120</t>
  </si>
  <si>
    <t>Anibal Sousa</t>
  </si>
  <si>
    <t>949-555-0174</t>
  </si>
  <si>
    <t>Ken Myer</t>
  </si>
  <si>
    <t>955-555-0131</t>
  </si>
  <si>
    <t>Grant Culbertson</t>
  </si>
  <si>
    <t>817-555-0186</t>
  </si>
  <si>
    <t>Michael Entin</t>
  </si>
  <si>
    <t>450-555-0152</t>
  </si>
  <si>
    <t>Lionel Penuchot</t>
  </si>
  <si>
    <t>278-555-0118</t>
  </si>
  <si>
    <t>Thomas Michaels</t>
  </si>
  <si>
    <t>927-555-0168</t>
  </si>
  <si>
    <t>Jimmy Bischoff</t>
  </si>
  <si>
    <t>296-555-0121</t>
  </si>
  <si>
    <t>Michael Vanderhyde</t>
  </si>
  <si>
    <t>289-555-0196</t>
  </si>
  <si>
    <t>Lori Kane</t>
  </si>
  <si>
    <t>848-555-0163</t>
  </si>
  <si>
    <t>Arvind Rao</t>
  </si>
  <si>
    <t>165-555-0113</t>
  </si>
  <si>
    <t>Stefen Hesse</t>
  </si>
  <si>
    <t>869-555-0125</t>
  </si>
  <si>
    <t>Hazem Abolrous</t>
  </si>
  <si>
    <t>393-555-0186</t>
  </si>
  <si>
    <t>Janet Sheperdigian</t>
  </si>
  <si>
    <t>318-555-0137</t>
  </si>
  <si>
    <t>Elizabeth Keyser</t>
  </si>
  <si>
    <t>138-555-0118</t>
  </si>
  <si>
    <t>Terry Eminhizer</t>
  </si>
  <si>
    <t>663-555-0172</t>
  </si>
  <si>
    <t>John Frum</t>
  </si>
  <si>
    <t>224-555-0187</t>
  </si>
  <si>
    <t>Merav Netz</t>
  </si>
  <si>
    <t>313-555-0196</t>
  </si>
  <si>
    <t>Brian LaMee</t>
  </si>
  <si>
    <t>785-555-0132</t>
  </si>
  <si>
    <t>Kitti Lertpiriyasuwat</t>
  </si>
  <si>
    <t>407-555-0165</t>
  </si>
  <si>
    <t>Jay Adams</t>
  </si>
  <si>
    <t>139-555-0131</t>
  </si>
  <si>
    <t>Jan Miksovsky</t>
  </si>
  <si>
    <t>Brenda Diaz</t>
  </si>
  <si>
    <t>207-555-0192</t>
  </si>
  <si>
    <t>Andrew Cencini</t>
  </si>
  <si>
    <t>575-555-0126</t>
  </si>
  <si>
    <t>Chris Norred</t>
  </si>
  <si>
    <t>315-555-0144</t>
  </si>
  <si>
    <t>Chris Okelberry</t>
  </si>
  <si>
    <t>991-555-0184</t>
  </si>
  <si>
    <t>Shelley Dyck</t>
  </si>
  <si>
    <t>310-555-0117</t>
  </si>
  <si>
    <t>Gabe Mares</t>
  </si>
  <si>
    <t>927-555-0150</t>
  </si>
  <si>
    <t>Mike Seamans</t>
  </si>
  <si>
    <t>330-555-2568</t>
  </si>
  <si>
    <t>Michael Raheem</t>
  </si>
  <si>
    <t>110-555-0112</t>
  </si>
  <si>
    <t>Gary Altman</t>
  </si>
  <si>
    <t>931-555-0118</t>
  </si>
  <si>
    <t>Charles Fitzgerald</t>
  </si>
  <si>
    <t>202-555-0187</t>
  </si>
  <si>
    <t>Ebru Ersan</t>
  </si>
  <si>
    <t>492-555-0174</t>
  </si>
  <si>
    <t>Sylvester Valdez</t>
  </si>
  <si>
    <t>730-555-0117</t>
  </si>
  <si>
    <t>Brian Goldstein</t>
  </si>
  <si>
    <t>916-555-0165</t>
  </si>
  <si>
    <t>Linda Meisner</t>
  </si>
  <si>
    <t>405-555-0171</t>
  </si>
  <si>
    <t>Betsy Stadick</t>
  </si>
  <si>
    <t>583-555-0182</t>
  </si>
  <si>
    <t>Magnus Hedlund</t>
  </si>
  <si>
    <t>447-555-0186</t>
  </si>
  <si>
    <t>Karan Khanna</t>
  </si>
  <si>
    <t>283-555-0185</t>
  </si>
  <si>
    <t>Mary Baker</t>
  </si>
  <si>
    <t>555-555-0113</t>
  </si>
  <si>
    <t>Kevin Homer</t>
  </si>
  <si>
    <t>733-555-0128</t>
  </si>
  <si>
    <t>Mihail Frintu</t>
  </si>
  <si>
    <t>264-555-0150</t>
  </si>
  <si>
    <t>Bonnie Kearney</t>
  </si>
  <si>
    <t>520-555-0177</t>
  </si>
  <si>
    <t>Fukiko Ogisu</t>
  </si>
  <si>
    <t>497-555-0181</t>
  </si>
  <si>
    <t>Hung-Fu Ting</t>
  </si>
  <si>
    <t>230-555-0144</t>
  </si>
  <si>
    <t>Gordon Hee</t>
  </si>
  <si>
    <t>123-555-0167</t>
  </si>
  <si>
    <t>Kimberly Zimmerman</t>
  </si>
  <si>
    <t>Kim Abercrombie</t>
  </si>
  <si>
    <t>166-555-0156</t>
  </si>
  <si>
    <t>Sandeep Kaliyath</t>
  </si>
  <si>
    <t>129-555-0199</t>
  </si>
  <si>
    <t>Prasanna Samarawickrama</t>
  </si>
  <si>
    <t>163-555-0147</t>
  </si>
  <si>
    <t>Frank Pellow</t>
  </si>
  <si>
    <t>590-555-0152</t>
  </si>
  <si>
    <t>Min Su</t>
  </si>
  <si>
    <t>680-555-0118</t>
  </si>
  <si>
    <t>Eric Brown</t>
  </si>
  <si>
    <t>265-555-0195</t>
  </si>
  <si>
    <t>Eric Kurjan</t>
  </si>
  <si>
    <t>720-555-0158</t>
  </si>
  <si>
    <t>Pat Coleman</t>
  </si>
  <si>
    <t>237-555-0128</t>
  </si>
  <si>
    <t>Maciej Dusza</t>
  </si>
  <si>
    <t>842-555-0158</t>
  </si>
  <si>
    <t>Erin Hagens</t>
  </si>
  <si>
    <t>413-555-0124</t>
  </si>
  <si>
    <t>Patrick Wedge</t>
  </si>
  <si>
    <t>203-555-0196</t>
  </si>
  <si>
    <t>Frank Martinez</t>
  </si>
  <si>
    <t>919-555-0140</t>
  </si>
  <si>
    <t>Ed Dudenhoefer</t>
  </si>
  <si>
    <t>153-555-0166</t>
  </si>
  <si>
    <t>Christopher Hill</t>
  </si>
  <si>
    <t>425-555-0117</t>
  </si>
  <si>
    <t>Patrick Cook</t>
  </si>
  <si>
    <t>491-555-0183</t>
  </si>
  <si>
    <t>Krishna Sunkammurali</t>
  </si>
  <si>
    <t>295-555-0161</t>
  </si>
  <si>
    <t>Lori Penor</t>
  </si>
  <si>
    <t>500-555-0172</t>
  </si>
  <si>
    <t>Danielle Tiedt</t>
  </si>
  <si>
    <t>325-555-0137</t>
  </si>
  <si>
    <t>Sootha Charncherngkha</t>
  </si>
  <si>
    <t>582-555-0148</t>
  </si>
  <si>
    <t>Michael Zwilling</t>
  </si>
  <si>
    <t>961-555-0122</t>
  </si>
  <si>
    <t>Randy Reeves</t>
  </si>
  <si>
    <t>254-555-0114</t>
  </si>
  <si>
    <t>John Kane</t>
  </si>
  <si>
    <t>521-555-0113</t>
  </si>
  <si>
    <t>Jack Creasey</t>
  </si>
  <si>
    <t>306-555-0186</t>
  </si>
  <si>
    <t>Olinda Turner</t>
  </si>
  <si>
    <t>539-555-0149</t>
  </si>
  <si>
    <t>Stuart Macrae</t>
  </si>
  <si>
    <t>228-555-0159</t>
  </si>
  <si>
    <t>Jo Berry</t>
  </si>
  <si>
    <t>151-555-0113</t>
  </si>
  <si>
    <t>Ben Miller</t>
  </si>
  <si>
    <t>Tom Vande Velde</t>
  </si>
  <si>
    <t>719-555-0181</t>
  </si>
  <si>
    <t>Ovidiu Cracium</t>
  </si>
  <si>
    <t>125-555-0196</t>
  </si>
  <si>
    <t>Annette Hill</t>
  </si>
  <si>
    <t>473-555-0117</t>
  </si>
  <si>
    <t>Janice Galvin</t>
  </si>
  <si>
    <t>370-555-0163</t>
  </si>
  <si>
    <t>Reinout Hillmann</t>
  </si>
  <si>
    <t>465-555-0156</t>
  </si>
  <si>
    <t>Michael Sullivan</t>
  </si>
  <si>
    <t>238-555-0197</t>
  </si>
  <si>
    <t>Stephen Jiang</t>
  </si>
  <si>
    <t>708-555-0141</t>
  </si>
  <si>
    <t>Wanida Benshoof</t>
  </si>
  <si>
    <t>970-555-0138</t>
  </si>
  <si>
    <t>486-555-0150</t>
  </si>
  <si>
    <t>John Wood</t>
  </si>
  <si>
    <t>124-555-0114</t>
  </si>
  <si>
    <t>Mary Dempsey</t>
  </si>
  <si>
    <t>716-555-0127</t>
  </si>
  <si>
    <t>Brian Welcker</t>
  </si>
  <si>
    <t>210-555-0193</t>
  </si>
  <si>
    <t>Sheela Word</t>
  </si>
  <si>
    <t>257-555-0154</t>
  </si>
  <si>
    <t>Michael Blythe</t>
  </si>
  <si>
    <t>883-555-0116</t>
  </si>
  <si>
    <t>Linda Mitchell</t>
  </si>
  <si>
    <t>517-555-0117</t>
  </si>
  <si>
    <t>Jillian Carson</t>
  </si>
  <si>
    <t>922-555-0165</t>
  </si>
  <si>
    <t>Garrett Vargas</t>
  </si>
  <si>
    <t>664-555-0112</t>
  </si>
  <si>
    <t>Tsvi Reiter</t>
  </si>
  <si>
    <t>340-555-0193</t>
  </si>
  <si>
    <t>Pamela Ansman-Wolfe</t>
  </si>
  <si>
    <t>330-555-0120</t>
  </si>
  <si>
    <t>Shu Ito</t>
  </si>
  <si>
    <t>185-555-0169</t>
  </si>
  <si>
    <t>José Saraiva</t>
  </si>
  <si>
    <t>740-555-0182</t>
  </si>
  <si>
    <t>David Campbell</t>
  </si>
  <si>
    <t>guy1@oaon.com</t>
  </si>
  <si>
    <t>kevin0@oaon.com</t>
  </si>
  <si>
    <t>roberto0@oaon.com</t>
  </si>
  <si>
    <t>rob0@oaon.com</t>
  </si>
  <si>
    <t>thierry0@oaon.com</t>
  </si>
  <si>
    <t>david0@oaon.com</t>
  </si>
  <si>
    <t>jolynn0@oaon.com</t>
  </si>
  <si>
    <t>ruth0@oaon.com</t>
  </si>
  <si>
    <t>gail0@oaon.com</t>
  </si>
  <si>
    <t>barry0@oaon.com</t>
  </si>
  <si>
    <t>jossef0@oaon.com</t>
  </si>
  <si>
    <t>terri0@oaon.com</t>
  </si>
  <si>
    <t>sidney0@oaon.com</t>
  </si>
  <si>
    <t>taylor0@oaon.com</t>
  </si>
  <si>
    <t>jeffrey0@oaon.com</t>
  </si>
  <si>
    <t>jo0@oaon.com</t>
  </si>
  <si>
    <t>doris0@oaon.com</t>
  </si>
  <si>
    <t>john0@oaon.com</t>
  </si>
  <si>
    <t>diane0@oaon.com</t>
  </si>
  <si>
    <t>steven0@oaon.com</t>
  </si>
  <si>
    <t>peter0@oaon.com</t>
  </si>
  <si>
    <t>stuart0@oaon.com</t>
  </si>
  <si>
    <t>greg0@oaon.com</t>
  </si>
  <si>
    <t>david1@oaon.com</t>
  </si>
  <si>
    <t>zheng0@oaon.com</t>
  </si>
  <si>
    <t>ivo0@oaon.com</t>
  </si>
  <si>
    <t>paul0@oaon.com</t>
  </si>
  <si>
    <t>ashvini0@oaon.com</t>
  </si>
  <si>
    <t>kendall0@oaon.com</t>
  </si>
  <si>
    <t>paula0@oaon.com</t>
  </si>
  <si>
    <t>alejandro0@oaon.com</t>
  </si>
  <si>
    <t>garrett0@oaon.com</t>
  </si>
  <si>
    <t>jianshuo0@oaon.com</t>
  </si>
  <si>
    <t>susan0@oaon.com</t>
  </si>
  <si>
    <t>vamsi0@oaon.com</t>
  </si>
  <si>
    <t>alice0@oaon.com</t>
  </si>
  <si>
    <t>simon0@oaon.com</t>
  </si>
  <si>
    <t>jinghao0@oaon.com</t>
  </si>
  <si>
    <t>michael0@oaon.com</t>
  </si>
  <si>
    <t>yvonne0@oaon.com</t>
  </si>
  <si>
    <t>peng0@oaon.com</t>
  </si>
  <si>
    <t>jean0@oaon.com</t>
  </si>
  <si>
    <t>russell0@oaon.com</t>
  </si>
  <si>
    <t>ascott0@oaon.com</t>
  </si>
  <si>
    <t>fred0@oaon.com</t>
  </si>
  <si>
    <t>sariya0@oaon.com</t>
  </si>
  <si>
    <t>willis0@oaon.com</t>
  </si>
  <si>
    <t>jun0@oaon.com</t>
  </si>
  <si>
    <t>christian0@oaon.com</t>
  </si>
  <si>
    <t>susan1@oaon.com</t>
  </si>
  <si>
    <t>reuben0@oaon.com</t>
  </si>
  <si>
    <t>kirk0@oaon.com</t>
  </si>
  <si>
    <t>david2@oaon.com</t>
  </si>
  <si>
    <t>tengiz0@oaon.com</t>
  </si>
  <si>
    <t>hanying0@oaon.com</t>
  </si>
  <si>
    <t>kevin1@oaon.com</t>
  </si>
  <si>
    <t>annik0@oaon.com</t>
  </si>
  <si>
    <t>suroor0@oaon.com</t>
  </si>
  <si>
    <t>deborah0@oaon.com</t>
  </si>
  <si>
    <t>jim0@oaon.com</t>
  </si>
  <si>
    <t>carole0@oaon.com</t>
  </si>
  <si>
    <t>george0@oaon.com</t>
  </si>
  <si>
    <t>gary0@oaon.com</t>
  </si>
  <si>
    <t>cristian0@oaon.com</t>
  </si>
  <si>
    <t>raymond0@oaon.com</t>
  </si>
  <si>
    <t>janaina0@oaon.com</t>
  </si>
  <si>
    <t>bob0@oaon.com</t>
  </si>
  <si>
    <t>shammi0@oaon.com</t>
  </si>
  <si>
    <t>linda0@oaon.com</t>
  </si>
  <si>
    <t>mindy0@oaon.com</t>
  </si>
  <si>
    <t>wendy0@oaon.com</t>
  </si>
  <si>
    <t>kim0@oaon.com</t>
  </si>
  <si>
    <t>sandra0@oaon.com</t>
  </si>
  <si>
    <t>kok-ho0@oaon.com</t>
  </si>
  <si>
    <t>douglas0@oaon.com</t>
  </si>
  <si>
    <t>james0@oaon.com</t>
  </si>
  <si>
    <t>sean0@oaon.com</t>
  </si>
  <si>
    <t>nitin0@oaon.com</t>
  </si>
  <si>
    <t>diane1@oaon.com</t>
  </si>
  <si>
    <t>rebecca0@oaon.com</t>
  </si>
  <si>
    <t>rajesh0@oaon.com</t>
  </si>
  <si>
    <t>vidur0@oaon.com</t>
  </si>
  <si>
    <t>john1@oaon.com</t>
  </si>
  <si>
    <t>nancy0@oaon.com</t>
  </si>
  <si>
    <t>pilar0@oaon.com</t>
  </si>
  <si>
    <t>david3@oaon.com</t>
  </si>
  <si>
    <t>david4@oaon.com</t>
  </si>
  <si>
    <t>laura0@oaon.com</t>
  </si>
  <si>
    <t>margie0@oaon.com</t>
  </si>
  <si>
    <t>zainal0@oaon.com</t>
  </si>
  <si>
    <t>lorraine0@oaon.com</t>
  </si>
  <si>
    <t>fadi0@oaon.com</t>
  </si>
  <si>
    <t>ryan0@oaon.com</t>
  </si>
  <si>
    <t>candy0@oaon.com</t>
  </si>
  <si>
    <t>nuan0@oaon.com</t>
  </si>
  <si>
    <t>william0@oaon.com</t>
  </si>
  <si>
    <t>bjorn0@oaon.com</t>
  </si>
  <si>
    <t>scott0@oaon.com</t>
  </si>
  <si>
    <t>michael1@oaon.com</t>
  </si>
  <si>
    <t>lane0@oaon.com</t>
  </si>
  <si>
    <t>pete0@oaon.com</t>
  </si>
  <si>
    <t>dan0@oaon.com</t>
  </si>
  <si>
    <t>david5@oaon.com</t>
  </si>
  <si>
    <t>lolan0@oaon.com</t>
  </si>
  <si>
    <t>paula1@oaon.com</t>
  </si>
  <si>
    <t>mary0@oaon.com</t>
  </si>
  <si>
    <t>mindaugas0@oaon.com</t>
  </si>
  <si>
    <t>eric0@oaon.com</t>
  </si>
  <si>
    <t>ken0@oaon.com</t>
  </si>
  <si>
    <t>jason0@oaon.com</t>
  </si>
  <si>
    <t>mark0@oaon.com</t>
  </si>
  <si>
    <t>janeth0@oaon.com</t>
  </si>
  <si>
    <t>marc0@oaon.com</t>
  </si>
  <si>
    <t>gigi0@oaon.com</t>
  </si>
  <si>
    <t>paul1@oaon.com</t>
  </si>
  <si>
    <t>frank0@oaon.com</t>
  </si>
  <si>
    <t>françois0@oaon.com</t>
  </si>
  <si>
    <t>diane2@oaon.com</t>
  </si>
  <si>
    <t>jill0@oaon.com</t>
  </si>
  <si>
    <t>angela0@oaon.com</t>
  </si>
  <si>
    <t>matthias0@oaon.com</t>
  </si>
  <si>
    <t>bryan0@oaon.com</t>
  </si>
  <si>
    <t>jeff0@oaon.com</t>
  </si>
  <si>
    <t>eugene0@oaon.com</t>
  </si>
  <si>
    <t>barbara0@oaon.com</t>
  </si>
  <si>
    <t>chris0@oaon.com</t>
  </si>
  <si>
    <t>sean1@oaon.com</t>
  </si>
  <si>
    <t>dan1@oaon.com</t>
  </si>
  <si>
    <t>mark1@oaon.com</t>
  </si>
  <si>
    <t>bryan1@oaon.com</t>
  </si>
  <si>
    <t>houman0@oaon.com</t>
  </si>
  <si>
    <t>sairaj0@oaon.com</t>
  </si>
  <si>
    <t>michiko0@oaon.com</t>
  </si>
  <si>
    <t>benjamin0@oaon.com</t>
  </si>
  <si>
    <t>cynthia0@oaon.com</t>
  </si>
  <si>
    <t>kathie0@oaon.com</t>
  </si>
  <si>
    <t>britta0@oaon.com</t>
  </si>
  <si>
    <t>brian0@oaon.com</t>
  </si>
  <si>
    <t>david6@oaon.com</t>
  </si>
  <si>
    <t>laura1@oaon.com</t>
  </si>
  <si>
    <t>michael2@oaon.com</t>
  </si>
  <si>
    <t>andy0@oaon.com</t>
  </si>
  <si>
    <t>yuhong0@oaon.com</t>
  </si>
  <si>
    <t>robert0@oaon.com</t>
  </si>
  <si>
    <t>andreas0@oaon.com</t>
  </si>
  <si>
    <t>reed0@oaon.com</t>
  </si>
  <si>
    <t>linda1@oaon.com</t>
  </si>
  <si>
    <t>james1@oaon.com</t>
  </si>
  <si>
    <t>ramesh0@oaon.com</t>
  </si>
  <si>
    <t>stephanie0@oaon.com</t>
  </si>
  <si>
    <t>samantha0@oaon.com</t>
  </si>
  <si>
    <t>tawana0@oaon.com</t>
  </si>
  <si>
    <t>denise0@oaon.com</t>
  </si>
  <si>
    <t>hao0@oaon.com</t>
  </si>
  <si>
    <t>alex0@oaon.com</t>
  </si>
  <si>
    <t>eugene1@oaon.com</t>
  </si>
  <si>
    <t>brandon0@oaon.com</t>
  </si>
  <si>
    <t>dylan0@oaon.com</t>
  </si>
  <si>
    <t>shane0@oaon.com</t>
  </si>
  <si>
    <t>john2@oaon.com</t>
  </si>
  <si>
    <t>karen0@oaon.com</t>
  </si>
  <si>
    <t>jose0@oaon.com</t>
  </si>
  <si>
    <t>mandar0@oaon.com</t>
  </si>
  <si>
    <t>mikael0@oaon.com</t>
  </si>
  <si>
    <t>sameer0@oaon.com</t>
  </si>
  <si>
    <t>dragan0@oaon.com</t>
  </si>
  <si>
    <t>carol0@oaon.com</t>
  </si>
  <si>
    <t>rob1@oaon.com</t>
  </si>
  <si>
    <t>don0@oaon.com</t>
  </si>
  <si>
    <t>alan0@oaon.com</t>
  </si>
  <si>
    <t>david7@oaon.com</t>
  </si>
  <si>
    <t>baris0@oaon.com</t>
  </si>
  <si>
    <t>michael3@oaon.com</t>
  </si>
  <si>
    <t>steve0@oaon.com</t>
  </si>
  <si>
    <t>suchitra0@oaon.com</t>
  </si>
  <si>
    <t>karen1@oaon.com</t>
  </si>
  <si>
    <t>terrence0@oaon.com</t>
  </si>
  <si>
    <t>barbara1@oaon.com</t>
  </si>
  <si>
    <t>chad0@oaon.com</t>
  </si>
  <si>
    <t>rostislav0@oaon.com</t>
  </si>
  <si>
    <t>belinda0@oaon.com</t>
  </si>
  <si>
    <t>katie0@oaon.com</t>
  </si>
  <si>
    <t>russell1@oaon.com</t>
  </si>
  <si>
    <t>jack0@oaon.com</t>
  </si>
  <si>
    <t>andrew0@oaon.com</t>
  </si>
  <si>
    <t>nicole0@oaon.com</t>
  </si>
  <si>
    <t>frank1@oaon.com</t>
  </si>
  <si>
    <t>peter1@oaon.com</t>
  </si>
  <si>
    <t>anibal0@oaon.com</t>
  </si>
  <si>
    <t>ken1@oaon.com</t>
  </si>
  <si>
    <t>grant0@oaon.com</t>
  </si>
  <si>
    <t>michael4@oaon.com</t>
  </si>
  <si>
    <t>lionel0@oaon.com</t>
  </si>
  <si>
    <t>thomas0@oaon.com</t>
  </si>
  <si>
    <t>jimmy0@oaon.com</t>
  </si>
  <si>
    <t>michael5@oaon.com</t>
  </si>
  <si>
    <t>lori0@oaon.com</t>
  </si>
  <si>
    <t>arvind0@oaon.com</t>
  </si>
  <si>
    <t>stefen0@oaon.com</t>
  </si>
  <si>
    <t>hazem0@oaon.com</t>
  </si>
  <si>
    <t>janet0@oaon.com</t>
  </si>
  <si>
    <t>elizabeth0@oaon.com</t>
  </si>
  <si>
    <t>terry0@oaon.com</t>
  </si>
  <si>
    <t>john3@oaon.com</t>
  </si>
  <si>
    <t>merav0@oaon.com</t>
  </si>
  <si>
    <t>brian1@oaon.com</t>
  </si>
  <si>
    <t>kitti0@oaon.com</t>
  </si>
  <si>
    <t>jay0@oaon.com</t>
  </si>
  <si>
    <t>jan0@oaon.com</t>
  </si>
  <si>
    <t>brenda0@oaon.com</t>
  </si>
  <si>
    <t>andrew1@oaon.com</t>
  </si>
  <si>
    <t>chris1@oaon.com</t>
  </si>
  <si>
    <t>chris2@oaon.com</t>
  </si>
  <si>
    <t>shelley0@oaon.com</t>
  </si>
  <si>
    <t>gabe0@oaon.com</t>
  </si>
  <si>
    <t>mike0@oaon.com</t>
  </si>
  <si>
    <t>michael6@oaon.com</t>
  </si>
  <si>
    <t>gary1@oaon.com</t>
  </si>
  <si>
    <t>charles0@oaon.com</t>
  </si>
  <si>
    <t>ebru0@oaon.com</t>
  </si>
  <si>
    <t>sylvester0@oaon.com</t>
  </si>
  <si>
    <t>brian2@oaon.com</t>
  </si>
  <si>
    <t>linda2@oaon.com</t>
  </si>
  <si>
    <t>betsy0@oaon.com</t>
  </si>
  <si>
    <t>magnus0@oaon.com</t>
  </si>
  <si>
    <t>karan0@oaon.com</t>
  </si>
  <si>
    <t>mary1@oaon.com</t>
  </si>
  <si>
    <t>kevin2@oaon.com</t>
  </si>
  <si>
    <t>mihail0@oaon.com</t>
  </si>
  <si>
    <t>bonnie0@oaon.com</t>
  </si>
  <si>
    <t>fukiko0@oaon.com</t>
  </si>
  <si>
    <t>hung-fu0@oaon.com</t>
  </si>
  <si>
    <t>gordon0@oaon.com</t>
  </si>
  <si>
    <t>kimberly0@oaon.com</t>
  </si>
  <si>
    <t>kim1@oaon.com</t>
  </si>
  <si>
    <t>sandeep0@oaon.com</t>
  </si>
  <si>
    <t>prasanna0@oaon.com</t>
  </si>
  <si>
    <t>frank2@oaon.com</t>
  </si>
  <si>
    <t>min0@oaon.com</t>
  </si>
  <si>
    <t>eric1@oaon.com</t>
  </si>
  <si>
    <t>eric2@oaon.com</t>
  </si>
  <si>
    <t>pat0@oaon.com</t>
  </si>
  <si>
    <t>maciej0@oaon.com</t>
  </si>
  <si>
    <t>erin0@oaon.com</t>
  </si>
  <si>
    <t>patrick0@oaon.com</t>
  </si>
  <si>
    <t>frank3@oaon.com</t>
  </si>
  <si>
    <t>ed0@oaon.com</t>
  </si>
  <si>
    <t>christopher0@oaon.com</t>
  </si>
  <si>
    <t>patrick1@oaon.com</t>
  </si>
  <si>
    <t>krishna0@oaon.com</t>
  </si>
  <si>
    <t>lori1@oaon.com</t>
  </si>
  <si>
    <t>danielle0@oaon.com</t>
  </si>
  <si>
    <t>sootha0@oaon.com</t>
  </si>
  <si>
    <t>michael7@oaon.com</t>
  </si>
  <si>
    <t>randy0@oaon.com</t>
  </si>
  <si>
    <t>john4@oaon.com</t>
  </si>
  <si>
    <t>jack1@oaon.com</t>
  </si>
  <si>
    <t>olinda0@oaon.com</t>
  </si>
  <si>
    <t>stuart1@oaon.com</t>
  </si>
  <si>
    <t>jo1@oaon.com</t>
  </si>
  <si>
    <t>ben0@oaon.com</t>
  </si>
  <si>
    <t>tom0@oaon.com</t>
  </si>
  <si>
    <t>ovidiu0@oaon.com</t>
  </si>
  <si>
    <t>annette0@oaon.com</t>
  </si>
  <si>
    <t>janice0@oaon.com</t>
  </si>
  <si>
    <t>reinout0@oaon.com</t>
  </si>
  <si>
    <t>michael8@oaon.com</t>
  </si>
  <si>
    <t>stephen0@oaon.com</t>
  </si>
  <si>
    <t>wanida0@oaon.com</t>
  </si>
  <si>
    <t>sharon0@oaon.com</t>
  </si>
  <si>
    <t>john5@oaon.com</t>
  </si>
  <si>
    <t>mary2@oaon.com</t>
  </si>
  <si>
    <t>brian3@oaon.com</t>
  </si>
  <si>
    <t>sheela0@oaon.com</t>
  </si>
  <si>
    <t>michael9@oaon.com</t>
  </si>
  <si>
    <t>linda3@oaon.com</t>
  </si>
  <si>
    <t>jillian0@oaon.com</t>
  </si>
  <si>
    <t>garrett1@oaon.com</t>
  </si>
  <si>
    <t>tsvi0@oaon.com</t>
  </si>
  <si>
    <t>pamela0@oaon.com</t>
  </si>
  <si>
    <t>shu0@oaon.com</t>
  </si>
  <si>
    <t>josé1@oaon.com</t>
  </si>
  <si>
    <t>david8@oaon.com</t>
  </si>
  <si>
    <t/>
  </si>
  <si>
    <t>FullTime</t>
  </si>
  <si>
    <t>Contract</t>
  </si>
  <si>
    <t>SupervisorId</t>
  </si>
  <si>
    <t>Admin</t>
  </si>
  <si>
    <t>QualityControl</t>
  </si>
  <si>
    <t>Logistics</t>
  </si>
  <si>
    <t>Vertical</t>
  </si>
  <si>
    <t>WorkerTable</t>
  </si>
  <si>
    <t>WorkerRecordId</t>
  </si>
  <si>
    <t>dimvertical</t>
  </si>
  <si>
    <t>Joinkey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</si>
</sst>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\Thh:mm:ss\Z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161616"/>
      <name val="Segoe UI"/>
      <family val="2"/>
    </font>
    <font>
      <sz val="11"/>
      <color rgb="FF161616"/>
      <name val="Segoe UI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47" fontId="0" fillId="0" borderId="0" xfId="0" applyNumberFormat="1"/>
    <xf numFmtId="164" fontId="0" fillId="0" borderId="0" xfId="0" applyNumberFormat="1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1" fillId="0" borderId="1" xfId="0" applyFont="1" applyFill="1" applyBorder="1"/>
    <xf numFmtId="0" fontId="0" fillId="0" borderId="1" xfId="0" applyFill="1" applyBorder="1"/>
    <xf numFmtId="0" fontId="2" fillId="0" borderId="1" xfId="0" applyFont="1" applyBorder="1"/>
    <xf numFmtId="0" fontId="3" fillId="5" borderId="0" xfId="0" applyFont="1" applyFill="1" applyAlignment="1">
      <alignment horizontal="left" vertical="top" wrapText="1"/>
    </xf>
    <xf numFmtId="0" fontId="4" fillId="5" borderId="0" xfId="0" applyFont="1" applyFill="1" applyAlignment="1">
      <alignment horizontal="left" vertical="top" wrapText="1"/>
    </xf>
    <xf numFmtId="0" fontId="0" fillId="0" borderId="0" xfId="0" applyAlignment="1"/>
    <xf numFmtId="0" fontId="3" fillId="5" borderId="0" xfId="0" applyFont="1" applyFill="1" applyAlignment="1">
      <alignment horizontal="left" vertical="top"/>
    </xf>
    <xf numFmtId="0" fontId="4" fillId="5" borderId="0" xfId="0" applyFont="1" applyFill="1" applyAlignment="1">
      <alignment horizontal="left" vertical="top"/>
    </xf>
    <xf numFmtId="0" fontId="1" fillId="0" borderId="0" xfId="0" applyFont="1" applyAlignment="1"/>
    <xf numFmtId="0" fontId="1" fillId="0" borderId="1" xfId="0" applyFont="1" applyBorder="1" applyAlignment="1"/>
    <xf numFmtId="0" fontId="3" fillId="5" borderId="1" xfId="0" applyFont="1" applyFill="1" applyBorder="1" applyAlignment="1">
      <alignment horizontal="left" vertical="top"/>
    </xf>
    <xf numFmtId="0" fontId="5" fillId="0" borderId="0" xfId="0" applyFont="1"/>
    <xf numFmtId="14" fontId="0" fillId="0" borderId="1" xfId="0" applyNumberFormat="1" applyBorder="1"/>
    <xf numFmtId="2" fontId="0" fillId="0" borderId="1" xfId="0" applyNumberFormat="1" applyBorder="1"/>
    <xf numFmtId="0" fontId="0" fillId="0" borderId="1" xfId="0" applyFont="1" applyBorder="1" applyAlignment="1"/>
    <xf numFmtId="0" fontId="6" fillId="0" borderId="0" xfId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7" fillId="0" borderId="1" xfId="0" applyFont="1" applyBorder="1"/>
    <xf numFmtId="0" fontId="7" fillId="0" borderId="1" xfId="0" applyFont="1" applyFill="1" applyBorder="1"/>
    <xf numFmtId="0" fontId="8" fillId="0" borderId="1" xfId="0" applyFont="1" applyBorder="1"/>
    <xf numFmtId="0" fontId="8" fillId="2" borderId="1" xfId="0" applyFont="1" applyFill="1" applyBorder="1"/>
    <xf numFmtId="0" fontId="9" fillId="0" borderId="1" xfId="0" applyFont="1" applyBorder="1" applyAlignment="1">
      <alignment vertical="center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mailto:jon24@adventure-work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E3:K10"/>
  <sheetViews>
    <sheetView zoomScale="115" zoomScaleNormal="115" workbookViewId="0">
      <selection activeCell="E10" sqref="E10:K10"/>
    </sheetView>
  </sheetViews>
  <sheetFormatPr defaultRowHeight="14.5" x14ac:dyDescent="0.35"/>
  <cols>
    <col min="5" max="5" width="10.453125" bestFit="1" customWidth="1"/>
    <col min="7" max="7" width="14" bestFit="1" customWidth="1"/>
    <col min="9" max="9" width="10.81640625" bestFit="1" customWidth="1"/>
  </cols>
  <sheetData>
    <row r="3" spans="5:11" x14ac:dyDescent="0.35">
      <c r="E3" s="1" t="s">
        <v>0</v>
      </c>
      <c r="F3" s="1"/>
      <c r="G3" s="1" t="s">
        <v>1</v>
      </c>
      <c r="H3" s="1"/>
      <c r="I3" s="1" t="s">
        <v>2</v>
      </c>
      <c r="J3" s="1"/>
      <c r="K3" s="1" t="s">
        <v>3</v>
      </c>
    </row>
    <row r="8" spans="5:11" x14ac:dyDescent="0.35">
      <c r="E8" s="27" t="s">
        <v>4</v>
      </c>
      <c r="F8" s="27"/>
      <c r="G8" s="27"/>
      <c r="H8" s="27"/>
      <c r="I8" s="27"/>
    </row>
    <row r="10" spans="5:11" x14ac:dyDescent="0.35">
      <c r="E10" s="28" t="s">
        <v>32</v>
      </c>
      <c r="F10" s="28"/>
      <c r="G10" s="28"/>
      <c r="H10" s="28"/>
      <c r="I10" s="28"/>
      <c r="J10" s="28"/>
      <c r="K10" s="28"/>
    </row>
  </sheetData>
  <mergeCells count="2">
    <mergeCell ref="E8:I8"/>
    <mergeCell ref="E10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-0.249977111117893"/>
  </sheetPr>
  <dimension ref="A3:I15"/>
  <sheetViews>
    <sheetView workbookViewId="0">
      <selection activeCell="I15" sqref="I15"/>
    </sheetView>
  </sheetViews>
  <sheetFormatPr defaultRowHeight="14.5" x14ac:dyDescent="0.35"/>
  <cols>
    <col min="1" max="1" width="11.08984375" bestFit="1" customWidth="1"/>
    <col min="7" max="7" width="16.54296875" customWidth="1"/>
    <col min="8" max="8" width="45" bestFit="1" customWidth="1"/>
  </cols>
  <sheetData>
    <row r="3" spans="1:9" x14ac:dyDescent="0.35">
      <c r="C3" s="1" t="s">
        <v>53</v>
      </c>
      <c r="H3" s="1" t="s">
        <v>5</v>
      </c>
    </row>
    <row r="5" spans="1:9" x14ac:dyDescent="0.35">
      <c r="B5">
        <v>1</v>
      </c>
      <c r="C5" t="s">
        <v>6</v>
      </c>
      <c r="H5" t="s">
        <v>58</v>
      </c>
    </row>
    <row r="7" spans="1:9" x14ac:dyDescent="0.35">
      <c r="A7" t="s">
        <v>8</v>
      </c>
      <c r="B7">
        <v>2</v>
      </c>
      <c r="C7" t="s">
        <v>54</v>
      </c>
      <c r="H7" t="s">
        <v>55</v>
      </c>
      <c r="I7" t="s">
        <v>65</v>
      </c>
    </row>
    <row r="9" spans="1:9" x14ac:dyDescent="0.35">
      <c r="A9" t="s">
        <v>9</v>
      </c>
      <c r="B9">
        <v>3</v>
      </c>
      <c r="C9" t="s">
        <v>56</v>
      </c>
      <c r="H9" t="s">
        <v>57</v>
      </c>
    </row>
    <row r="11" spans="1:9" x14ac:dyDescent="0.35">
      <c r="B11">
        <v>4</v>
      </c>
      <c r="C11" t="s">
        <v>59</v>
      </c>
      <c r="H11" t="s">
        <v>60</v>
      </c>
    </row>
    <row r="13" spans="1:9" x14ac:dyDescent="0.35">
      <c r="B13">
        <v>5</v>
      </c>
      <c r="C13" t="s">
        <v>61</v>
      </c>
      <c r="H13" t="s">
        <v>62</v>
      </c>
    </row>
    <row r="15" spans="1:9" x14ac:dyDescent="0.35">
      <c r="B15">
        <v>6</v>
      </c>
      <c r="C15" t="s">
        <v>64</v>
      </c>
      <c r="H15" t="s">
        <v>63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1"/>
  <sheetViews>
    <sheetView workbookViewId="0">
      <selection sqref="A1:H1"/>
    </sheetView>
  </sheetViews>
  <sheetFormatPr defaultRowHeight="14.5" x14ac:dyDescent="0.35"/>
  <cols>
    <col min="2" max="2" width="14.90625" bestFit="1" customWidth="1"/>
    <col min="3" max="3" width="16.1796875" bestFit="1" customWidth="1"/>
    <col min="4" max="4" width="14.26953125" bestFit="1" customWidth="1"/>
    <col min="5" max="5" width="11.26953125" bestFit="1" customWidth="1"/>
    <col min="6" max="6" width="18.453125" bestFit="1" customWidth="1"/>
  </cols>
  <sheetData>
    <row r="1" spans="1:8" x14ac:dyDescent="0.35">
      <c r="A1" t="s">
        <v>10</v>
      </c>
      <c r="B1" t="s">
        <v>11</v>
      </c>
      <c r="C1" t="s">
        <v>13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1"/>
  <sheetViews>
    <sheetView workbookViewId="0"/>
  </sheetViews>
  <sheetFormatPr defaultRowHeight="14.5" x14ac:dyDescent="0.35"/>
  <cols>
    <col min="1" max="1" width="11.90625" bestFit="1" customWidth="1"/>
  </cols>
  <sheetData>
    <row r="1" spans="1:10" x14ac:dyDescent="0.3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24</v>
      </c>
      <c r="G1" t="s">
        <v>23</v>
      </c>
      <c r="H1" t="s">
        <v>25</v>
      </c>
      <c r="I1" t="s">
        <v>26</v>
      </c>
      <c r="J1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A109"/>
  <sheetViews>
    <sheetView workbookViewId="0">
      <selection activeCell="A14" sqref="A14"/>
    </sheetView>
  </sheetViews>
  <sheetFormatPr defaultRowHeight="14.5" x14ac:dyDescent="0.35"/>
  <cols>
    <col min="2" max="2" width="21.54296875" bestFit="1" customWidth="1"/>
    <col min="3" max="3" width="28" bestFit="1" customWidth="1"/>
    <col min="4" max="4" width="25.36328125" bestFit="1" customWidth="1"/>
    <col min="8" max="8" width="10.81640625" bestFit="1" customWidth="1"/>
    <col min="10" max="10" width="11.81640625" bestFit="1" customWidth="1"/>
    <col min="11" max="12" width="10.08984375" bestFit="1" customWidth="1"/>
    <col min="16" max="16" width="12.54296875" bestFit="1" customWidth="1"/>
    <col min="19" max="19" width="10.36328125" bestFit="1" customWidth="1"/>
  </cols>
  <sheetData>
    <row r="1" spans="1:27" x14ac:dyDescent="0.35">
      <c r="A1" t="s">
        <v>27</v>
      </c>
      <c r="B1" t="s">
        <v>28</v>
      </c>
      <c r="C1" t="s">
        <v>96</v>
      </c>
      <c r="D1" t="s">
        <v>97</v>
      </c>
      <c r="E1" t="s">
        <v>19</v>
      </c>
      <c r="F1" t="s">
        <v>20</v>
      </c>
      <c r="G1" t="s">
        <v>21</v>
      </c>
      <c r="H1" t="s">
        <v>22</v>
      </c>
      <c r="I1" t="s">
        <v>24</v>
      </c>
      <c r="J1" t="s">
        <v>23</v>
      </c>
      <c r="K1" t="s">
        <v>25</v>
      </c>
      <c r="L1" t="s">
        <v>26</v>
      </c>
      <c r="M1" t="s">
        <v>29</v>
      </c>
      <c r="N1" t="s">
        <v>16</v>
      </c>
      <c r="O1" t="s">
        <v>17</v>
      </c>
      <c r="P1" t="s">
        <v>30</v>
      </c>
    </row>
    <row r="2" spans="1:27" x14ac:dyDescent="0.35">
      <c r="A2">
        <v>700001</v>
      </c>
      <c r="B2" t="s">
        <v>154</v>
      </c>
      <c r="D2" s="2">
        <v>45293</v>
      </c>
      <c r="H2" t="s">
        <v>236</v>
      </c>
      <c r="J2" t="s">
        <v>230</v>
      </c>
      <c r="K2" s="2">
        <v>39448</v>
      </c>
      <c r="L2" s="2">
        <v>46002</v>
      </c>
      <c r="M2">
        <v>1</v>
      </c>
      <c r="N2">
        <v>36429234</v>
      </c>
      <c r="O2" t="s">
        <v>254</v>
      </c>
      <c r="P2" t="s">
        <v>243</v>
      </c>
    </row>
    <row r="3" spans="1:27" x14ac:dyDescent="0.35">
      <c r="A3">
        <v>700002</v>
      </c>
      <c r="B3" t="s">
        <v>155</v>
      </c>
      <c r="D3" s="2">
        <v>45293</v>
      </c>
      <c r="H3" t="s">
        <v>235</v>
      </c>
      <c r="J3" t="s">
        <v>230</v>
      </c>
      <c r="K3" s="2">
        <v>39449</v>
      </c>
      <c r="L3" s="2">
        <v>46009</v>
      </c>
      <c r="M3">
        <v>1</v>
      </c>
      <c r="N3">
        <v>36429234</v>
      </c>
      <c r="O3" t="s">
        <v>255</v>
      </c>
      <c r="P3" t="s">
        <v>246</v>
      </c>
      <c r="S3" t="s">
        <v>98</v>
      </c>
      <c r="T3" t="s">
        <v>108</v>
      </c>
      <c r="W3" t="s">
        <v>228</v>
      </c>
      <c r="Y3" t="s">
        <v>233</v>
      </c>
      <c r="Z3" t="s">
        <v>228</v>
      </c>
      <c r="AA3" t="s">
        <v>244</v>
      </c>
    </row>
    <row r="4" spans="1:27" x14ac:dyDescent="0.35">
      <c r="A4">
        <v>700003</v>
      </c>
      <c r="B4" t="s">
        <v>156</v>
      </c>
      <c r="D4" s="2">
        <v>45293</v>
      </c>
      <c r="H4" t="s">
        <v>235</v>
      </c>
      <c r="J4" t="s">
        <v>230</v>
      </c>
      <c r="K4" s="2">
        <v>39455</v>
      </c>
      <c r="L4" s="2">
        <v>46018</v>
      </c>
      <c r="M4">
        <v>1</v>
      </c>
      <c r="N4">
        <v>36429234</v>
      </c>
      <c r="O4" t="s">
        <v>256</v>
      </c>
      <c r="P4" t="s">
        <v>246</v>
      </c>
      <c r="S4" t="s">
        <v>99</v>
      </c>
      <c r="T4" t="s">
        <v>109</v>
      </c>
      <c r="W4" t="s">
        <v>229</v>
      </c>
      <c r="Y4" t="s">
        <v>234</v>
      </c>
      <c r="Z4" t="s">
        <v>229</v>
      </c>
      <c r="AA4" t="s">
        <v>245</v>
      </c>
    </row>
    <row r="5" spans="1:27" x14ac:dyDescent="0.35">
      <c r="A5">
        <v>700004</v>
      </c>
      <c r="B5" t="s">
        <v>157</v>
      </c>
      <c r="D5" s="2">
        <v>45293</v>
      </c>
      <c r="H5" t="s">
        <v>237</v>
      </c>
      <c r="J5" t="s">
        <v>230</v>
      </c>
      <c r="K5" s="2">
        <v>39464</v>
      </c>
      <c r="L5" s="2">
        <v>46020</v>
      </c>
      <c r="M5">
        <v>1</v>
      </c>
      <c r="N5">
        <v>36429234</v>
      </c>
      <c r="O5" t="s">
        <v>257</v>
      </c>
      <c r="P5" t="s">
        <v>247</v>
      </c>
      <c r="S5" t="s">
        <v>100</v>
      </c>
      <c r="T5" t="s">
        <v>110</v>
      </c>
      <c r="W5" t="s">
        <v>230</v>
      </c>
      <c r="Y5" t="s">
        <v>235</v>
      </c>
      <c r="Z5" t="s">
        <v>230</v>
      </c>
      <c r="AA5" t="s">
        <v>246</v>
      </c>
    </row>
    <row r="6" spans="1:27" x14ac:dyDescent="0.35">
      <c r="A6">
        <v>700005</v>
      </c>
      <c r="B6" t="s">
        <v>158</v>
      </c>
      <c r="D6" s="2">
        <v>45293</v>
      </c>
      <c r="H6" t="s">
        <v>238</v>
      </c>
      <c r="J6" t="s">
        <v>230</v>
      </c>
      <c r="K6" s="2">
        <v>39465</v>
      </c>
      <c r="L6" s="2">
        <v>46024</v>
      </c>
      <c r="M6">
        <v>1</v>
      </c>
      <c r="N6">
        <v>36429234</v>
      </c>
      <c r="O6" t="s">
        <v>258</v>
      </c>
      <c r="P6" t="s">
        <v>248</v>
      </c>
      <c r="S6" t="s">
        <v>101</v>
      </c>
      <c r="T6" t="s">
        <v>147</v>
      </c>
      <c r="W6" t="s">
        <v>231</v>
      </c>
      <c r="Y6" t="s">
        <v>236</v>
      </c>
      <c r="Z6" t="s">
        <v>230</v>
      </c>
      <c r="AA6" t="s">
        <v>243</v>
      </c>
    </row>
    <row r="7" spans="1:27" x14ac:dyDescent="0.35">
      <c r="A7">
        <v>700006</v>
      </c>
      <c r="B7" t="s">
        <v>113</v>
      </c>
      <c r="D7" s="2">
        <v>45293</v>
      </c>
      <c r="H7" t="s">
        <v>235</v>
      </c>
      <c r="J7" t="s">
        <v>230</v>
      </c>
      <c r="K7" s="2">
        <v>39475</v>
      </c>
      <c r="L7" s="2">
        <v>46025</v>
      </c>
      <c r="M7">
        <v>1</v>
      </c>
      <c r="N7">
        <v>36429234</v>
      </c>
      <c r="O7" t="s">
        <v>259</v>
      </c>
      <c r="P7" t="s">
        <v>246</v>
      </c>
      <c r="S7" t="s">
        <v>102</v>
      </c>
      <c r="T7" t="s">
        <v>148</v>
      </c>
      <c r="W7" t="s">
        <v>232</v>
      </c>
      <c r="Y7" t="s">
        <v>237</v>
      </c>
      <c r="Z7" t="s">
        <v>230</v>
      </c>
      <c r="AA7" t="s">
        <v>247</v>
      </c>
    </row>
    <row r="8" spans="1:27" x14ac:dyDescent="0.35">
      <c r="A8">
        <v>700007</v>
      </c>
      <c r="B8" t="s">
        <v>118</v>
      </c>
      <c r="D8" s="2">
        <v>45293</v>
      </c>
      <c r="H8" t="s">
        <v>234</v>
      </c>
      <c r="J8" t="s">
        <v>229</v>
      </c>
      <c r="K8" s="2">
        <v>39482</v>
      </c>
      <c r="L8" s="2">
        <v>46030</v>
      </c>
      <c r="M8">
        <v>1</v>
      </c>
      <c r="N8">
        <v>36429234</v>
      </c>
      <c r="O8" t="s">
        <v>260</v>
      </c>
      <c r="P8" t="s">
        <v>245</v>
      </c>
      <c r="S8" t="s">
        <v>103</v>
      </c>
      <c r="T8" t="s">
        <v>150</v>
      </c>
      <c r="Y8" t="s">
        <v>238</v>
      </c>
      <c r="Z8" t="s">
        <v>230</v>
      </c>
      <c r="AA8" t="s">
        <v>248</v>
      </c>
    </row>
    <row r="9" spans="1:27" x14ac:dyDescent="0.35">
      <c r="A9">
        <v>700008</v>
      </c>
      <c r="B9" t="s">
        <v>159</v>
      </c>
      <c r="D9" s="2">
        <v>45293</v>
      </c>
      <c r="H9" t="s">
        <v>237</v>
      </c>
      <c r="J9" t="s">
        <v>230</v>
      </c>
      <c r="K9" s="2">
        <v>39484</v>
      </c>
      <c r="L9" s="2">
        <v>46034</v>
      </c>
      <c r="M9">
        <v>1</v>
      </c>
      <c r="N9">
        <v>36429234</v>
      </c>
      <c r="O9" t="s">
        <v>261</v>
      </c>
      <c r="P9" t="s">
        <v>247</v>
      </c>
      <c r="S9" t="s">
        <v>104</v>
      </c>
      <c r="T9" t="s">
        <v>151</v>
      </c>
      <c r="Y9" t="s">
        <v>239</v>
      </c>
      <c r="Z9" t="s">
        <v>230</v>
      </c>
      <c r="AA9" t="s">
        <v>249</v>
      </c>
    </row>
    <row r="10" spans="1:27" x14ac:dyDescent="0.35">
      <c r="A10">
        <v>700009</v>
      </c>
      <c r="B10" t="s">
        <v>160</v>
      </c>
      <c r="D10" s="2">
        <v>45293</v>
      </c>
      <c r="H10" t="s">
        <v>241</v>
      </c>
      <c r="J10" t="s">
        <v>231</v>
      </c>
      <c r="K10" s="2">
        <v>39488</v>
      </c>
      <c r="L10" s="2">
        <v>46039</v>
      </c>
      <c r="M10">
        <v>1</v>
      </c>
      <c r="N10">
        <v>36429234</v>
      </c>
      <c r="O10" t="s">
        <v>262</v>
      </c>
      <c r="P10" t="s">
        <v>251</v>
      </c>
      <c r="S10" t="s">
        <v>105</v>
      </c>
      <c r="Y10" t="s">
        <v>240</v>
      </c>
      <c r="Z10" t="s">
        <v>230</v>
      </c>
      <c r="AA10" t="s">
        <v>250</v>
      </c>
    </row>
    <row r="11" spans="1:27" x14ac:dyDescent="0.35">
      <c r="A11">
        <v>700010</v>
      </c>
      <c r="B11" t="s">
        <v>146</v>
      </c>
      <c r="D11" s="2">
        <v>45293</v>
      </c>
      <c r="H11" t="s">
        <v>236</v>
      </c>
      <c r="J11" t="s">
        <v>230</v>
      </c>
      <c r="K11" s="2">
        <v>39491</v>
      </c>
      <c r="L11" s="2">
        <v>46040</v>
      </c>
      <c r="M11">
        <v>1</v>
      </c>
      <c r="N11">
        <v>36429234</v>
      </c>
      <c r="O11" t="s">
        <v>263</v>
      </c>
      <c r="P11" t="s">
        <v>243</v>
      </c>
      <c r="S11" t="s">
        <v>106</v>
      </c>
      <c r="Y11" t="s">
        <v>241</v>
      </c>
      <c r="Z11" t="s">
        <v>231</v>
      </c>
      <c r="AA11" t="s">
        <v>251</v>
      </c>
    </row>
    <row r="12" spans="1:27" x14ac:dyDescent="0.35">
      <c r="A12">
        <v>700011</v>
      </c>
      <c r="B12" t="s">
        <v>161</v>
      </c>
      <c r="D12" s="2">
        <v>45293</v>
      </c>
      <c r="H12" t="s">
        <v>233</v>
      </c>
      <c r="J12" t="s">
        <v>228</v>
      </c>
      <c r="K12" s="2">
        <v>39496</v>
      </c>
      <c r="L12" s="2">
        <v>46046</v>
      </c>
      <c r="M12">
        <v>1</v>
      </c>
      <c r="N12">
        <v>36429234</v>
      </c>
      <c r="O12" t="s">
        <v>264</v>
      </c>
      <c r="P12" t="s">
        <v>244</v>
      </c>
      <c r="S12" t="s">
        <v>107</v>
      </c>
      <c r="Y12" t="s">
        <v>242</v>
      </c>
      <c r="Z12" t="s">
        <v>231</v>
      </c>
      <c r="AA12" t="s">
        <v>252</v>
      </c>
    </row>
    <row r="13" spans="1:27" x14ac:dyDescent="0.35">
      <c r="A13">
        <v>700012</v>
      </c>
      <c r="B13" t="s">
        <v>144</v>
      </c>
      <c r="D13" s="2">
        <v>45293</v>
      </c>
      <c r="H13" t="s">
        <v>235</v>
      </c>
      <c r="J13" t="s">
        <v>230</v>
      </c>
      <c r="K13" s="2">
        <v>39503</v>
      </c>
      <c r="L13" s="2">
        <v>46047</v>
      </c>
      <c r="M13">
        <v>1</v>
      </c>
      <c r="N13">
        <v>36429234</v>
      </c>
      <c r="O13" t="s">
        <v>265</v>
      </c>
      <c r="P13" t="s">
        <v>246</v>
      </c>
      <c r="S13" t="s">
        <v>111</v>
      </c>
      <c r="Y13" t="s">
        <v>232</v>
      </c>
      <c r="Z13" t="s">
        <v>232</v>
      </c>
      <c r="AA13" t="s">
        <v>253</v>
      </c>
    </row>
    <row r="14" spans="1:27" x14ac:dyDescent="0.35">
      <c r="A14">
        <v>700013</v>
      </c>
      <c r="B14" t="s">
        <v>162</v>
      </c>
      <c r="D14" s="2">
        <v>45293</v>
      </c>
      <c r="H14" t="s">
        <v>242</v>
      </c>
      <c r="J14" t="s">
        <v>231</v>
      </c>
      <c r="K14" s="2">
        <v>39506</v>
      </c>
      <c r="L14" s="2">
        <v>46050</v>
      </c>
      <c r="M14">
        <v>1</v>
      </c>
      <c r="N14">
        <v>36429234</v>
      </c>
      <c r="O14" t="s">
        <v>266</v>
      </c>
      <c r="P14" t="s">
        <v>252</v>
      </c>
      <c r="S14" t="s">
        <v>112</v>
      </c>
    </row>
    <row r="15" spans="1:27" x14ac:dyDescent="0.35">
      <c r="A15">
        <v>700014</v>
      </c>
      <c r="B15" t="s">
        <v>163</v>
      </c>
      <c r="D15" s="2">
        <v>45293</v>
      </c>
      <c r="H15" t="s">
        <v>233</v>
      </c>
      <c r="J15" t="s">
        <v>228</v>
      </c>
      <c r="K15" s="2">
        <v>39510</v>
      </c>
      <c r="L15" s="2">
        <v>46051</v>
      </c>
      <c r="M15">
        <v>1</v>
      </c>
      <c r="N15">
        <v>36429234</v>
      </c>
      <c r="O15" t="s">
        <v>267</v>
      </c>
      <c r="P15" t="s">
        <v>244</v>
      </c>
      <c r="S15" t="s">
        <v>149</v>
      </c>
    </row>
    <row r="16" spans="1:27" x14ac:dyDescent="0.35">
      <c r="A16">
        <v>700015</v>
      </c>
      <c r="B16" t="s">
        <v>164</v>
      </c>
      <c r="D16" s="2">
        <v>45293</v>
      </c>
      <c r="H16" t="s">
        <v>240</v>
      </c>
      <c r="J16" t="s">
        <v>230</v>
      </c>
      <c r="K16" s="2">
        <v>39512</v>
      </c>
      <c r="L16" s="2">
        <v>46056</v>
      </c>
      <c r="M16">
        <v>1</v>
      </c>
      <c r="N16">
        <v>36429234</v>
      </c>
      <c r="O16" t="s">
        <v>268</v>
      </c>
      <c r="P16" t="s">
        <v>250</v>
      </c>
      <c r="S16" t="s">
        <v>152</v>
      </c>
    </row>
    <row r="17" spans="1:19" x14ac:dyDescent="0.35">
      <c r="A17">
        <v>700016</v>
      </c>
      <c r="B17" t="s">
        <v>165</v>
      </c>
      <c r="D17" s="2">
        <v>45293</v>
      </c>
      <c r="H17" t="s">
        <v>242</v>
      </c>
      <c r="J17" t="s">
        <v>231</v>
      </c>
      <c r="K17" s="2">
        <v>39519</v>
      </c>
      <c r="L17" s="2">
        <v>46061</v>
      </c>
      <c r="M17">
        <v>1</v>
      </c>
      <c r="N17">
        <v>36429234</v>
      </c>
      <c r="O17" t="s">
        <v>269</v>
      </c>
      <c r="P17" t="s">
        <v>252</v>
      </c>
      <c r="S17" t="s">
        <v>153</v>
      </c>
    </row>
    <row r="18" spans="1:19" x14ac:dyDescent="0.35">
      <c r="A18">
        <v>700017</v>
      </c>
      <c r="B18" t="s">
        <v>166</v>
      </c>
      <c r="D18" s="2">
        <v>45293</v>
      </c>
      <c r="H18" t="s">
        <v>234</v>
      </c>
      <c r="J18" t="s">
        <v>229</v>
      </c>
      <c r="K18" s="2">
        <v>39527</v>
      </c>
      <c r="L18" s="2">
        <v>46065</v>
      </c>
      <c r="M18">
        <v>1</v>
      </c>
      <c r="N18">
        <v>36429234</v>
      </c>
      <c r="O18" t="s">
        <v>270</v>
      </c>
      <c r="P18" t="s">
        <v>245</v>
      </c>
      <c r="S18" t="s">
        <v>83</v>
      </c>
    </row>
    <row r="19" spans="1:19" x14ac:dyDescent="0.35">
      <c r="A19">
        <v>700018</v>
      </c>
      <c r="B19" t="s">
        <v>167</v>
      </c>
      <c r="D19" s="2">
        <v>45293</v>
      </c>
      <c r="H19" t="s">
        <v>240</v>
      </c>
      <c r="J19" t="s">
        <v>230</v>
      </c>
      <c r="K19" s="2">
        <v>39532</v>
      </c>
      <c r="L19" s="2">
        <v>46074</v>
      </c>
      <c r="M19">
        <v>1</v>
      </c>
      <c r="N19">
        <v>36429234</v>
      </c>
      <c r="O19" t="s">
        <v>271</v>
      </c>
      <c r="P19" t="s">
        <v>250</v>
      </c>
    </row>
    <row r="20" spans="1:19" x14ac:dyDescent="0.35">
      <c r="A20">
        <v>700019</v>
      </c>
      <c r="B20" t="s">
        <v>119</v>
      </c>
      <c r="D20" s="2">
        <v>45293</v>
      </c>
      <c r="H20" t="s">
        <v>241</v>
      </c>
      <c r="J20" t="s">
        <v>231</v>
      </c>
      <c r="K20" s="2">
        <v>39537</v>
      </c>
      <c r="L20" s="2">
        <v>46083</v>
      </c>
      <c r="M20">
        <v>1</v>
      </c>
      <c r="N20">
        <v>36429234</v>
      </c>
      <c r="O20" t="s">
        <v>272</v>
      </c>
      <c r="P20" t="s">
        <v>251</v>
      </c>
    </row>
    <row r="21" spans="1:19" x14ac:dyDescent="0.35">
      <c r="A21">
        <v>700020</v>
      </c>
      <c r="B21" t="s">
        <v>168</v>
      </c>
      <c r="D21" s="2">
        <v>45293</v>
      </c>
      <c r="H21" t="s">
        <v>233</v>
      </c>
      <c r="J21" t="s">
        <v>228</v>
      </c>
      <c r="K21" s="2">
        <v>39547</v>
      </c>
      <c r="L21" s="2">
        <v>46088</v>
      </c>
      <c r="M21">
        <v>1</v>
      </c>
      <c r="N21">
        <v>36429234</v>
      </c>
      <c r="O21" t="s">
        <v>273</v>
      </c>
      <c r="P21" t="s">
        <v>244</v>
      </c>
    </row>
    <row r="22" spans="1:19" x14ac:dyDescent="0.35">
      <c r="A22">
        <v>700021</v>
      </c>
      <c r="B22" t="s">
        <v>169</v>
      </c>
      <c r="D22" s="2">
        <v>45293</v>
      </c>
      <c r="H22" t="s">
        <v>237</v>
      </c>
      <c r="J22" t="s">
        <v>230</v>
      </c>
      <c r="K22" s="2">
        <v>39553</v>
      </c>
      <c r="L22" s="2">
        <v>46092</v>
      </c>
      <c r="M22">
        <v>1</v>
      </c>
      <c r="N22">
        <v>36429234</v>
      </c>
      <c r="O22" t="s">
        <v>274</v>
      </c>
      <c r="P22" t="s">
        <v>247</v>
      </c>
    </row>
    <row r="23" spans="1:19" x14ac:dyDescent="0.35">
      <c r="A23">
        <v>700022</v>
      </c>
      <c r="B23" t="s">
        <v>170</v>
      </c>
      <c r="D23" s="2">
        <v>45293</v>
      </c>
      <c r="H23" t="s">
        <v>242</v>
      </c>
      <c r="J23" t="s">
        <v>231</v>
      </c>
      <c r="K23" s="2">
        <v>39554</v>
      </c>
      <c r="L23" s="2">
        <v>46100</v>
      </c>
      <c r="M23">
        <v>1</v>
      </c>
      <c r="N23">
        <v>36429234</v>
      </c>
      <c r="O23" t="s">
        <v>275</v>
      </c>
      <c r="P23" t="s">
        <v>252</v>
      </c>
    </row>
    <row r="24" spans="1:19" x14ac:dyDescent="0.35">
      <c r="A24">
        <v>700023</v>
      </c>
      <c r="B24" t="s">
        <v>171</v>
      </c>
      <c r="D24" s="2">
        <v>45293</v>
      </c>
      <c r="H24" t="s">
        <v>242</v>
      </c>
      <c r="J24" t="s">
        <v>231</v>
      </c>
      <c r="K24" s="2">
        <v>39559</v>
      </c>
      <c r="L24" s="2">
        <v>46105</v>
      </c>
      <c r="M24">
        <v>1</v>
      </c>
      <c r="N24">
        <v>36429234</v>
      </c>
      <c r="O24" t="s">
        <v>276</v>
      </c>
      <c r="P24" t="s">
        <v>252</v>
      </c>
    </row>
    <row r="25" spans="1:19" x14ac:dyDescent="0.35">
      <c r="A25">
        <v>700001</v>
      </c>
      <c r="B25" t="s">
        <v>172</v>
      </c>
      <c r="D25" s="2">
        <v>45293</v>
      </c>
      <c r="H25" t="s">
        <v>238</v>
      </c>
      <c r="J25" t="s">
        <v>230</v>
      </c>
      <c r="K25" s="2">
        <v>39566</v>
      </c>
      <c r="L25" s="2">
        <v>46110</v>
      </c>
      <c r="M25">
        <v>1</v>
      </c>
      <c r="N25">
        <v>36429234</v>
      </c>
      <c r="O25" t="s">
        <v>277</v>
      </c>
      <c r="P25" t="s">
        <v>248</v>
      </c>
    </row>
    <row r="26" spans="1:19" x14ac:dyDescent="0.35">
      <c r="A26">
        <v>700002</v>
      </c>
      <c r="B26" t="s">
        <v>173</v>
      </c>
      <c r="D26" s="2">
        <v>45293</v>
      </c>
      <c r="H26" t="s">
        <v>236</v>
      </c>
      <c r="J26" t="s">
        <v>230</v>
      </c>
      <c r="K26" s="2">
        <v>39568</v>
      </c>
      <c r="L26" s="2">
        <v>46118</v>
      </c>
      <c r="M26">
        <v>1</v>
      </c>
      <c r="N26">
        <v>36429234</v>
      </c>
      <c r="O26" t="s">
        <v>278</v>
      </c>
      <c r="P26" t="s">
        <v>243</v>
      </c>
    </row>
    <row r="27" spans="1:19" x14ac:dyDescent="0.35">
      <c r="A27">
        <v>700003</v>
      </c>
      <c r="B27" t="s">
        <v>141</v>
      </c>
      <c r="D27" s="2">
        <v>45293</v>
      </c>
      <c r="H27" t="s">
        <v>236</v>
      </c>
      <c r="J27" t="s">
        <v>230</v>
      </c>
      <c r="K27" s="2">
        <v>39571</v>
      </c>
      <c r="L27" s="2">
        <v>46126</v>
      </c>
      <c r="M27">
        <v>1</v>
      </c>
      <c r="N27">
        <v>36429234</v>
      </c>
      <c r="O27" t="s">
        <v>279</v>
      </c>
      <c r="P27" t="s">
        <v>243</v>
      </c>
    </row>
    <row r="28" spans="1:19" x14ac:dyDescent="0.35">
      <c r="A28">
        <v>700004</v>
      </c>
      <c r="B28" t="s">
        <v>132</v>
      </c>
      <c r="D28" s="2">
        <v>45293</v>
      </c>
      <c r="H28" t="s">
        <v>240</v>
      </c>
      <c r="J28" t="s">
        <v>230</v>
      </c>
      <c r="K28" s="2">
        <v>39573</v>
      </c>
      <c r="L28" s="2">
        <v>46131</v>
      </c>
      <c r="M28">
        <v>1</v>
      </c>
      <c r="N28">
        <v>36429234</v>
      </c>
      <c r="O28" t="s">
        <v>280</v>
      </c>
      <c r="P28" t="s">
        <v>250</v>
      </c>
    </row>
    <row r="29" spans="1:19" x14ac:dyDescent="0.35">
      <c r="A29">
        <v>700005</v>
      </c>
      <c r="B29" t="s">
        <v>174</v>
      </c>
      <c r="D29" s="2">
        <v>45293</v>
      </c>
      <c r="H29" t="s">
        <v>233</v>
      </c>
      <c r="J29" t="s">
        <v>228</v>
      </c>
      <c r="K29" s="2">
        <v>39574</v>
      </c>
      <c r="L29" s="2">
        <v>46141</v>
      </c>
      <c r="M29">
        <v>1</v>
      </c>
      <c r="N29">
        <v>36429234</v>
      </c>
      <c r="O29" t="s">
        <v>281</v>
      </c>
      <c r="P29" t="s">
        <v>244</v>
      </c>
    </row>
    <row r="30" spans="1:19" x14ac:dyDescent="0.35">
      <c r="A30">
        <v>700006</v>
      </c>
      <c r="B30" t="s">
        <v>131</v>
      </c>
      <c r="D30" s="2">
        <v>45293</v>
      </c>
      <c r="H30" t="s">
        <v>242</v>
      </c>
      <c r="J30" t="s">
        <v>231</v>
      </c>
      <c r="K30" s="2">
        <v>39580</v>
      </c>
      <c r="L30" s="2">
        <v>46143</v>
      </c>
      <c r="M30">
        <v>1</v>
      </c>
      <c r="N30">
        <v>36429234</v>
      </c>
      <c r="O30" t="s">
        <v>282</v>
      </c>
      <c r="P30" t="s">
        <v>252</v>
      </c>
    </row>
    <row r="31" spans="1:19" x14ac:dyDescent="0.35">
      <c r="A31">
        <v>700007</v>
      </c>
      <c r="B31" t="s">
        <v>175</v>
      </c>
      <c r="D31" s="2">
        <v>45293</v>
      </c>
      <c r="H31" t="s">
        <v>232</v>
      </c>
      <c r="J31" t="s">
        <v>232</v>
      </c>
      <c r="K31" s="2">
        <v>39587</v>
      </c>
      <c r="L31" s="2">
        <v>46149</v>
      </c>
      <c r="M31">
        <v>1</v>
      </c>
      <c r="N31">
        <v>36429234</v>
      </c>
      <c r="O31" t="s">
        <v>283</v>
      </c>
      <c r="P31" t="s">
        <v>253</v>
      </c>
    </row>
    <row r="32" spans="1:19" x14ac:dyDescent="0.35">
      <c r="A32">
        <v>700008</v>
      </c>
      <c r="B32" t="s">
        <v>176</v>
      </c>
      <c r="D32" s="2">
        <v>45293</v>
      </c>
      <c r="H32" t="s">
        <v>238</v>
      </c>
      <c r="J32" t="s">
        <v>230</v>
      </c>
      <c r="K32" s="2">
        <v>39591</v>
      </c>
      <c r="L32" s="2">
        <v>46153</v>
      </c>
      <c r="M32">
        <v>1</v>
      </c>
      <c r="N32">
        <v>36429234</v>
      </c>
      <c r="O32" t="s">
        <v>284</v>
      </c>
      <c r="P32" t="s">
        <v>248</v>
      </c>
    </row>
    <row r="33" spans="1:16" x14ac:dyDescent="0.35">
      <c r="A33">
        <v>700009</v>
      </c>
      <c r="B33" t="s">
        <v>177</v>
      </c>
      <c r="D33" s="2">
        <v>45293</v>
      </c>
      <c r="H33" t="s">
        <v>241</v>
      </c>
      <c r="J33" t="s">
        <v>231</v>
      </c>
      <c r="K33" s="2">
        <v>39600</v>
      </c>
      <c r="L33" s="2">
        <v>46157</v>
      </c>
      <c r="M33">
        <v>1</v>
      </c>
      <c r="N33">
        <v>36429234</v>
      </c>
      <c r="O33" t="s">
        <v>285</v>
      </c>
      <c r="P33" t="s">
        <v>251</v>
      </c>
    </row>
    <row r="34" spans="1:16" x14ac:dyDescent="0.35">
      <c r="A34">
        <v>700010</v>
      </c>
      <c r="B34" t="s">
        <v>135</v>
      </c>
      <c r="D34" s="2">
        <v>45293</v>
      </c>
      <c r="H34" t="s">
        <v>238</v>
      </c>
      <c r="J34" t="s">
        <v>230</v>
      </c>
      <c r="K34" s="2">
        <v>39601</v>
      </c>
      <c r="L34" s="2">
        <v>46158</v>
      </c>
      <c r="M34">
        <v>1</v>
      </c>
      <c r="N34">
        <v>36429234</v>
      </c>
      <c r="O34" t="s">
        <v>286</v>
      </c>
      <c r="P34" t="s">
        <v>248</v>
      </c>
    </row>
    <row r="35" spans="1:16" x14ac:dyDescent="0.35">
      <c r="A35">
        <v>700011</v>
      </c>
      <c r="B35" t="s">
        <v>178</v>
      </c>
      <c r="D35" s="2">
        <v>45293</v>
      </c>
      <c r="H35" t="s">
        <v>241</v>
      </c>
      <c r="J35" t="s">
        <v>231</v>
      </c>
      <c r="K35" s="2">
        <v>39609</v>
      </c>
      <c r="L35" s="2">
        <v>46164</v>
      </c>
      <c r="M35">
        <v>1</v>
      </c>
      <c r="N35">
        <v>36429234</v>
      </c>
      <c r="O35" t="s">
        <v>287</v>
      </c>
      <c r="P35" t="s">
        <v>251</v>
      </c>
    </row>
    <row r="36" spans="1:16" x14ac:dyDescent="0.35">
      <c r="A36">
        <v>700012</v>
      </c>
      <c r="B36" t="s">
        <v>179</v>
      </c>
      <c r="D36" s="2">
        <v>45293</v>
      </c>
      <c r="H36" t="s">
        <v>241</v>
      </c>
      <c r="J36" t="s">
        <v>231</v>
      </c>
      <c r="K36" s="2">
        <v>39618</v>
      </c>
      <c r="L36" s="2">
        <v>46170</v>
      </c>
      <c r="M36">
        <v>1</v>
      </c>
      <c r="N36">
        <v>36429234</v>
      </c>
      <c r="O36" t="s">
        <v>288</v>
      </c>
      <c r="P36" t="s">
        <v>251</v>
      </c>
    </row>
    <row r="37" spans="1:16" x14ac:dyDescent="0.35">
      <c r="A37">
        <v>700013</v>
      </c>
      <c r="B37" t="s">
        <v>180</v>
      </c>
      <c r="D37" s="2">
        <v>45293</v>
      </c>
      <c r="H37" t="s">
        <v>234</v>
      </c>
      <c r="J37" t="s">
        <v>229</v>
      </c>
      <c r="K37" s="2">
        <v>39625</v>
      </c>
      <c r="L37" s="2">
        <v>46175</v>
      </c>
      <c r="M37">
        <v>1</v>
      </c>
      <c r="N37">
        <v>36429234</v>
      </c>
      <c r="O37" t="s">
        <v>289</v>
      </c>
      <c r="P37" t="s">
        <v>245</v>
      </c>
    </row>
    <row r="38" spans="1:16" x14ac:dyDescent="0.35">
      <c r="A38">
        <v>700014</v>
      </c>
      <c r="B38" t="s">
        <v>130</v>
      </c>
      <c r="D38" s="2">
        <v>45293</v>
      </c>
      <c r="H38" t="s">
        <v>233</v>
      </c>
      <c r="J38" t="s">
        <v>228</v>
      </c>
      <c r="K38" s="2">
        <v>39634</v>
      </c>
      <c r="L38" s="2">
        <v>46179</v>
      </c>
      <c r="M38">
        <v>1</v>
      </c>
      <c r="N38">
        <v>36429234</v>
      </c>
      <c r="O38" t="s">
        <v>290</v>
      </c>
      <c r="P38" t="s">
        <v>244</v>
      </c>
    </row>
    <row r="39" spans="1:16" x14ac:dyDescent="0.35">
      <c r="A39">
        <v>700015</v>
      </c>
      <c r="B39" t="s">
        <v>181</v>
      </c>
      <c r="D39" s="2">
        <v>45293</v>
      </c>
      <c r="H39" t="s">
        <v>232</v>
      </c>
      <c r="J39" t="s">
        <v>232</v>
      </c>
      <c r="K39" s="2">
        <v>39641</v>
      </c>
      <c r="L39" s="2">
        <v>46183</v>
      </c>
      <c r="M39">
        <v>1</v>
      </c>
      <c r="N39">
        <v>36429234</v>
      </c>
      <c r="O39" t="s">
        <v>291</v>
      </c>
      <c r="P39" t="s">
        <v>253</v>
      </c>
    </row>
    <row r="40" spans="1:16" x14ac:dyDescent="0.35">
      <c r="A40">
        <v>700016</v>
      </c>
      <c r="B40" t="s">
        <v>182</v>
      </c>
      <c r="D40" s="2">
        <v>45293</v>
      </c>
      <c r="H40" t="s">
        <v>237</v>
      </c>
      <c r="J40" t="s">
        <v>230</v>
      </c>
      <c r="K40" s="2">
        <v>39644</v>
      </c>
      <c r="L40" s="2">
        <v>46188</v>
      </c>
      <c r="M40">
        <v>1</v>
      </c>
      <c r="N40">
        <v>36429234</v>
      </c>
      <c r="O40" t="s">
        <v>292</v>
      </c>
      <c r="P40" t="s">
        <v>247</v>
      </c>
    </row>
    <row r="41" spans="1:16" x14ac:dyDescent="0.35">
      <c r="A41">
        <v>700017</v>
      </c>
      <c r="B41" t="s">
        <v>183</v>
      </c>
      <c r="D41" s="2">
        <v>45293</v>
      </c>
      <c r="H41" t="s">
        <v>240</v>
      </c>
      <c r="J41" t="s">
        <v>230</v>
      </c>
      <c r="K41" s="2">
        <v>39653</v>
      </c>
      <c r="L41" s="2">
        <v>46190</v>
      </c>
      <c r="M41">
        <v>1</v>
      </c>
      <c r="N41">
        <v>36429234</v>
      </c>
      <c r="O41" t="s">
        <v>293</v>
      </c>
      <c r="P41" t="s">
        <v>250</v>
      </c>
    </row>
    <row r="42" spans="1:16" x14ac:dyDescent="0.35">
      <c r="A42">
        <v>700018</v>
      </c>
      <c r="B42" t="s">
        <v>184</v>
      </c>
      <c r="D42" s="2">
        <v>45293</v>
      </c>
      <c r="H42" t="s">
        <v>237</v>
      </c>
      <c r="J42" t="s">
        <v>230</v>
      </c>
      <c r="K42" s="2">
        <v>39659</v>
      </c>
      <c r="L42" s="2">
        <v>46197</v>
      </c>
      <c r="M42">
        <v>1</v>
      </c>
      <c r="N42">
        <v>36429234</v>
      </c>
      <c r="O42" t="s">
        <v>294</v>
      </c>
      <c r="P42" t="s">
        <v>247</v>
      </c>
    </row>
    <row r="43" spans="1:16" x14ac:dyDescent="0.35">
      <c r="A43">
        <v>700019</v>
      </c>
      <c r="B43" t="s">
        <v>185</v>
      </c>
      <c r="D43" s="2">
        <v>45293</v>
      </c>
      <c r="H43" t="s">
        <v>241</v>
      </c>
      <c r="J43" t="s">
        <v>231</v>
      </c>
      <c r="K43" s="2">
        <v>39666</v>
      </c>
      <c r="L43" s="2">
        <v>46198</v>
      </c>
      <c r="M43">
        <v>1</v>
      </c>
      <c r="N43">
        <v>36429234</v>
      </c>
      <c r="O43" t="s">
        <v>295</v>
      </c>
      <c r="P43" t="s">
        <v>251</v>
      </c>
    </row>
    <row r="44" spans="1:16" x14ac:dyDescent="0.35">
      <c r="A44">
        <v>700020</v>
      </c>
      <c r="B44" t="s">
        <v>186</v>
      </c>
      <c r="D44" s="2">
        <v>45293</v>
      </c>
      <c r="H44" t="s">
        <v>242</v>
      </c>
      <c r="J44" t="s">
        <v>231</v>
      </c>
      <c r="K44" s="2">
        <v>39676</v>
      </c>
      <c r="L44" s="2">
        <v>46199</v>
      </c>
      <c r="M44">
        <v>1</v>
      </c>
      <c r="N44">
        <v>36429234</v>
      </c>
      <c r="O44" t="s">
        <v>296</v>
      </c>
      <c r="P44" t="s">
        <v>252</v>
      </c>
    </row>
    <row r="45" spans="1:16" x14ac:dyDescent="0.35">
      <c r="A45">
        <v>700021</v>
      </c>
      <c r="B45" t="s">
        <v>187</v>
      </c>
      <c r="D45" s="2">
        <v>45293</v>
      </c>
      <c r="H45" t="s">
        <v>240</v>
      </c>
      <c r="J45" t="s">
        <v>230</v>
      </c>
      <c r="K45" s="2">
        <v>39684</v>
      </c>
      <c r="L45" s="2">
        <v>46201</v>
      </c>
      <c r="M45">
        <v>1</v>
      </c>
      <c r="N45">
        <v>36429234</v>
      </c>
      <c r="O45" t="s">
        <v>297</v>
      </c>
      <c r="P45" t="s">
        <v>250</v>
      </c>
    </row>
    <row r="46" spans="1:16" x14ac:dyDescent="0.35">
      <c r="A46">
        <v>700022</v>
      </c>
      <c r="B46" t="s">
        <v>120</v>
      </c>
      <c r="D46" s="2">
        <v>45293</v>
      </c>
      <c r="H46" t="s">
        <v>236</v>
      </c>
      <c r="J46" t="s">
        <v>230</v>
      </c>
      <c r="K46" s="2">
        <v>39690</v>
      </c>
      <c r="L46" s="2">
        <v>46205</v>
      </c>
      <c r="M46">
        <v>1</v>
      </c>
      <c r="N46">
        <v>36429234</v>
      </c>
      <c r="O46" t="s">
        <v>298</v>
      </c>
      <c r="P46" t="s">
        <v>243</v>
      </c>
    </row>
    <row r="47" spans="1:16" x14ac:dyDescent="0.35">
      <c r="A47">
        <v>700023</v>
      </c>
      <c r="B47" t="s">
        <v>122</v>
      </c>
      <c r="D47" s="2">
        <v>45293</v>
      </c>
      <c r="H47" t="s">
        <v>232</v>
      </c>
      <c r="J47" t="s">
        <v>232</v>
      </c>
      <c r="K47" s="2">
        <v>39691</v>
      </c>
      <c r="L47" s="2">
        <v>46207</v>
      </c>
      <c r="M47">
        <v>1</v>
      </c>
      <c r="N47">
        <v>36429234</v>
      </c>
      <c r="O47" t="s">
        <v>299</v>
      </c>
      <c r="P47" t="s">
        <v>253</v>
      </c>
    </row>
    <row r="48" spans="1:16" x14ac:dyDescent="0.35">
      <c r="A48">
        <v>700001</v>
      </c>
      <c r="B48" t="s">
        <v>188</v>
      </c>
      <c r="D48" s="2">
        <v>45293</v>
      </c>
      <c r="H48" t="s">
        <v>236</v>
      </c>
      <c r="J48" t="s">
        <v>230</v>
      </c>
      <c r="K48" s="2">
        <v>39696</v>
      </c>
      <c r="L48" s="2">
        <v>46213</v>
      </c>
      <c r="M48">
        <v>1</v>
      </c>
      <c r="N48">
        <v>36429234</v>
      </c>
      <c r="O48" t="s">
        <v>300</v>
      </c>
      <c r="P48" t="s">
        <v>243</v>
      </c>
    </row>
    <row r="49" spans="1:16" x14ac:dyDescent="0.35">
      <c r="A49">
        <v>700002</v>
      </c>
      <c r="B49" t="s">
        <v>139</v>
      </c>
      <c r="D49" s="2">
        <v>45293</v>
      </c>
      <c r="H49" t="s">
        <v>240</v>
      </c>
      <c r="J49" t="s">
        <v>230</v>
      </c>
      <c r="K49" s="2">
        <v>39701</v>
      </c>
      <c r="L49" s="2">
        <v>46223</v>
      </c>
      <c r="M49">
        <v>1</v>
      </c>
      <c r="N49">
        <v>36429234</v>
      </c>
      <c r="O49" t="s">
        <v>301</v>
      </c>
      <c r="P49" t="s">
        <v>250</v>
      </c>
    </row>
    <row r="50" spans="1:16" x14ac:dyDescent="0.35">
      <c r="A50">
        <v>700003</v>
      </c>
      <c r="B50" t="s">
        <v>189</v>
      </c>
      <c r="D50" s="2">
        <v>45293</v>
      </c>
      <c r="H50" t="s">
        <v>241</v>
      </c>
      <c r="J50" t="s">
        <v>231</v>
      </c>
      <c r="K50" s="2">
        <v>39710</v>
      </c>
      <c r="L50" s="2">
        <v>46231</v>
      </c>
      <c r="M50">
        <v>1</v>
      </c>
      <c r="N50">
        <v>36429234</v>
      </c>
      <c r="O50" t="s">
        <v>302</v>
      </c>
      <c r="P50" t="s">
        <v>251</v>
      </c>
    </row>
    <row r="51" spans="1:16" x14ac:dyDescent="0.35">
      <c r="A51">
        <v>700004</v>
      </c>
      <c r="B51" t="s">
        <v>190</v>
      </c>
      <c r="D51" s="2">
        <v>45293</v>
      </c>
      <c r="H51" t="s">
        <v>237</v>
      </c>
      <c r="J51" t="s">
        <v>230</v>
      </c>
      <c r="K51" s="2">
        <v>39717</v>
      </c>
      <c r="L51" s="2">
        <v>46238</v>
      </c>
      <c r="M51">
        <v>1</v>
      </c>
      <c r="N51">
        <v>36429234</v>
      </c>
      <c r="O51" t="s">
        <v>303</v>
      </c>
      <c r="P51" t="s">
        <v>247</v>
      </c>
    </row>
    <row r="52" spans="1:16" x14ac:dyDescent="0.35">
      <c r="A52">
        <v>700005</v>
      </c>
      <c r="B52" t="s">
        <v>191</v>
      </c>
      <c r="D52" s="2">
        <v>45293</v>
      </c>
      <c r="H52" t="s">
        <v>233</v>
      </c>
      <c r="J52" t="s">
        <v>228</v>
      </c>
      <c r="K52" s="2">
        <v>39724</v>
      </c>
      <c r="L52" s="2">
        <v>46248</v>
      </c>
      <c r="M52">
        <v>1</v>
      </c>
      <c r="N52">
        <v>36429234</v>
      </c>
      <c r="O52" t="s">
        <v>304</v>
      </c>
      <c r="P52" t="s">
        <v>244</v>
      </c>
    </row>
    <row r="53" spans="1:16" x14ac:dyDescent="0.35">
      <c r="A53">
        <v>700006</v>
      </c>
      <c r="B53" t="s">
        <v>192</v>
      </c>
      <c r="D53" s="2">
        <v>45293</v>
      </c>
      <c r="H53" t="s">
        <v>242</v>
      </c>
      <c r="J53" t="s">
        <v>231</v>
      </c>
      <c r="K53" s="2">
        <v>39725</v>
      </c>
      <c r="L53" s="2">
        <v>46251</v>
      </c>
      <c r="M53">
        <v>1</v>
      </c>
      <c r="N53">
        <v>36429234</v>
      </c>
      <c r="O53" t="s">
        <v>305</v>
      </c>
      <c r="P53" t="s">
        <v>252</v>
      </c>
    </row>
    <row r="54" spans="1:16" x14ac:dyDescent="0.35">
      <c r="A54">
        <v>700007</v>
      </c>
      <c r="B54" t="s">
        <v>125</v>
      </c>
      <c r="D54" s="2">
        <v>45293</v>
      </c>
      <c r="H54" t="s">
        <v>235</v>
      </c>
      <c r="J54" t="s">
        <v>230</v>
      </c>
      <c r="K54" s="2">
        <v>39731</v>
      </c>
      <c r="L54" s="2">
        <v>46257</v>
      </c>
      <c r="M54">
        <v>1</v>
      </c>
      <c r="N54">
        <v>36429234</v>
      </c>
      <c r="O54" t="s">
        <v>306</v>
      </c>
      <c r="P54" t="s">
        <v>246</v>
      </c>
    </row>
    <row r="55" spans="1:16" x14ac:dyDescent="0.35">
      <c r="A55">
        <v>700008</v>
      </c>
      <c r="B55" t="s">
        <v>121</v>
      </c>
      <c r="D55" s="2">
        <v>45293</v>
      </c>
      <c r="H55" t="s">
        <v>242</v>
      </c>
      <c r="J55" t="s">
        <v>231</v>
      </c>
      <c r="K55" s="2">
        <v>39732</v>
      </c>
      <c r="L55" s="2">
        <v>46265</v>
      </c>
      <c r="M55">
        <v>1</v>
      </c>
      <c r="N55">
        <v>36429234</v>
      </c>
      <c r="O55" t="s">
        <v>307</v>
      </c>
      <c r="P55" t="s">
        <v>252</v>
      </c>
    </row>
    <row r="56" spans="1:16" x14ac:dyDescent="0.35">
      <c r="A56">
        <v>700009</v>
      </c>
      <c r="B56" t="s">
        <v>193</v>
      </c>
      <c r="D56" s="2">
        <v>45293</v>
      </c>
      <c r="H56" t="s">
        <v>239</v>
      </c>
      <c r="J56" t="s">
        <v>230</v>
      </c>
      <c r="K56" s="2">
        <v>39740</v>
      </c>
      <c r="L56" s="2">
        <v>46274</v>
      </c>
      <c r="M56">
        <v>1</v>
      </c>
      <c r="N56">
        <v>36429234</v>
      </c>
      <c r="O56" t="s">
        <v>308</v>
      </c>
      <c r="P56" t="s">
        <v>249</v>
      </c>
    </row>
    <row r="57" spans="1:16" x14ac:dyDescent="0.35">
      <c r="A57">
        <v>700010</v>
      </c>
      <c r="B57" t="s">
        <v>117</v>
      </c>
      <c r="D57" s="2">
        <v>45293</v>
      </c>
      <c r="H57" t="s">
        <v>236</v>
      </c>
      <c r="J57" t="s">
        <v>230</v>
      </c>
      <c r="K57" s="2">
        <v>39749</v>
      </c>
      <c r="L57" s="2">
        <v>46284</v>
      </c>
      <c r="M57">
        <v>1</v>
      </c>
      <c r="N57">
        <v>36429234</v>
      </c>
      <c r="O57" t="s">
        <v>309</v>
      </c>
      <c r="P57" t="s">
        <v>243</v>
      </c>
    </row>
    <row r="58" spans="1:16" x14ac:dyDescent="0.35">
      <c r="A58">
        <v>700011</v>
      </c>
      <c r="B58" t="s">
        <v>129</v>
      </c>
      <c r="D58" s="2">
        <v>45293</v>
      </c>
      <c r="H58" t="s">
        <v>240</v>
      </c>
      <c r="J58" t="s">
        <v>230</v>
      </c>
      <c r="K58" s="2">
        <v>39753</v>
      </c>
      <c r="L58" s="2">
        <v>46291</v>
      </c>
      <c r="M58">
        <v>1</v>
      </c>
      <c r="N58">
        <v>36429234</v>
      </c>
      <c r="O58" t="s">
        <v>310</v>
      </c>
      <c r="P58" t="s">
        <v>250</v>
      </c>
    </row>
    <row r="59" spans="1:16" x14ac:dyDescent="0.35">
      <c r="A59">
        <v>700012</v>
      </c>
      <c r="B59" t="s">
        <v>128</v>
      </c>
      <c r="D59" s="2">
        <v>45293</v>
      </c>
      <c r="H59" t="s">
        <v>241</v>
      </c>
      <c r="J59" t="s">
        <v>231</v>
      </c>
      <c r="K59" s="2">
        <v>39761</v>
      </c>
      <c r="L59" s="2">
        <v>46295</v>
      </c>
      <c r="M59">
        <v>1</v>
      </c>
      <c r="N59">
        <v>36429234</v>
      </c>
      <c r="O59" t="s">
        <v>311</v>
      </c>
      <c r="P59" t="s">
        <v>251</v>
      </c>
    </row>
    <row r="60" spans="1:16" x14ac:dyDescent="0.35">
      <c r="A60">
        <v>700013</v>
      </c>
      <c r="B60" t="s">
        <v>194</v>
      </c>
      <c r="D60" s="2">
        <v>45293</v>
      </c>
      <c r="H60" t="s">
        <v>235</v>
      </c>
      <c r="J60" t="s">
        <v>230</v>
      </c>
      <c r="K60" s="2">
        <v>39771</v>
      </c>
      <c r="L60" s="2">
        <v>46300</v>
      </c>
      <c r="M60">
        <v>1</v>
      </c>
      <c r="N60">
        <v>36429234</v>
      </c>
      <c r="O60" t="s">
        <v>312</v>
      </c>
      <c r="P60" t="s">
        <v>246</v>
      </c>
    </row>
    <row r="61" spans="1:16" x14ac:dyDescent="0.35">
      <c r="A61">
        <v>700014</v>
      </c>
      <c r="B61" t="s">
        <v>195</v>
      </c>
      <c r="D61" s="2">
        <v>45293</v>
      </c>
      <c r="H61" t="s">
        <v>237</v>
      </c>
      <c r="J61" t="s">
        <v>230</v>
      </c>
      <c r="K61" s="2">
        <v>39781</v>
      </c>
      <c r="L61" s="2">
        <v>46301</v>
      </c>
      <c r="M61">
        <v>1</v>
      </c>
      <c r="N61">
        <v>36429234</v>
      </c>
      <c r="O61" t="s">
        <v>313</v>
      </c>
      <c r="P61" t="s">
        <v>247</v>
      </c>
    </row>
    <row r="62" spans="1:16" x14ac:dyDescent="0.35">
      <c r="A62">
        <v>700015</v>
      </c>
      <c r="B62" t="s">
        <v>196</v>
      </c>
      <c r="D62" s="2">
        <v>45293</v>
      </c>
      <c r="H62" t="s">
        <v>242</v>
      </c>
      <c r="J62" t="s">
        <v>231</v>
      </c>
      <c r="K62" s="2">
        <v>39784</v>
      </c>
      <c r="L62" s="2">
        <v>46302</v>
      </c>
      <c r="M62">
        <v>1</v>
      </c>
      <c r="N62">
        <v>36429234</v>
      </c>
      <c r="O62" t="s">
        <v>314</v>
      </c>
      <c r="P62" t="s">
        <v>252</v>
      </c>
    </row>
    <row r="63" spans="1:16" x14ac:dyDescent="0.35">
      <c r="A63">
        <v>700016</v>
      </c>
      <c r="B63" t="s">
        <v>142</v>
      </c>
      <c r="D63" s="2">
        <v>45293</v>
      </c>
      <c r="H63" t="s">
        <v>237</v>
      </c>
      <c r="J63" t="s">
        <v>230</v>
      </c>
      <c r="K63" s="2">
        <v>39792</v>
      </c>
      <c r="L63" s="2">
        <v>46303</v>
      </c>
      <c r="M63">
        <v>1</v>
      </c>
      <c r="N63">
        <v>36429234</v>
      </c>
      <c r="O63" t="s">
        <v>315</v>
      </c>
      <c r="P63" t="s">
        <v>247</v>
      </c>
    </row>
    <row r="64" spans="1:16" x14ac:dyDescent="0.35">
      <c r="A64">
        <v>700017</v>
      </c>
      <c r="B64" t="s">
        <v>197</v>
      </c>
      <c r="D64" s="2">
        <v>45293</v>
      </c>
      <c r="H64" t="s">
        <v>235</v>
      </c>
      <c r="J64" t="s">
        <v>230</v>
      </c>
      <c r="K64" s="2">
        <v>39801</v>
      </c>
      <c r="L64" s="2">
        <v>46306</v>
      </c>
      <c r="M64">
        <v>1</v>
      </c>
      <c r="N64">
        <v>36429234</v>
      </c>
      <c r="O64" t="s">
        <v>316</v>
      </c>
      <c r="P64" t="s">
        <v>246</v>
      </c>
    </row>
    <row r="65" spans="1:16" x14ac:dyDescent="0.35">
      <c r="A65">
        <v>700018</v>
      </c>
      <c r="B65" t="s">
        <v>198</v>
      </c>
      <c r="D65" s="2">
        <v>45293</v>
      </c>
      <c r="H65" t="s">
        <v>237</v>
      </c>
      <c r="J65" t="s">
        <v>230</v>
      </c>
      <c r="K65" s="2">
        <v>39810</v>
      </c>
      <c r="L65" s="2">
        <v>46310</v>
      </c>
      <c r="M65">
        <v>1</v>
      </c>
      <c r="N65">
        <v>36429234</v>
      </c>
      <c r="O65" t="s">
        <v>317</v>
      </c>
      <c r="P65" t="s">
        <v>247</v>
      </c>
    </row>
    <row r="66" spans="1:16" x14ac:dyDescent="0.35">
      <c r="A66">
        <v>700019</v>
      </c>
      <c r="B66" t="s">
        <v>199</v>
      </c>
      <c r="D66" s="2">
        <v>45293</v>
      </c>
      <c r="H66" t="s">
        <v>233</v>
      </c>
      <c r="J66" t="s">
        <v>228</v>
      </c>
      <c r="K66" s="2">
        <v>39817</v>
      </c>
      <c r="L66" s="2">
        <v>46313</v>
      </c>
      <c r="M66">
        <v>1</v>
      </c>
      <c r="N66">
        <v>36429234</v>
      </c>
      <c r="O66" t="s">
        <v>318</v>
      </c>
      <c r="P66" t="s">
        <v>244</v>
      </c>
    </row>
    <row r="67" spans="1:16" x14ac:dyDescent="0.35">
      <c r="A67">
        <v>700020</v>
      </c>
      <c r="B67" t="s">
        <v>200</v>
      </c>
      <c r="D67" s="2">
        <v>45293</v>
      </c>
      <c r="H67" t="s">
        <v>241</v>
      </c>
      <c r="J67" t="s">
        <v>231</v>
      </c>
      <c r="K67" s="2">
        <v>39827</v>
      </c>
      <c r="L67" s="2">
        <v>46319</v>
      </c>
      <c r="M67">
        <v>1</v>
      </c>
      <c r="N67">
        <v>36429234</v>
      </c>
      <c r="O67" t="s">
        <v>319</v>
      </c>
      <c r="P67" t="s">
        <v>251</v>
      </c>
    </row>
    <row r="68" spans="1:16" x14ac:dyDescent="0.35">
      <c r="A68">
        <v>700021</v>
      </c>
      <c r="B68" t="s">
        <v>114</v>
      </c>
      <c r="D68" s="2">
        <v>45293</v>
      </c>
      <c r="H68" t="s">
        <v>235</v>
      </c>
      <c r="J68" t="s">
        <v>230</v>
      </c>
      <c r="K68" s="2">
        <v>39830</v>
      </c>
      <c r="L68" s="2">
        <v>46329</v>
      </c>
      <c r="M68">
        <v>1</v>
      </c>
      <c r="N68">
        <v>36429234</v>
      </c>
      <c r="O68" t="s">
        <v>320</v>
      </c>
      <c r="P68" t="s">
        <v>246</v>
      </c>
    </row>
    <row r="69" spans="1:16" x14ac:dyDescent="0.35">
      <c r="A69">
        <v>700022</v>
      </c>
      <c r="B69" t="s">
        <v>201</v>
      </c>
      <c r="D69" s="2">
        <v>45293</v>
      </c>
      <c r="H69" t="s">
        <v>234</v>
      </c>
      <c r="J69" t="s">
        <v>229</v>
      </c>
      <c r="K69" s="2">
        <v>39833</v>
      </c>
      <c r="L69" s="2">
        <v>46330</v>
      </c>
      <c r="M69">
        <v>1</v>
      </c>
      <c r="N69">
        <v>36429234</v>
      </c>
      <c r="O69" t="s">
        <v>321</v>
      </c>
      <c r="P69" t="s">
        <v>245</v>
      </c>
    </row>
    <row r="70" spans="1:16" x14ac:dyDescent="0.35">
      <c r="A70">
        <v>700023</v>
      </c>
      <c r="B70" t="s">
        <v>202</v>
      </c>
      <c r="D70" s="2">
        <v>45293</v>
      </c>
      <c r="H70" t="s">
        <v>233</v>
      </c>
      <c r="J70" t="s">
        <v>228</v>
      </c>
      <c r="K70" s="2">
        <v>39836</v>
      </c>
      <c r="L70" s="2">
        <v>46339</v>
      </c>
      <c r="M70">
        <v>1</v>
      </c>
      <c r="N70">
        <v>36429234</v>
      </c>
      <c r="O70" t="s">
        <v>322</v>
      </c>
      <c r="P70" t="s">
        <v>244</v>
      </c>
    </row>
    <row r="71" spans="1:16" x14ac:dyDescent="0.35">
      <c r="A71">
        <v>700001</v>
      </c>
      <c r="B71" t="s">
        <v>203</v>
      </c>
      <c r="D71" s="2">
        <v>45293</v>
      </c>
      <c r="H71" t="s">
        <v>234</v>
      </c>
      <c r="J71" t="s">
        <v>229</v>
      </c>
      <c r="K71" s="2">
        <v>39846</v>
      </c>
      <c r="L71" s="2">
        <v>46341</v>
      </c>
      <c r="M71">
        <v>1</v>
      </c>
      <c r="N71">
        <v>36429234</v>
      </c>
      <c r="O71" t="s">
        <v>323</v>
      </c>
      <c r="P71" t="s">
        <v>245</v>
      </c>
    </row>
    <row r="72" spans="1:16" x14ac:dyDescent="0.35">
      <c r="A72">
        <v>700002</v>
      </c>
      <c r="B72" t="s">
        <v>204</v>
      </c>
      <c r="D72" s="2">
        <v>45293</v>
      </c>
      <c r="H72" t="s">
        <v>236</v>
      </c>
      <c r="J72" t="s">
        <v>230</v>
      </c>
      <c r="K72" s="2">
        <v>39852</v>
      </c>
      <c r="L72" s="2">
        <v>46348</v>
      </c>
      <c r="M72">
        <v>1</v>
      </c>
      <c r="N72">
        <v>36429234</v>
      </c>
      <c r="O72" t="s">
        <v>324</v>
      </c>
      <c r="P72" t="s">
        <v>243</v>
      </c>
    </row>
    <row r="73" spans="1:16" x14ac:dyDescent="0.35">
      <c r="A73">
        <v>700003</v>
      </c>
      <c r="B73" t="s">
        <v>205</v>
      </c>
      <c r="D73" s="2">
        <v>45293</v>
      </c>
      <c r="H73" t="s">
        <v>235</v>
      </c>
      <c r="J73" t="s">
        <v>230</v>
      </c>
      <c r="K73" s="2">
        <v>39859</v>
      </c>
      <c r="L73" s="2">
        <v>46351</v>
      </c>
      <c r="M73">
        <v>1</v>
      </c>
      <c r="N73">
        <v>36429234</v>
      </c>
      <c r="O73" t="s">
        <v>325</v>
      </c>
      <c r="P73" t="s">
        <v>246</v>
      </c>
    </row>
    <row r="74" spans="1:16" x14ac:dyDescent="0.35">
      <c r="A74">
        <v>700004</v>
      </c>
      <c r="B74" t="s">
        <v>206</v>
      </c>
      <c r="D74" s="2">
        <v>45293</v>
      </c>
      <c r="H74" t="s">
        <v>241</v>
      </c>
      <c r="J74" t="s">
        <v>231</v>
      </c>
      <c r="K74" s="2">
        <v>39869</v>
      </c>
      <c r="L74" s="2">
        <v>46352</v>
      </c>
      <c r="M74">
        <v>1</v>
      </c>
      <c r="N74">
        <v>36429234</v>
      </c>
      <c r="O74" t="s">
        <v>326</v>
      </c>
      <c r="P74" t="s">
        <v>251</v>
      </c>
    </row>
    <row r="75" spans="1:16" x14ac:dyDescent="0.35">
      <c r="A75">
        <v>700005</v>
      </c>
      <c r="B75" t="s">
        <v>207</v>
      </c>
      <c r="D75" s="2">
        <v>45293</v>
      </c>
      <c r="H75" t="s">
        <v>242</v>
      </c>
      <c r="J75" t="s">
        <v>231</v>
      </c>
      <c r="K75" s="2">
        <v>39879</v>
      </c>
      <c r="L75" s="2">
        <v>46357</v>
      </c>
      <c r="M75">
        <v>1</v>
      </c>
      <c r="N75">
        <v>36429234</v>
      </c>
      <c r="O75" t="s">
        <v>327</v>
      </c>
      <c r="P75" t="s">
        <v>252</v>
      </c>
    </row>
    <row r="76" spans="1:16" x14ac:dyDescent="0.35">
      <c r="A76">
        <v>700006</v>
      </c>
      <c r="B76" t="s">
        <v>208</v>
      </c>
      <c r="D76" s="2">
        <v>45293</v>
      </c>
      <c r="H76" t="s">
        <v>239</v>
      </c>
      <c r="J76" t="s">
        <v>230</v>
      </c>
      <c r="K76" s="2">
        <v>39883</v>
      </c>
      <c r="L76" s="2">
        <v>46365</v>
      </c>
      <c r="M76">
        <v>1</v>
      </c>
      <c r="N76">
        <v>36429234</v>
      </c>
      <c r="O76" t="s">
        <v>328</v>
      </c>
      <c r="P76" t="s">
        <v>249</v>
      </c>
    </row>
    <row r="77" spans="1:16" x14ac:dyDescent="0.35">
      <c r="A77">
        <v>700007</v>
      </c>
      <c r="B77" t="s">
        <v>209</v>
      </c>
      <c r="D77" s="2">
        <v>45293</v>
      </c>
      <c r="H77" t="s">
        <v>235</v>
      </c>
      <c r="J77" t="s">
        <v>230</v>
      </c>
      <c r="K77" s="2">
        <v>39884</v>
      </c>
      <c r="L77" s="2">
        <v>46372</v>
      </c>
      <c r="M77">
        <v>1</v>
      </c>
      <c r="N77">
        <v>36429234</v>
      </c>
      <c r="O77" t="s">
        <v>329</v>
      </c>
      <c r="P77" t="s">
        <v>246</v>
      </c>
    </row>
    <row r="78" spans="1:16" x14ac:dyDescent="0.35">
      <c r="A78">
        <v>700008</v>
      </c>
      <c r="B78" t="s">
        <v>115</v>
      </c>
      <c r="D78" s="2">
        <v>45293</v>
      </c>
      <c r="H78" t="s">
        <v>236</v>
      </c>
      <c r="J78" t="s">
        <v>230</v>
      </c>
      <c r="K78" s="2">
        <v>39885</v>
      </c>
      <c r="L78" s="2">
        <v>46377</v>
      </c>
      <c r="M78">
        <v>1</v>
      </c>
      <c r="N78">
        <v>36429234</v>
      </c>
      <c r="O78" t="s">
        <v>330</v>
      </c>
      <c r="P78" t="s">
        <v>243</v>
      </c>
    </row>
    <row r="79" spans="1:16" x14ac:dyDescent="0.35">
      <c r="A79">
        <v>700009</v>
      </c>
      <c r="B79" t="s">
        <v>210</v>
      </c>
      <c r="D79" s="2">
        <v>45293</v>
      </c>
      <c r="H79" t="s">
        <v>232</v>
      </c>
      <c r="J79" t="s">
        <v>232</v>
      </c>
      <c r="K79" s="2">
        <v>39887</v>
      </c>
      <c r="L79" s="2">
        <v>46382</v>
      </c>
      <c r="M79">
        <v>1</v>
      </c>
      <c r="N79">
        <v>36429234</v>
      </c>
      <c r="O79" t="s">
        <v>331</v>
      </c>
      <c r="P79" t="s">
        <v>253</v>
      </c>
    </row>
    <row r="80" spans="1:16" x14ac:dyDescent="0.35">
      <c r="A80">
        <v>700010</v>
      </c>
      <c r="B80" t="s">
        <v>211</v>
      </c>
      <c r="D80" s="2">
        <v>45293</v>
      </c>
      <c r="H80" t="s">
        <v>236</v>
      </c>
      <c r="J80" t="s">
        <v>230</v>
      </c>
      <c r="K80" s="2">
        <v>39893</v>
      </c>
      <c r="L80" s="2">
        <v>46392</v>
      </c>
      <c r="M80">
        <v>1</v>
      </c>
      <c r="N80">
        <v>36429234</v>
      </c>
      <c r="O80" t="s">
        <v>332</v>
      </c>
      <c r="P80" t="s">
        <v>243</v>
      </c>
    </row>
    <row r="81" spans="1:16" x14ac:dyDescent="0.35">
      <c r="A81">
        <v>700011</v>
      </c>
      <c r="B81" t="s">
        <v>136</v>
      </c>
      <c r="D81" s="2">
        <v>45293</v>
      </c>
      <c r="H81" t="s">
        <v>238</v>
      </c>
      <c r="J81" t="s">
        <v>230</v>
      </c>
      <c r="K81" s="2">
        <v>39900</v>
      </c>
      <c r="L81" s="2">
        <v>46399</v>
      </c>
      <c r="M81">
        <v>1</v>
      </c>
      <c r="N81">
        <v>36429234</v>
      </c>
      <c r="O81" t="s">
        <v>333</v>
      </c>
      <c r="P81" t="s">
        <v>248</v>
      </c>
    </row>
    <row r="82" spans="1:16" x14ac:dyDescent="0.35">
      <c r="A82">
        <v>700012</v>
      </c>
      <c r="B82" t="s">
        <v>138</v>
      </c>
      <c r="D82" s="2">
        <v>45293</v>
      </c>
      <c r="H82" t="s">
        <v>234</v>
      </c>
      <c r="J82" t="s">
        <v>229</v>
      </c>
      <c r="K82" s="2">
        <v>39902</v>
      </c>
      <c r="L82" s="2">
        <v>46403</v>
      </c>
      <c r="M82">
        <v>1</v>
      </c>
      <c r="N82">
        <v>36429234</v>
      </c>
      <c r="O82" t="s">
        <v>334</v>
      </c>
      <c r="P82" t="s">
        <v>245</v>
      </c>
    </row>
    <row r="83" spans="1:16" x14ac:dyDescent="0.35">
      <c r="A83">
        <v>700013</v>
      </c>
      <c r="B83" t="s">
        <v>212</v>
      </c>
      <c r="D83" s="2">
        <v>45293</v>
      </c>
      <c r="H83" t="s">
        <v>239</v>
      </c>
      <c r="J83" t="s">
        <v>230</v>
      </c>
      <c r="K83" s="2">
        <v>39904</v>
      </c>
      <c r="L83" s="2">
        <v>46404</v>
      </c>
      <c r="M83">
        <v>1</v>
      </c>
      <c r="N83">
        <v>36429234</v>
      </c>
      <c r="O83" t="s">
        <v>335</v>
      </c>
      <c r="P83" t="s">
        <v>249</v>
      </c>
    </row>
    <row r="84" spans="1:16" x14ac:dyDescent="0.35">
      <c r="A84">
        <v>700014</v>
      </c>
      <c r="B84" t="s">
        <v>213</v>
      </c>
      <c r="D84" s="2">
        <v>45293</v>
      </c>
      <c r="H84" t="s">
        <v>232</v>
      </c>
      <c r="J84" t="s">
        <v>232</v>
      </c>
      <c r="K84" s="2">
        <v>39909</v>
      </c>
      <c r="L84" s="2">
        <v>46414</v>
      </c>
      <c r="M84">
        <v>1</v>
      </c>
      <c r="N84">
        <v>36429234</v>
      </c>
      <c r="O84" t="s">
        <v>336</v>
      </c>
      <c r="P84" t="s">
        <v>253</v>
      </c>
    </row>
    <row r="85" spans="1:16" x14ac:dyDescent="0.35">
      <c r="A85">
        <v>700015</v>
      </c>
      <c r="B85" t="s">
        <v>124</v>
      </c>
      <c r="D85" s="2">
        <v>45293</v>
      </c>
      <c r="H85" t="s">
        <v>239</v>
      </c>
      <c r="J85" t="s">
        <v>230</v>
      </c>
      <c r="K85" s="2">
        <v>39915</v>
      </c>
      <c r="L85" s="2">
        <v>46420</v>
      </c>
      <c r="M85">
        <v>1</v>
      </c>
      <c r="N85">
        <v>36429234</v>
      </c>
      <c r="O85" t="s">
        <v>337</v>
      </c>
      <c r="P85" t="s">
        <v>249</v>
      </c>
    </row>
    <row r="86" spans="1:16" x14ac:dyDescent="0.35">
      <c r="A86">
        <v>700016</v>
      </c>
      <c r="B86" t="s">
        <v>143</v>
      </c>
      <c r="D86" s="2">
        <v>45293</v>
      </c>
      <c r="H86" t="s">
        <v>236</v>
      </c>
      <c r="J86" t="s">
        <v>230</v>
      </c>
      <c r="K86" s="2">
        <v>39923</v>
      </c>
      <c r="L86" s="2">
        <v>46422</v>
      </c>
      <c r="M86">
        <v>1</v>
      </c>
      <c r="N86">
        <v>36429234</v>
      </c>
      <c r="O86" t="s">
        <v>338</v>
      </c>
      <c r="P86" t="s">
        <v>243</v>
      </c>
    </row>
    <row r="87" spans="1:16" x14ac:dyDescent="0.35">
      <c r="A87">
        <v>700017</v>
      </c>
      <c r="B87" t="s">
        <v>214</v>
      </c>
      <c r="D87" s="2">
        <v>45293</v>
      </c>
      <c r="H87" t="s">
        <v>240</v>
      </c>
      <c r="J87" t="s">
        <v>230</v>
      </c>
      <c r="K87" s="2">
        <v>39930</v>
      </c>
      <c r="L87" s="2">
        <v>46429</v>
      </c>
      <c r="M87">
        <v>1</v>
      </c>
      <c r="N87">
        <v>36429234</v>
      </c>
      <c r="O87" t="s">
        <v>339</v>
      </c>
      <c r="P87" t="s">
        <v>250</v>
      </c>
    </row>
    <row r="88" spans="1:16" x14ac:dyDescent="0.35">
      <c r="A88">
        <v>700018</v>
      </c>
      <c r="B88" t="s">
        <v>215</v>
      </c>
      <c r="D88" s="2">
        <v>45293</v>
      </c>
      <c r="H88" t="s">
        <v>235</v>
      </c>
      <c r="J88" t="s">
        <v>230</v>
      </c>
      <c r="K88" s="2">
        <v>39935</v>
      </c>
      <c r="L88" s="2">
        <v>46430</v>
      </c>
      <c r="M88">
        <v>1</v>
      </c>
      <c r="N88">
        <v>36429234</v>
      </c>
      <c r="O88" t="s">
        <v>340</v>
      </c>
      <c r="P88" t="s">
        <v>246</v>
      </c>
    </row>
    <row r="89" spans="1:16" x14ac:dyDescent="0.35">
      <c r="A89">
        <v>700019</v>
      </c>
      <c r="B89" t="s">
        <v>145</v>
      </c>
      <c r="D89" s="2">
        <v>45293</v>
      </c>
      <c r="H89" t="s">
        <v>239</v>
      </c>
      <c r="J89" t="s">
        <v>230</v>
      </c>
      <c r="K89" s="2">
        <v>39936</v>
      </c>
      <c r="L89" s="2">
        <v>46437</v>
      </c>
      <c r="M89">
        <v>1</v>
      </c>
      <c r="N89">
        <v>36429234</v>
      </c>
      <c r="O89" t="s">
        <v>341</v>
      </c>
      <c r="P89" t="s">
        <v>249</v>
      </c>
    </row>
    <row r="90" spans="1:16" x14ac:dyDescent="0.35">
      <c r="A90">
        <v>700020</v>
      </c>
      <c r="B90" t="s">
        <v>216</v>
      </c>
      <c r="D90" s="2">
        <v>45293</v>
      </c>
      <c r="H90" t="s">
        <v>238</v>
      </c>
      <c r="J90" t="s">
        <v>230</v>
      </c>
      <c r="K90" s="2">
        <v>39941</v>
      </c>
      <c r="L90" s="2">
        <v>46444</v>
      </c>
      <c r="M90">
        <v>1</v>
      </c>
      <c r="N90">
        <v>36429234</v>
      </c>
      <c r="O90" t="s">
        <v>342</v>
      </c>
      <c r="P90" t="s">
        <v>248</v>
      </c>
    </row>
    <row r="91" spans="1:16" x14ac:dyDescent="0.35">
      <c r="A91">
        <v>700021</v>
      </c>
      <c r="B91" t="s">
        <v>123</v>
      </c>
      <c r="D91" s="2">
        <v>45293</v>
      </c>
      <c r="H91" t="s">
        <v>233</v>
      </c>
      <c r="J91" t="s">
        <v>228</v>
      </c>
      <c r="K91" s="2">
        <v>39950</v>
      </c>
      <c r="L91" s="2">
        <v>46452</v>
      </c>
      <c r="M91">
        <v>1</v>
      </c>
      <c r="N91">
        <v>36429234</v>
      </c>
      <c r="O91" t="s">
        <v>343</v>
      </c>
      <c r="P91" t="s">
        <v>244</v>
      </c>
    </row>
    <row r="92" spans="1:16" x14ac:dyDescent="0.35">
      <c r="A92">
        <v>700022</v>
      </c>
      <c r="B92" t="s">
        <v>217</v>
      </c>
      <c r="D92" s="2">
        <v>45293</v>
      </c>
      <c r="H92" t="s">
        <v>232</v>
      </c>
      <c r="J92" t="s">
        <v>232</v>
      </c>
      <c r="K92" s="2">
        <v>39953</v>
      </c>
      <c r="L92" s="2">
        <v>46459</v>
      </c>
      <c r="M92">
        <v>1</v>
      </c>
      <c r="N92">
        <v>36429234</v>
      </c>
      <c r="O92" t="s">
        <v>344</v>
      </c>
      <c r="P92" t="s">
        <v>253</v>
      </c>
    </row>
    <row r="93" spans="1:16" x14ac:dyDescent="0.35">
      <c r="A93">
        <v>700023</v>
      </c>
      <c r="B93" t="s">
        <v>218</v>
      </c>
      <c r="D93" s="2">
        <v>45293</v>
      </c>
      <c r="H93" t="s">
        <v>235</v>
      </c>
      <c r="J93" t="s">
        <v>230</v>
      </c>
      <c r="K93" s="2">
        <v>39957</v>
      </c>
      <c r="L93" s="2">
        <v>46461</v>
      </c>
      <c r="M93">
        <v>1</v>
      </c>
      <c r="N93">
        <v>36429234</v>
      </c>
      <c r="O93" t="s">
        <v>345</v>
      </c>
      <c r="P93" t="s">
        <v>246</v>
      </c>
    </row>
    <row r="94" spans="1:16" x14ac:dyDescent="0.35">
      <c r="A94">
        <v>700001</v>
      </c>
      <c r="B94" t="s">
        <v>219</v>
      </c>
      <c r="D94" s="2">
        <v>45293</v>
      </c>
      <c r="H94" t="s">
        <v>242</v>
      </c>
      <c r="J94" t="s">
        <v>231</v>
      </c>
      <c r="K94" s="2">
        <v>39964</v>
      </c>
      <c r="L94" s="2">
        <v>46468</v>
      </c>
      <c r="M94">
        <v>1</v>
      </c>
      <c r="N94">
        <v>36429234</v>
      </c>
      <c r="O94" t="s">
        <v>346</v>
      </c>
      <c r="P94" t="s">
        <v>252</v>
      </c>
    </row>
    <row r="95" spans="1:16" x14ac:dyDescent="0.35">
      <c r="A95">
        <v>700002</v>
      </c>
      <c r="B95" t="s">
        <v>220</v>
      </c>
      <c r="D95" s="2">
        <v>45293</v>
      </c>
      <c r="H95" t="s">
        <v>236</v>
      </c>
      <c r="J95" t="s">
        <v>230</v>
      </c>
      <c r="K95" s="2">
        <v>39966</v>
      </c>
      <c r="L95" s="2">
        <v>46477</v>
      </c>
      <c r="M95">
        <v>1</v>
      </c>
      <c r="N95">
        <v>36429234</v>
      </c>
      <c r="O95" t="s">
        <v>347</v>
      </c>
      <c r="P95" t="s">
        <v>243</v>
      </c>
    </row>
    <row r="96" spans="1:16" x14ac:dyDescent="0.35">
      <c r="A96">
        <v>700003</v>
      </c>
      <c r="B96" t="s">
        <v>127</v>
      </c>
      <c r="D96" s="2">
        <v>45293</v>
      </c>
      <c r="H96" t="s">
        <v>234</v>
      </c>
      <c r="J96" t="s">
        <v>229</v>
      </c>
      <c r="K96" s="2">
        <v>39972</v>
      </c>
      <c r="L96" s="2">
        <v>46487</v>
      </c>
      <c r="M96">
        <v>1</v>
      </c>
      <c r="N96">
        <v>36429234</v>
      </c>
      <c r="O96" t="s">
        <v>348</v>
      </c>
      <c r="P96" t="s">
        <v>245</v>
      </c>
    </row>
    <row r="97" spans="1:16" x14ac:dyDescent="0.35">
      <c r="A97">
        <v>700004</v>
      </c>
      <c r="B97" t="s">
        <v>133</v>
      </c>
      <c r="D97" s="2">
        <v>45293</v>
      </c>
      <c r="H97" t="s">
        <v>238</v>
      </c>
      <c r="J97" t="s">
        <v>230</v>
      </c>
      <c r="K97" s="2">
        <v>39974</v>
      </c>
      <c r="L97" s="2">
        <v>46495</v>
      </c>
      <c r="M97">
        <v>1</v>
      </c>
      <c r="N97">
        <v>36429234</v>
      </c>
      <c r="O97" t="s">
        <v>349</v>
      </c>
      <c r="P97" t="s">
        <v>248</v>
      </c>
    </row>
    <row r="98" spans="1:16" x14ac:dyDescent="0.35">
      <c r="A98">
        <v>700005</v>
      </c>
      <c r="B98" t="s">
        <v>116</v>
      </c>
      <c r="D98" s="2">
        <v>45293</v>
      </c>
      <c r="H98" t="s">
        <v>235</v>
      </c>
      <c r="J98" t="s">
        <v>230</v>
      </c>
      <c r="K98" s="2">
        <v>39981</v>
      </c>
      <c r="L98" s="2">
        <v>46496</v>
      </c>
      <c r="M98">
        <v>1</v>
      </c>
      <c r="N98">
        <v>36429234</v>
      </c>
      <c r="O98" t="s">
        <v>350</v>
      </c>
      <c r="P98" t="s">
        <v>246</v>
      </c>
    </row>
    <row r="99" spans="1:16" x14ac:dyDescent="0.35">
      <c r="A99">
        <v>700006</v>
      </c>
      <c r="B99" t="s">
        <v>221</v>
      </c>
      <c r="D99" s="2">
        <v>45293</v>
      </c>
      <c r="H99" t="s">
        <v>239</v>
      </c>
      <c r="J99" t="s">
        <v>230</v>
      </c>
      <c r="K99" s="2">
        <v>39991</v>
      </c>
      <c r="L99" s="2">
        <v>46497</v>
      </c>
      <c r="M99">
        <v>1</v>
      </c>
      <c r="N99">
        <v>36429234</v>
      </c>
      <c r="O99" t="s">
        <v>351</v>
      </c>
      <c r="P99" t="s">
        <v>249</v>
      </c>
    </row>
    <row r="100" spans="1:16" x14ac:dyDescent="0.35">
      <c r="A100">
        <v>700007</v>
      </c>
      <c r="B100" t="s">
        <v>134</v>
      </c>
      <c r="D100" s="2">
        <v>45293</v>
      </c>
      <c r="H100" t="s">
        <v>236</v>
      </c>
      <c r="J100" t="s">
        <v>230</v>
      </c>
      <c r="K100" s="2">
        <v>39995</v>
      </c>
      <c r="L100" s="2">
        <v>46498</v>
      </c>
      <c r="M100">
        <v>1</v>
      </c>
      <c r="N100">
        <v>36429234</v>
      </c>
      <c r="O100" t="s">
        <v>352</v>
      </c>
      <c r="P100" t="s">
        <v>243</v>
      </c>
    </row>
    <row r="101" spans="1:16" x14ac:dyDescent="0.35">
      <c r="A101">
        <v>700008</v>
      </c>
      <c r="B101" t="s">
        <v>222</v>
      </c>
      <c r="D101" s="2">
        <v>45293</v>
      </c>
      <c r="H101" t="s">
        <v>237</v>
      </c>
      <c r="J101" t="s">
        <v>230</v>
      </c>
      <c r="K101" s="2">
        <v>40003</v>
      </c>
      <c r="L101" s="2">
        <v>46508</v>
      </c>
      <c r="M101">
        <v>1</v>
      </c>
      <c r="N101">
        <v>36429234</v>
      </c>
      <c r="O101" t="s">
        <v>353</v>
      </c>
      <c r="P101" t="s">
        <v>247</v>
      </c>
    </row>
    <row r="102" spans="1:16" x14ac:dyDescent="0.35">
      <c r="A102">
        <v>700009</v>
      </c>
      <c r="B102" t="s">
        <v>223</v>
      </c>
      <c r="D102" s="2">
        <v>45293</v>
      </c>
      <c r="H102" t="s">
        <v>234</v>
      </c>
      <c r="J102" t="s">
        <v>229</v>
      </c>
      <c r="K102" s="2">
        <v>40008</v>
      </c>
      <c r="L102" s="2">
        <v>46517</v>
      </c>
      <c r="M102">
        <v>1</v>
      </c>
      <c r="N102">
        <v>36429234</v>
      </c>
      <c r="O102" t="s">
        <v>354</v>
      </c>
      <c r="P102" t="s">
        <v>245</v>
      </c>
    </row>
    <row r="103" spans="1:16" x14ac:dyDescent="0.35">
      <c r="A103">
        <v>700010</v>
      </c>
      <c r="B103" t="s">
        <v>224</v>
      </c>
      <c r="D103" s="2">
        <v>45293</v>
      </c>
      <c r="H103" t="s">
        <v>239</v>
      </c>
      <c r="J103" t="s">
        <v>230</v>
      </c>
      <c r="K103" s="2">
        <v>40013</v>
      </c>
      <c r="L103" s="2">
        <v>46526</v>
      </c>
      <c r="M103">
        <v>1</v>
      </c>
      <c r="N103">
        <v>36429234</v>
      </c>
      <c r="O103" t="s">
        <v>355</v>
      </c>
      <c r="P103" t="s">
        <v>249</v>
      </c>
    </row>
    <row r="104" spans="1:16" x14ac:dyDescent="0.35">
      <c r="A104">
        <v>700011</v>
      </c>
      <c r="B104" t="s">
        <v>225</v>
      </c>
      <c r="D104" s="2">
        <v>45293</v>
      </c>
      <c r="H104" t="s">
        <v>232</v>
      </c>
      <c r="J104" t="s">
        <v>232</v>
      </c>
      <c r="K104" s="2">
        <v>40022</v>
      </c>
      <c r="L104" s="2">
        <v>46531</v>
      </c>
      <c r="M104">
        <v>1</v>
      </c>
      <c r="N104">
        <v>36429234</v>
      </c>
      <c r="O104" t="s">
        <v>356</v>
      </c>
      <c r="P104" t="s">
        <v>253</v>
      </c>
    </row>
    <row r="105" spans="1:16" x14ac:dyDescent="0.35">
      <c r="A105">
        <v>700012</v>
      </c>
      <c r="B105" t="s">
        <v>226</v>
      </c>
      <c r="D105" s="2">
        <v>45293</v>
      </c>
      <c r="H105" t="s">
        <v>233</v>
      </c>
      <c r="J105" t="s">
        <v>228</v>
      </c>
      <c r="K105" s="2">
        <v>40028</v>
      </c>
      <c r="L105" s="2">
        <v>46534</v>
      </c>
      <c r="M105">
        <v>1</v>
      </c>
      <c r="N105">
        <v>36429234</v>
      </c>
      <c r="O105" t="s">
        <v>357</v>
      </c>
      <c r="P105" t="s">
        <v>244</v>
      </c>
    </row>
    <row r="106" spans="1:16" x14ac:dyDescent="0.35">
      <c r="A106">
        <v>700013</v>
      </c>
      <c r="B106" t="s">
        <v>137</v>
      </c>
      <c r="D106" s="2">
        <v>45293</v>
      </c>
      <c r="H106" t="s">
        <v>233</v>
      </c>
      <c r="J106" t="s">
        <v>228</v>
      </c>
      <c r="K106" s="2">
        <v>40037</v>
      </c>
      <c r="L106" s="2">
        <v>46538</v>
      </c>
      <c r="M106">
        <v>1</v>
      </c>
      <c r="N106">
        <v>36429234</v>
      </c>
      <c r="O106" t="s">
        <v>358</v>
      </c>
      <c r="P106" t="s">
        <v>244</v>
      </c>
    </row>
    <row r="107" spans="1:16" x14ac:dyDescent="0.35">
      <c r="A107">
        <v>700014</v>
      </c>
      <c r="B107" t="s">
        <v>140</v>
      </c>
      <c r="D107" s="2">
        <v>45293</v>
      </c>
      <c r="H107" t="s">
        <v>242</v>
      </c>
      <c r="J107" t="s">
        <v>231</v>
      </c>
      <c r="K107" s="2">
        <v>40046</v>
      </c>
      <c r="L107" s="2">
        <v>46545</v>
      </c>
      <c r="M107">
        <v>1</v>
      </c>
      <c r="N107">
        <v>36429234</v>
      </c>
      <c r="O107" t="s">
        <v>359</v>
      </c>
      <c r="P107" t="s">
        <v>252</v>
      </c>
    </row>
    <row r="108" spans="1:16" x14ac:dyDescent="0.35">
      <c r="A108">
        <v>700015</v>
      </c>
      <c r="B108" t="s">
        <v>126</v>
      </c>
      <c r="D108" s="2">
        <v>45293</v>
      </c>
      <c r="H108" t="s">
        <v>236</v>
      </c>
      <c r="J108" t="s">
        <v>230</v>
      </c>
      <c r="K108" s="2">
        <v>40051</v>
      </c>
      <c r="L108" s="2">
        <v>46554</v>
      </c>
      <c r="M108">
        <v>1</v>
      </c>
      <c r="N108">
        <v>36429234</v>
      </c>
      <c r="O108" t="s">
        <v>360</v>
      </c>
      <c r="P108" t="s">
        <v>243</v>
      </c>
    </row>
    <row r="109" spans="1:16" x14ac:dyDescent="0.35">
      <c r="A109">
        <v>700016</v>
      </c>
      <c r="B109" t="s">
        <v>227</v>
      </c>
      <c r="D109" s="2">
        <v>45293</v>
      </c>
      <c r="H109" t="s">
        <v>236</v>
      </c>
      <c r="J109" t="s">
        <v>230</v>
      </c>
      <c r="K109" s="2">
        <v>40058</v>
      </c>
      <c r="L109" s="2">
        <v>46558</v>
      </c>
      <c r="M109">
        <v>1</v>
      </c>
      <c r="N109">
        <v>36429234</v>
      </c>
      <c r="O109" t="s">
        <v>361</v>
      </c>
      <c r="P109" t="s">
        <v>243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109"/>
  <sheetViews>
    <sheetView workbookViewId="0">
      <selection activeCell="B1" sqref="B1:C1"/>
    </sheetView>
  </sheetViews>
  <sheetFormatPr defaultRowHeight="14.5" x14ac:dyDescent="0.35"/>
  <cols>
    <col min="1" max="1" width="14.453125" bestFit="1" customWidth="1"/>
    <col min="2" max="2" width="28" bestFit="1" customWidth="1"/>
    <col min="3" max="3" width="25.36328125" bestFit="1" customWidth="1"/>
    <col min="5" max="5" width="11.08984375" bestFit="1" customWidth="1"/>
    <col min="6" max="7" width="10.08984375" bestFit="1" customWidth="1"/>
  </cols>
  <sheetData>
    <row r="1" spans="1:9" x14ac:dyDescent="0.35">
      <c r="A1" t="s">
        <v>7</v>
      </c>
      <c r="B1" t="s">
        <v>96</v>
      </c>
      <c r="C1" t="s">
        <v>97</v>
      </c>
      <c r="D1" t="s">
        <v>8</v>
      </c>
      <c r="E1" t="s">
        <v>9</v>
      </c>
      <c r="F1" t="s">
        <v>25</v>
      </c>
      <c r="G1" t="s">
        <v>26</v>
      </c>
      <c r="H1" t="s">
        <v>31</v>
      </c>
      <c r="I1" t="s">
        <v>16</v>
      </c>
    </row>
    <row r="2" spans="1:9" x14ac:dyDescent="0.35">
      <c r="A2">
        <v>97400000001</v>
      </c>
      <c r="C2" s="2">
        <v>45293</v>
      </c>
      <c r="D2">
        <v>10001</v>
      </c>
      <c r="E2">
        <v>700001</v>
      </c>
      <c r="F2" s="2">
        <v>44927</v>
      </c>
      <c r="G2" s="2">
        <v>46022</v>
      </c>
      <c r="H2">
        <v>1</v>
      </c>
      <c r="I2">
        <v>65417281</v>
      </c>
    </row>
    <row r="3" spans="1:9" x14ac:dyDescent="0.35">
      <c r="A3">
        <v>97400000002</v>
      </c>
      <c r="C3" s="2">
        <v>45293</v>
      </c>
      <c r="D3">
        <v>10002</v>
      </c>
      <c r="E3">
        <v>700002</v>
      </c>
      <c r="F3" s="2">
        <v>44928</v>
      </c>
      <c r="G3" s="2">
        <v>46023</v>
      </c>
      <c r="H3">
        <v>1</v>
      </c>
      <c r="I3">
        <v>65417282</v>
      </c>
    </row>
    <row r="4" spans="1:9" x14ac:dyDescent="0.35">
      <c r="A4">
        <v>97400000003</v>
      </c>
      <c r="C4" s="2">
        <v>45293</v>
      </c>
      <c r="D4">
        <v>10003</v>
      </c>
      <c r="E4">
        <v>700003</v>
      </c>
      <c r="F4" s="2">
        <v>44929</v>
      </c>
      <c r="G4" s="2">
        <v>46024</v>
      </c>
      <c r="H4">
        <v>1</v>
      </c>
      <c r="I4">
        <v>65417283</v>
      </c>
    </row>
    <row r="5" spans="1:9" x14ac:dyDescent="0.35">
      <c r="A5">
        <v>97400000004</v>
      </c>
      <c r="C5" s="2">
        <v>45293</v>
      </c>
      <c r="D5">
        <v>10004</v>
      </c>
      <c r="E5">
        <v>700004</v>
      </c>
      <c r="F5" s="2">
        <v>44930</v>
      </c>
      <c r="G5" s="2">
        <v>46025</v>
      </c>
      <c r="H5">
        <v>1</v>
      </c>
      <c r="I5">
        <v>65417284</v>
      </c>
    </row>
    <row r="6" spans="1:9" x14ac:dyDescent="0.35">
      <c r="A6">
        <v>97400000005</v>
      </c>
      <c r="C6" s="2">
        <v>45293</v>
      </c>
      <c r="D6">
        <v>10005</v>
      </c>
      <c r="E6">
        <v>700005</v>
      </c>
      <c r="F6" s="2">
        <v>44931</v>
      </c>
      <c r="G6" s="2">
        <v>46026</v>
      </c>
      <c r="H6">
        <v>1</v>
      </c>
      <c r="I6">
        <v>65417285</v>
      </c>
    </row>
    <row r="7" spans="1:9" x14ac:dyDescent="0.35">
      <c r="A7">
        <v>97400000006</v>
      </c>
      <c r="C7" s="2">
        <v>45293</v>
      </c>
      <c r="D7">
        <v>10006</v>
      </c>
      <c r="E7">
        <v>700006</v>
      </c>
      <c r="F7" s="2">
        <v>44932</v>
      </c>
      <c r="G7" s="2">
        <v>46027</v>
      </c>
      <c r="H7">
        <v>1</v>
      </c>
      <c r="I7">
        <v>65417286</v>
      </c>
    </row>
    <row r="8" spans="1:9" x14ac:dyDescent="0.35">
      <c r="A8">
        <v>97400000007</v>
      </c>
      <c r="C8" s="2">
        <v>45293</v>
      </c>
      <c r="D8">
        <v>10007</v>
      </c>
      <c r="E8">
        <v>700007</v>
      </c>
      <c r="F8" s="2">
        <v>44933</v>
      </c>
      <c r="G8" s="2">
        <v>46028</v>
      </c>
      <c r="H8">
        <v>1</v>
      </c>
      <c r="I8">
        <v>65417287</v>
      </c>
    </row>
    <row r="9" spans="1:9" x14ac:dyDescent="0.35">
      <c r="A9">
        <v>97400000008</v>
      </c>
      <c r="C9" s="2">
        <v>45293</v>
      </c>
      <c r="D9">
        <v>10008</v>
      </c>
      <c r="E9">
        <v>700008</v>
      </c>
      <c r="F9" s="2">
        <v>44934</v>
      </c>
      <c r="G9" s="2">
        <v>46029</v>
      </c>
      <c r="H9">
        <v>1</v>
      </c>
      <c r="I9">
        <v>65417288</v>
      </c>
    </row>
    <row r="10" spans="1:9" x14ac:dyDescent="0.35">
      <c r="A10">
        <v>97400000009</v>
      </c>
      <c r="C10" s="2">
        <v>45293</v>
      </c>
      <c r="D10">
        <v>10009</v>
      </c>
      <c r="E10">
        <v>700009</v>
      </c>
      <c r="F10" s="2">
        <v>44935</v>
      </c>
      <c r="G10" s="2">
        <v>46030</v>
      </c>
      <c r="H10">
        <v>1</v>
      </c>
      <c r="I10">
        <v>65417289</v>
      </c>
    </row>
    <row r="11" spans="1:9" x14ac:dyDescent="0.35">
      <c r="A11">
        <v>97400000010</v>
      </c>
      <c r="C11" s="2">
        <v>45293</v>
      </c>
      <c r="D11">
        <v>10010</v>
      </c>
      <c r="E11">
        <v>700010</v>
      </c>
      <c r="F11" s="2">
        <v>44936</v>
      </c>
      <c r="G11" s="2">
        <v>46031</v>
      </c>
      <c r="H11">
        <v>1</v>
      </c>
      <c r="I11">
        <v>65417290</v>
      </c>
    </row>
    <row r="12" spans="1:9" x14ac:dyDescent="0.35">
      <c r="A12">
        <v>97400000011</v>
      </c>
      <c r="C12" s="2">
        <v>45293</v>
      </c>
      <c r="D12">
        <v>10011</v>
      </c>
      <c r="E12">
        <v>700011</v>
      </c>
      <c r="F12" s="2">
        <v>44937</v>
      </c>
      <c r="G12" s="2">
        <v>46032</v>
      </c>
      <c r="H12">
        <v>1</v>
      </c>
      <c r="I12">
        <v>65417291</v>
      </c>
    </row>
    <row r="13" spans="1:9" x14ac:dyDescent="0.35">
      <c r="A13">
        <v>97400000012</v>
      </c>
      <c r="C13" s="2">
        <v>45293</v>
      </c>
      <c r="D13">
        <v>10012</v>
      </c>
      <c r="E13">
        <v>700012</v>
      </c>
      <c r="F13" s="2">
        <v>44938</v>
      </c>
      <c r="G13" s="2">
        <v>46033</v>
      </c>
      <c r="H13">
        <v>1</v>
      </c>
      <c r="I13">
        <v>65417292</v>
      </c>
    </row>
    <row r="14" spans="1:9" x14ac:dyDescent="0.35">
      <c r="A14">
        <v>97400000013</v>
      </c>
      <c r="C14" s="2">
        <v>45293</v>
      </c>
      <c r="D14">
        <v>10013</v>
      </c>
      <c r="E14">
        <v>700013</v>
      </c>
      <c r="F14" s="2">
        <v>44939</v>
      </c>
      <c r="G14" s="2">
        <v>46034</v>
      </c>
      <c r="H14">
        <v>1</v>
      </c>
      <c r="I14">
        <v>65417293</v>
      </c>
    </row>
    <row r="15" spans="1:9" x14ac:dyDescent="0.35">
      <c r="A15">
        <v>97400000014</v>
      </c>
      <c r="C15" s="2">
        <v>45293</v>
      </c>
      <c r="D15">
        <v>10014</v>
      </c>
      <c r="E15">
        <v>700014</v>
      </c>
      <c r="F15" s="2">
        <v>44940</v>
      </c>
      <c r="G15" s="2">
        <v>46035</v>
      </c>
      <c r="H15">
        <v>1</v>
      </c>
      <c r="I15">
        <v>65417294</v>
      </c>
    </row>
    <row r="16" spans="1:9" x14ac:dyDescent="0.35">
      <c r="A16">
        <v>97400000015</v>
      </c>
      <c r="C16" s="2">
        <v>45293</v>
      </c>
      <c r="D16">
        <v>10015</v>
      </c>
      <c r="E16">
        <v>700015</v>
      </c>
      <c r="F16" s="2">
        <v>44941</v>
      </c>
      <c r="G16" s="2">
        <v>46036</v>
      </c>
      <c r="H16">
        <v>1</v>
      </c>
      <c r="I16">
        <v>65417295</v>
      </c>
    </row>
    <row r="17" spans="1:9" x14ac:dyDescent="0.35">
      <c r="A17">
        <v>97400000016</v>
      </c>
      <c r="C17" s="2">
        <v>45293</v>
      </c>
      <c r="D17">
        <v>10016</v>
      </c>
      <c r="E17">
        <v>700016</v>
      </c>
      <c r="F17" s="2">
        <v>44942</v>
      </c>
      <c r="G17" s="2">
        <v>46037</v>
      </c>
      <c r="H17">
        <v>1</v>
      </c>
      <c r="I17">
        <v>65417296</v>
      </c>
    </row>
    <row r="18" spans="1:9" x14ac:dyDescent="0.35">
      <c r="A18">
        <v>97400000017</v>
      </c>
      <c r="C18" s="2">
        <v>45293</v>
      </c>
      <c r="D18">
        <v>10017</v>
      </c>
      <c r="E18">
        <v>700017</v>
      </c>
      <c r="F18" s="2">
        <v>44943</v>
      </c>
      <c r="G18" s="2">
        <v>46038</v>
      </c>
      <c r="H18">
        <v>1</v>
      </c>
      <c r="I18">
        <v>65417297</v>
      </c>
    </row>
    <row r="19" spans="1:9" x14ac:dyDescent="0.35">
      <c r="A19">
        <v>97400000018</v>
      </c>
      <c r="C19" s="2">
        <v>45293</v>
      </c>
      <c r="D19">
        <v>10018</v>
      </c>
      <c r="E19">
        <v>700018</v>
      </c>
      <c r="F19" s="2">
        <v>44944</v>
      </c>
      <c r="G19" s="2">
        <v>46039</v>
      </c>
      <c r="H19">
        <v>1</v>
      </c>
      <c r="I19">
        <v>65417298</v>
      </c>
    </row>
    <row r="20" spans="1:9" x14ac:dyDescent="0.35">
      <c r="A20">
        <v>97400000019</v>
      </c>
      <c r="C20" s="2">
        <v>45293</v>
      </c>
      <c r="D20">
        <v>10019</v>
      </c>
      <c r="E20">
        <v>700019</v>
      </c>
      <c r="F20" s="2">
        <v>44945</v>
      </c>
      <c r="G20" s="2">
        <v>46040</v>
      </c>
      <c r="H20">
        <v>1</v>
      </c>
      <c r="I20">
        <v>65417299</v>
      </c>
    </row>
    <row r="21" spans="1:9" x14ac:dyDescent="0.35">
      <c r="A21">
        <v>97400000020</v>
      </c>
      <c r="C21" s="2">
        <v>45293</v>
      </c>
      <c r="D21">
        <v>10020</v>
      </c>
      <c r="E21">
        <v>700020</v>
      </c>
      <c r="F21" s="2">
        <v>44946</v>
      </c>
      <c r="G21" s="2">
        <v>46041</v>
      </c>
      <c r="H21">
        <v>1</v>
      </c>
      <c r="I21">
        <v>65417300</v>
      </c>
    </row>
    <row r="22" spans="1:9" x14ac:dyDescent="0.35">
      <c r="A22">
        <v>97400000021</v>
      </c>
      <c r="C22" s="2">
        <v>45293</v>
      </c>
      <c r="D22">
        <v>10021</v>
      </c>
      <c r="E22">
        <v>700021</v>
      </c>
      <c r="F22" s="2">
        <v>44947</v>
      </c>
      <c r="G22" s="2">
        <v>46042</v>
      </c>
      <c r="H22">
        <v>1</v>
      </c>
      <c r="I22">
        <v>65417301</v>
      </c>
    </row>
    <row r="23" spans="1:9" x14ac:dyDescent="0.35">
      <c r="A23">
        <v>97400000022</v>
      </c>
      <c r="C23" s="2">
        <v>45293</v>
      </c>
      <c r="D23">
        <v>10022</v>
      </c>
      <c r="E23">
        <v>700022</v>
      </c>
      <c r="F23" s="2">
        <v>44948</v>
      </c>
      <c r="G23" s="2">
        <v>46043</v>
      </c>
      <c r="H23">
        <v>1</v>
      </c>
      <c r="I23">
        <v>65417302</v>
      </c>
    </row>
    <row r="24" spans="1:9" x14ac:dyDescent="0.35">
      <c r="A24">
        <v>97400000023</v>
      </c>
      <c r="C24" s="2">
        <v>45293</v>
      </c>
      <c r="D24">
        <v>10022</v>
      </c>
      <c r="E24">
        <v>700023</v>
      </c>
      <c r="F24" s="2">
        <v>44949</v>
      </c>
      <c r="G24" s="2">
        <v>46044</v>
      </c>
      <c r="H24">
        <v>1</v>
      </c>
      <c r="I24">
        <v>65417303</v>
      </c>
    </row>
    <row r="25" spans="1:9" x14ac:dyDescent="0.35">
      <c r="C25" s="2"/>
    </row>
    <row r="26" spans="1:9" x14ac:dyDescent="0.35">
      <c r="C26" s="2"/>
    </row>
    <row r="27" spans="1:9" x14ac:dyDescent="0.35">
      <c r="C27" s="2"/>
    </row>
    <row r="28" spans="1:9" x14ac:dyDescent="0.35">
      <c r="C28" s="2"/>
    </row>
    <row r="29" spans="1:9" x14ac:dyDescent="0.35">
      <c r="C29" s="2"/>
    </row>
    <row r="30" spans="1:9" x14ac:dyDescent="0.35">
      <c r="C30" s="2"/>
    </row>
    <row r="31" spans="1:9" x14ac:dyDescent="0.35">
      <c r="C31" s="2"/>
    </row>
    <row r="32" spans="1:9" x14ac:dyDescent="0.35">
      <c r="C32" s="2"/>
    </row>
    <row r="33" spans="3:3" x14ac:dyDescent="0.35">
      <c r="C33" s="2"/>
    </row>
    <row r="34" spans="3:3" x14ac:dyDescent="0.35">
      <c r="C34" s="2"/>
    </row>
    <row r="35" spans="3:3" x14ac:dyDescent="0.35">
      <c r="C35" s="2"/>
    </row>
    <row r="36" spans="3:3" x14ac:dyDescent="0.35">
      <c r="C36" s="2"/>
    </row>
    <row r="37" spans="3:3" x14ac:dyDescent="0.35">
      <c r="C37" s="2"/>
    </row>
    <row r="38" spans="3:3" x14ac:dyDescent="0.35">
      <c r="C38" s="2"/>
    </row>
    <row r="39" spans="3:3" x14ac:dyDescent="0.35">
      <c r="C39" s="2"/>
    </row>
    <row r="40" spans="3:3" x14ac:dyDescent="0.35">
      <c r="C40" s="2"/>
    </row>
    <row r="41" spans="3:3" x14ac:dyDescent="0.35">
      <c r="C41" s="2"/>
    </row>
    <row r="42" spans="3:3" x14ac:dyDescent="0.35">
      <c r="C42" s="2"/>
    </row>
    <row r="43" spans="3:3" x14ac:dyDescent="0.35">
      <c r="C43" s="2"/>
    </row>
    <row r="44" spans="3:3" x14ac:dyDescent="0.35">
      <c r="C44" s="2"/>
    </row>
    <row r="45" spans="3:3" x14ac:dyDescent="0.35">
      <c r="C45" s="2"/>
    </row>
    <row r="46" spans="3:3" x14ac:dyDescent="0.35">
      <c r="C46" s="2"/>
    </row>
    <row r="47" spans="3:3" x14ac:dyDescent="0.35">
      <c r="C47" s="2"/>
    </row>
    <row r="48" spans="3:3" x14ac:dyDescent="0.35">
      <c r="C48" s="2"/>
    </row>
    <row r="49" spans="3:3" x14ac:dyDescent="0.35">
      <c r="C49" s="2"/>
    </row>
    <row r="50" spans="3:3" x14ac:dyDescent="0.35">
      <c r="C50" s="2"/>
    </row>
    <row r="51" spans="3:3" x14ac:dyDescent="0.35">
      <c r="C51" s="2"/>
    </row>
    <row r="52" spans="3:3" x14ac:dyDescent="0.35">
      <c r="C52" s="2"/>
    </row>
    <row r="53" spans="3:3" x14ac:dyDescent="0.35">
      <c r="C53" s="2"/>
    </row>
    <row r="54" spans="3:3" x14ac:dyDescent="0.35">
      <c r="C54" s="2"/>
    </row>
    <row r="55" spans="3:3" x14ac:dyDescent="0.35">
      <c r="C55" s="2"/>
    </row>
    <row r="56" spans="3:3" x14ac:dyDescent="0.35">
      <c r="C56" s="2"/>
    </row>
    <row r="57" spans="3:3" x14ac:dyDescent="0.35">
      <c r="C57" s="2"/>
    </row>
    <row r="58" spans="3:3" x14ac:dyDescent="0.35">
      <c r="C58" s="2"/>
    </row>
    <row r="59" spans="3:3" x14ac:dyDescent="0.35">
      <c r="C59" s="2"/>
    </row>
    <row r="60" spans="3:3" x14ac:dyDescent="0.35">
      <c r="C60" s="2"/>
    </row>
    <row r="61" spans="3:3" x14ac:dyDescent="0.35">
      <c r="C61" s="2"/>
    </row>
    <row r="62" spans="3:3" x14ac:dyDescent="0.35">
      <c r="C62" s="2"/>
    </row>
    <row r="63" spans="3:3" x14ac:dyDescent="0.35">
      <c r="C63" s="2"/>
    </row>
    <row r="64" spans="3:3" x14ac:dyDescent="0.35">
      <c r="C64" s="2"/>
    </row>
    <row r="65" spans="3:3" x14ac:dyDescent="0.35">
      <c r="C65" s="2"/>
    </row>
    <row r="66" spans="3:3" x14ac:dyDescent="0.35">
      <c r="C66" s="2"/>
    </row>
    <row r="67" spans="3:3" x14ac:dyDescent="0.35">
      <c r="C67" s="2"/>
    </row>
    <row r="68" spans="3:3" x14ac:dyDescent="0.35">
      <c r="C68" s="2"/>
    </row>
    <row r="69" spans="3:3" x14ac:dyDescent="0.35">
      <c r="C69" s="2"/>
    </row>
    <row r="70" spans="3:3" x14ac:dyDescent="0.35">
      <c r="C70" s="2"/>
    </row>
    <row r="71" spans="3:3" x14ac:dyDescent="0.35">
      <c r="C71" s="2"/>
    </row>
    <row r="72" spans="3:3" x14ac:dyDescent="0.35">
      <c r="C72" s="2"/>
    </row>
    <row r="73" spans="3:3" x14ac:dyDescent="0.35">
      <c r="C73" s="2"/>
    </row>
    <row r="74" spans="3:3" x14ac:dyDescent="0.35">
      <c r="C74" s="2"/>
    </row>
    <row r="75" spans="3:3" x14ac:dyDescent="0.35">
      <c r="C75" s="2"/>
    </row>
    <row r="76" spans="3:3" x14ac:dyDescent="0.35">
      <c r="C76" s="2"/>
    </row>
    <row r="77" spans="3:3" x14ac:dyDescent="0.35">
      <c r="C77" s="2"/>
    </row>
    <row r="78" spans="3:3" x14ac:dyDescent="0.35">
      <c r="C78" s="2"/>
    </row>
    <row r="79" spans="3:3" x14ac:dyDescent="0.35">
      <c r="C79" s="2"/>
    </row>
    <row r="80" spans="3:3" x14ac:dyDescent="0.35">
      <c r="C80" s="2"/>
    </row>
    <row r="81" spans="3:3" x14ac:dyDescent="0.35">
      <c r="C81" s="2"/>
    </row>
    <row r="82" spans="3:3" x14ac:dyDescent="0.35">
      <c r="C82" s="2"/>
    </row>
    <row r="83" spans="3:3" x14ac:dyDescent="0.35">
      <c r="C83" s="2"/>
    </row>
    <row r="84" spans="3:3" x14ac:dyDescent="0.35">
      <c r="C84" s="2"/>
    </row>
    <row r="85" spans="3:3" x14ac:dyDescent="0.35">
      <c r="C85" s="2"/>
    </row>
    <row r="86" spans="3:3" x14ac:dyDescent="0.35">
      <c r="C86" s="2"/>
    </row>
    <row r="87" spans="3:3" x14ac:dyDescent="0.35">
      <c r="C87" s="2"/>
    </row>
    <row r="88" spans="3:3" x14ac:dyDescent="0.35">
      <c r="C88" s="2"/>
    </row>
    <row r="89" spans="3:3" x14ac:dyDescent="0.35">
      <c r="C89" s="2"/>
    </row>
    <row r="90" spans="3:3" x14ac:dyDescent="0.35">
      <c r="C90" s="2"/>
    </row>
    <row r="91" spans="3:3" x14ac:dyDescent="0.35">
      <c r="C91" s="2"/>
    </row>
    <row r="92" spans="3:3" x14ac:dyDescent="0.35">
      <c r="C92" s="2"/>
    </row>
    <row r="93" spans="3:3" x14ac:dyDescent="0.35">
      <c r="C93" s="2"/>
    </row>
    <row r="94" spans="3:3" x14ac:dyDescent="0.35">
      <c r="C94" s="2"/>
    </row>
    <row r="95" spans="3:3" x14ac:dyDescent="0.35">
      <c r="C95" s="2"/>
    </row>
    <row r="96" spans="3:3" x14ac:dyDescent="0.35">
      <c r="C96" s="2"/>
    </row>
    <row r="97" spans="3:3" x14ac:dyDescent="0.35">
      <c r="C97" s="2"/>
    </row>
    <row r="98" spans="3:3" x14ac:dyDescent="0.35">
      <c r="C98" s="2"/>
    </row>
    <row r="99" spans="3:3" x14ac:dyDescent="0.35">
      <c r="C99" s="2"/>
    </row>
    <row r="100" spans="3:3" x14ac:dyDescent="0.35">
      <c r="C100" s="2"/>
    </row>
    <row r="101" spans="3:3" x14ac:dyDescent="0.35">
      <c r="C101" s="2"/>
    </row>
    <row r="102" spans="3:3" x14ac:dyDescent="0.35">
      <c r="C102" s="2"/>
    </row>
    <row r="103" spans="3:3" x14ac:dyDescent="0.35">
      <c r="C103" s="2"/>
    </row>
    <row r="104" spans="3:3" x14ac:dyDescent="0.35">
      <c r="C104" s="2"/>
    </row>
    <row r="105" spans="3:3" x14ac:dyDescent="0.35">
      <c r="C105" s="2"/>
    </row>
    <row r="106" spans="3:3" x14ac:dyDescent="0.35">
      <c r="C106" s="2"/>
    </row>
    <row r="107" spans="3:3" x14ac:dyDescent="0.35">
      <c r="C107" s="2"/>
    </row>
    <row r="108" spans="3:3" x14ac:dyDescent="0.35">
      <c r="C108" s="2"/>
    </row>
    <row r="109" spans="3:3" x14ac:dyDescent="0.35">
      <c r="C109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Z195"/>
  <sheetViews>
    <sheetView topLeftCell="F175" workbookViewId="0">
      <selection activeCell="M2" sqref="M2:O195"/>
    </sheetView>
  </sheetViews>
  <sheetFormatPr defaultRowHeight="14.5" x14ac:dyDescent="0.35"/>
  <cols>
    <col min="1" max="1" width="9.7265625" bestFit="1" customWidth="1"/>
    <col min="2" max="2" width="9.7265625" customWidth="1"/>
    <col min="3" max="3" width="6.7265625" bestFit="1" customWidth="1"/>
    <col min="4" max="4" width="28" bestFit="1" customWidth="1"/>
    <col min="5" max="5" width="25.36328125" bestFit="1" customWidth="1"/>
    <col min="6" max="6" width="5.81640625" bestFit="1" customWidth="1"/>
    <col min="7" max="7" width="13.453125" bestFit="1" customWidth="1"/>
    <col min="8" max="8" width="9.90625" bestFit="1" customWidth="1"/>
    <col min="9" max="9" width="12.36328125" bestFit="1" customWidth="1"/>
    <col min="10" max="10" width="9.453125" bestFit="1" customWidth="1"/>
    <col min="11" max="11" width="11.81640625" bestFit="1" customWidth="1"/>
    <col min="12" max="12" width="12" bestFit="1" customWidth="1"/>
    <col min="13" max="15" width="19.26953125" bestFit="1" customWidth="1"/>
    <col min="16" max="16" width="14.6328125" bestFit="1" customWidth="1"/>
    <col min="17" max="17" width="7" bestFit="1" customWidth="1"/>
    <col min="18" max="18" width="9.36328125" bestFit="1" customWidth="1"/>
    <col min="19" max="19" width="8.81640625" bestFit="1" customWidth="1"/>
    <col min="20" max="20" width="9.81640625" bestFit="1" customWidth="1"/>
  </cols>
  <sheetData>
    <row r="1" spans="1:26" x14ac:dyDescent="0.35">
      <c r="A1" t="s">
        <v>33</v>
      </c>
      <c r="B1" t="s">
        <v>909</v>
      </c>
      <c r="C1" t="s">
        <v>27</v>
      </c>
      <c r="D1" t="s">
        <v>96</v>
      </c>
      <c r="E1" t="s">
        <v>97</v>
      </c>
      <c r="F1" t="s">
        <v>34</v>
      </c>
      <c r="G1" t="s">
        <v>35</v>
      </c>
      <c r="H1" t="s">
        <v>46</v>
      </c>
      <c r="I1" t="s">
        <v>36</v>
      </c>
      <c r="J1" t="s">
        <v>37</v>
      </c>
      <c r="K1" t="s">
        <v>42</v>
      </c>
      <c r="L1" t="s">
        <v>38</v>
      </c>
      <c r="M1" t="s">
        <v>39</v>
      </c>
      <c r="N1" t="s">
        <v>40</v>
      </c>
      <c r="O1" t="s">
        <v>51</v>
      </c>
      <c r="P1" t="s">
        <v>52</v>
      </c>
      <c r="Q1" t="s">
        <v>41</v>
      </c>
      <c r="R1" t="s">
        <v>45</v>
      </c>
      <c r="S1" t="s">
        <v>16</v>
      </c>
      <c r="T1" t="s">
        <v>49</v>
      </c>
    </row>
    <row r="2" spans="1:26" x14ac:dyDescent="0.35">
      <c r="A2">
        <v>952000001</v>
      </c>
      <c r="B2">
        <v>1</v>
      </c>
      <c r="C2">
        <f ca="1">IF(A2=A1,PurchaseOrder!C1,INDEX(VendTable!$A$2:$A$109,RANDBETWEEN(1,23)))</f>
        <v>700023</v>
      </c>
      <c r="E2" s="2" t="s">
        <v>883</v>
      </c>
      <c r="F2">
        <v>15543</v>
      </c>
      <c r="G2" s="3">
        <v>9013.7959389861589</v>
      </c>
      <c r="H2">
        <v>140101430.27966186</v>
      </c>
      <c r="I2" s="3">
        <v>1.4881643723594968</v>
      </c>
      <c r="J2">
        <v>76860</v>
      </c>
      <c r="K2">
        <v>76891213535</v>
      </c>
      <c r="L2" t="s">
        <v>233</v>
      </c>
      <c r="M2" s="5">
        <v>44601.594524409724</v>
      </c>
      <c r="N2" s="5">
        <v>44602.189048819448</v>
      </c>
      <c r="O2" s="5">
        <v>44608.783573229171</v>
      </c>
      <c r="P2">
        <v>10397261234</v>
      </c>
      <c r="Q2">
        <v>981856</v>
      </c>
      <c r="S2">
        <v>25612344</v>
      </c>
      <c r="T2">
        <v>500</v>
      </c>
      <c r="U2" s="4">
        <v>0.5945244097222222</v>
      </c>
      <c r="W2">
        <v>76852</v>
      </c>
      <c r="Z2">
        <v>76852</v>
      </c>
    </row>
    <row r="3" spans="1:26" x14ac:dyDescent="0.35">
      <c r="A3">
        <v>952000001</v>
      </c>
      <c r="B3">
        <v>2</v>
      </c>
      <c r="C3">
        <f ca="1">IF(A3=A2,PurchaseOrder!C2,INDEX(VendTable!$A$2:$A$109,RANDBETWEEN(1,23)))</f>
        <v>700023</v>
      </c>
      <c r="E3" s="2" t="s">
        <v>883</v>
      </c>
      <c r="F3">
        <v>28211</v>
      </c>
      <c r="G3" s="3">
        <v>5278.0982348822827</v>
      </c>
      <c r="H3">
        <v>148900429.30426407</v>
      </c>
      <c r="I3" s="3">
        <v>1.8813002298662505</v>
      </c>
      <c r="J3">
        <v>76861</v>
      </c>
      <c r="K3">
        <v>76891213636</v>
      </c>
      <c r="L3" t="s">
        <v>233</v>
      </c>
      <c r="M3" s="5">
        <v>44933.594524409724</v>
      </c>
      <c r="N3" s="5">
        <v>44935.189048819448</v>
      </c>
      <c r="O3" s="5">
        <v>44942.783573229171</v>
      </c>
      <c r="P3">
        <v>10397261234</v>
      </c>
      <c r="Q3">
        <v>981946</v>
      </c>
      <c r="S3">
        <v>25612434</v>
      </c>
      <c r="T3">
        <v>1000</v>
      </c>
      <c r="W3">
        <v>76853</v>
      </c>
      <c r="Z3">
        <v>76853</v>
      </c>
    </row>
    <row r="4" spans="1:26" x14ac:dyDescent="0.35">
      <c r="A4">
        <v>952000001</v>
      </c>
      <c r="B4">
        <v>3</v>
      </c>
      <c r="C4">
        <f ca="1">IF(A4=A3,PurchaseOrder!C3,INDEX(VendTable!$A$2:$A$109,RANDBETWEEN(1,23)))</f>
        <v>700023</v>
      </c>
      <c r="E4" s="2" t="s">
        <v>883</v>
      </c>
      <c r="F4">
        <v>6594</v>
      </c>
      <c r="G4" s="3">
        <v>7226.5802998128556</v>
      </c>
      <c r="H4">
        <v>47652070.496965967</v>
      </c>
      <c r="I4" s="3">
        <v>1.6100954037020045</v>
      </c>
      <c r="J4">
        <v>76861</v>
      </c>
      <c r="K4">
        <v>76891213465</v>
      </c>
      <c r="L4" t="s">
        <v>233</v>
      </c>
      <c r="M4" s="5">
        <v>45524.594524409724</v>
      </c>
      <c r="N4" s="5">
        <v>45525.189048819448</v>
      </c>
      <c r="O4" s="5">
        <v>45527.783573229171</v>
      </c>
      <c r="P4">
        <v>10397261234</v>
      </c>
      <c r="Q4">
        <v>981991</v>
      </c>
      <c r="S4">
        <v>25612479</v>
      </c>
      <c r="T4">
        <v>500</v>
      </c>
      <c r="W4">
        <v>76854</v>
      </c>
      <c r="Z4">
        <v>76854</v>
      </c>
    </row>
    <row r="5" spans="1:26" x14ac:dyDescent="0.35">
      <c r="A5">
        <v>952000002</v>
      </c>
      <c r="B5">
        <v>1</v>
      </c>
      <c r="C5">
        <f ca="1">IF(A5=A4,PurchaseOrder!C4,INDEX(VendTable!$A$2:$A$109,RANDBETWEEN(1,23)))</f>
        <v>700004</v>
      </c>
      <c r="E5" s="2" t="s">
        <v>883</v>
      </c>
      <c r="F5">
        <v>27796</v>
      </c>
      <c r="G5" s="3">
        <v>6047.5036724169431</v>
      </c>
      <c r="H5">
        <v>168096412.07850134</v>
      </c>
      <c r="I5" s="3">
        <v>1.1377751487436414</v>
      </c>
      <c r="J5">
        <v>76854</v>
      </c>
      <c r="K5">
        <v>76891213212</v>
      </c>
      <c r="L5" t="s">
        <v>233</v>
      </c>
      <c r="M5" s="5">
        <v>45282.594524409724</v>
      </c>
      <c r="N5" s="5">
        <v>45283.189048819448</v>
      </c>
      <c r="O5" s="5">
        <v>45293.783573229171</v>
      </c>
      <c r="P5">
        <v>10397261234</v>
      </c>
      <c r="Q5">
        <v>981890</v>
      </c>
      <c r="S5">
        <v>25612378</v>
      </c>
      <c r="T5">
        <v>900</v>
      </c>
      <c r="W5">
        <v>76855</v>
      </c>
      <c r="Z5">
        <v>76855</v>
      </c>
    </row>
    <row r="6" spans="1:26" x14ac:dyDescent="0.35">
      <c r="A6">
        <v>952000003</v>
      </c>
      <c r="B6">
        <v>1</v>
      </c>
      <c r="C6">
        <f ca="1">IF(A6=A5,PurchaseOrder!C5,INDEX(VendTable!$A$2:$A$109,RANDBETWEEN(1,23)))</f>
        <v>700007</v>
      </c>
      <c r="E6" s="2" t="s">
        <v>883</v>
      </c>
      <c r="F6">
        <v>22504</v>
      </c>
      <c r="G6" s="3">
        <v>7871.7994951746796</v>
      </c>
      <c r="H6">
        <v>177146975.83941099</v>
      </c>
      <c r="I6" s="3">
        <v>1.9402531393750091</v>
      </c>
      <c r="J6">
        <v>76853</v>
      </c>
      <c r="K6">
        <v>76891213318</v>
      </c>
      <c r="L6" t="s">
        <v>233</v>
      </c>
      <c r="M6" s="5">
        <v>44715.594524409724</v>
      </c>
      <c r="N6" s="5">
        <v>44719.189048819448</v>
      </c>
      <c r="O6" s="5">
        <v>44727.783573229171</v>
      </c>
      <c r="P6">
        <v>10397261234</v>
      </c>
      <c r="Q6">
        <v>982001</v>
      </c>
      <c r="S6">
        <v>25612489</v>
      </c>
      <c r="T6">
        <v>900</v>
      </c>
      <c r="W6">
        <v>76856</v>
      </c>
      <c r="Z6">
        <v>76856</v>
      </c>
    </row>
    <row r="7" spans="1:26" x14ac:dyDescent="0.35">
      <c r="A7">
        <v>952000004</v>
      </c>
      <c r="B7">
        <v>1</v>
      </c>
      <c r="C7">
        <f ca="1">IF(A7=A6,PurchaseOrder!C6,INDEX(VendTable!$A$2:$A$109,RANDBETWEEN(1,23)))</f>
        <v>700006</v>
      </c>
      <c r="E7" s="2" t="s">
        <v>883</v>
      </c>
      <c r="F7">
        <v>44236</v>
      </c>
      <c r="G7" s="3">
        <v>434.51763722463238</v>
      </c>
      <c r="H7">
        <v>19221322.200268839</v>
      </c>
      <c r="I7" s="3">
        <v>1.6510293087251482</v>
      </c>
      <c r="J7">
        <v>76862</v>
      </c>
      <c r="K7">
        <v>76891213154</v>
      </c>
      <c r="L7" t="s">
        <v>233</v>
      </c>
      <c r="M7" s="5">
        <v>44983.594524409724</v>
      </c>
      <c r="N7" s="5">
        <v>44986.189048819448</v>
      </c>
      <c r="O7" s="5">
        <v>44986.783573229171</v>
      </c>
      <c r="P7">
        <v>10397261234</v>
      </c>
      <c r="Q7">
        <v>982010</v>
      </c>
      <c r="S7">
        <v>25612498</v>
      </c>
      <c r="T7">
        <v>900</v>
      </c>
      <c r="W7">
        <v>76857</v>
      </c>
      <c r="Z7">
        <v>76857</v>
      </c>
    </row>
    <row r="8" spans="1:26" x14ac:dyDescent="0.35">
      <c r="A8">
        <v>952000005</v>
      </c>
      <c r="B8">
        <v>1</v>
      </c>
      <c r="C8">
        <f ca="1">IF(A8=A7,PurchaseOrder!C7,INDEX(VendTable!$A$2:$A$109,RANDBETWEEN(1,23)))</f>
        <v>700019</v>
      </c>
      <c r="E8" s="2" t="s">
        <v>883</v>
      </c>
      <c r="F8">
        <v>41200</v>
      </c>
      <c r="G8" s="3">
        <v>7671.9344691705855</v>
      </c>
      <c r="H8">
        <v>316083700.1298281</v>
      </c>
      <c r="I8" s="3">
        <v>1.850112675792134</v>
      </c>
      <c r="J8">
        <v>76861</v>
      </c>
      <c r="K8">
        <v>76891213531</v>
      </c>
      <c r="L8" t="s">
        <v>233</v>
      </c>
      <c r="M8" s="5">
        <v>45193.594524409724</v>
      </c>
      <c r="N8" s="5">
        <v>45195.189048819448</v>
      </c>
      <c r="O8" s="5">
        <v>45205.783573229171</v>
      </c>
      <c r="P8">
        <v>10397261234</v>
      </c>
      <c r="Q8">
        <v>981903</v>
      </c>
      <c r="S8">
        <v>25612391</v>
      </c>
      <c r="T8">
        <v>400</v>
      </c>
      <c r="W8">
        <v>76858</v>
      </c>
      <c r="Z8">
        <v>76858</v>
      </c>
    </row>
    <row r="9" spans="1:26" x14ac:dyDescent="0.35">
      <c r="A9">
        <v>952000005</v>
      </c>
      <c r="B9">
        <v>2</v>
      </c>
      <c r="C9">
        <f ca="1">IF(A9=A8,PurchaseOrder!C8,INDEX(VendTable!$A$2:$A$109,RANDBETWEEN(1,23)))</f>
        <v>700019</v>
      </c>
      <c r="E9" s="2" t="s">
        <v>883</v>
      </c>
      <c r="F9">
        <v>27335</v>
      </c>
      <c r="G9" s="3">
        <v>456.46038856066195</v>
      </c>
      <c r="H9">
        <v>12477344.721305694</v>
      </c>
      <c r="I9" s="3">
        <v>1.22237871805376</v>
      </c>
      <c r="J9">
        <v>76860</v>
      </c>
      <c r="K9">
        <v>76891213463</v>
      </c>
      <c r="L9" t="s">
        <v>233</v>
      </c>
      <c r="M9" s="5">
        <v>44916.594524409724</v>
      </c>
      <c r="N9" s="5">
        <v>44920.189048819448</v>
      </c>
      <c r="O9" s="5">
        <v>44927.783573229171</v>
      </c>
      <c r="P9">
        <v>10397261234</v>
      </c>
      <c r="Q9">
        <v>981923</v>
      </c>
      <c r="S9">
        <v>25612411</v>
      </c>
      <c r="T9">
        <v>1000</v>
      </c>
      <c r="W9">
        <v>76859</v>
      </c>
      <c r="Z9">
        <v>76859</v>
      </c>
    </row>
    <row r="10" spans="1:26" x14ac:dyDescent="0.35">
      <c r="A10">
        <v>952000006</v>
      </c>
      <c r="B10">
        <v>1</v>
      </c>
      <c r="C10">
        <f ca="1">IF(A10=A9,PurchaseOrder!C9,INDEX(VendTable!$A$2:$A$109,RANDBETWEEN(1,23)))</f>
        <v>700012</v>
      </c>
      <c r="E10" s="2" t="s">
        <v>883</v>
      </c>
      <c r="F10">
        <v>6500</v>
      </c>
      <c r="G10" s="3">
        <v>5988.5572888332017</v>
      </c>
      <c r="H10">
        <v>38925622.377415814</v>
      </c>
      <c r="I10" s="3">
        <v>1.2875962770023044</v>
      </c>
      <c r="J10">
        <v>76866</v>
      </c>
      <c r="K10">
        <v>76891213364</v>
      </c>
      <c r="L10" t="s">
        <v>233</v>
      </c>
      <c r="M10" s="5">
        <v>44860.594524409724</v>
      </c>
      <c r="N10" s="5">
        <v>44863.189048819448</v>
      </c>
      <c r="O10" s="5">
        <v>44863.783573229171</v>
      </c>
      <c r="P10">
        <v>10397261234</v>
      </c>
      <c r="Q10">
        <v>981885</v>
      </c>
      <c r="S10">
        <v>25612373</v>
      </c>
      <c r="T10">
        <v>100</v>
      </c>
      <c r="W10">
        <v>76860</v>
      </c>
      <c r="Z10">
        <v>76860</v>
      </c>
    </row>
    <row r="11" spans="1:26" x14ac:dyDescent="0.35">
      <c r="A11">
        <v>952000006</v>
      </c>
      <c r="B11">
        <v>2</v>
      </c>
      <c r="C11">
        <f ca="1">IF(A11=A10,PurchaseOrder!C10,INDEX(VendTable!$A$2:$A$109,RANDBETWEEN(1,23)))</f>
        <v>700012</v>
      </c>
      <c r="E11" s="2" t="s">
        <v>883</v>
      </c>
      <c r="F11">
        <v>39988</v>
      </c>
      <c r="G11" s="3">
        <v>7141.7754804894148</v>
      </c>
      <c r="H11">
        <v>285585317.91381073</v>
      </c>
      <c r="I11" s="3">
        <v>1.6454282409009213</v>
      </c>
      <c r="J11">
        <v>76864</v>
      </c>
      <c r="K11">
        <v>76891213207</v>
      </c>
      <c r="L11" t="s">
        <v>233</v>
      </c>
      <c r="M11" s="5">
        <v>45302.594524409724</v>
      </c>
      <c r="N11" s="5">
        <v>45304.189048819448</v>
      </c>
      <c r="O11" s="5">
        <v>45313.783573229171</v>
      </c>
      <c r="P11">
        <v>10397261234</v>
      </c>
      <c r="Q11">
        <v>981937</v>
      </c>
      <c r="S11">
        <v>25612425</v>
      </c>
      <c r="T11">
        <v>1000</v>
      </c>
      <c r="W11">
        <v>76861</v>
      </c>
      <c r="Z11">
        <v>76861</v>
      </c>
    </row>
    <row r="12" spans="1:26" x14ac:dyDescent="0.35">
      <c r="A12">
        <v>952000006</v>
      </c>
      <c r="B12">
        <v>3</v>
      </c>
      <c r="C12">
        <f ca="1">IF(A12=A11,PurchaseOrder!C11,INDEX(VendTable!$A$2:$A$109,RANDBETWEEN(1,23)))</f>
        <v>700012</v>
      </c>
      <c r="E12" s="2" t="s">
        <v>883</v>
      </c>
      <c r="F12">
        <v>6090</v>
      </c>
      <c r="G12" s="3">
        <v>9901.8672747551645</v>
      </c>
      <c r="H12">
        <v>60302371.703258954</v>
      </c>
      <c r="I12" s="3">
        <v>1.2702624759009615</v>
      </c>
      <c r="J12">
        <v>76870</v>
      </c>
      <c r="K12">
        <v>76891213372</v>
      </c>
      <c r="L12" t="s">
        <v>233</v>
      </c>
      <c r="M12" s="5">
        <v>44900.594524409724</v>
      </c>
      <c r="N12" s="5">
        <v>44903.189048819448</v>
      </c>
      <c r="O12" s="5">
        <v>44906.783573229171</v>
      </c>
      <c r="P12">
        <v>10397261234</v>
      </c>
      <c r="Q12">
        <v>981947</v>
      </c>
      <c r="S12">
        <v>25612435</v>
      </c>
      <c r="T12">
        <v>500</v>
      </c>
      <c r="W12">
        <v>76862</v>
      </c>
      <c r="Z12">
        <v>76862</v>
      </c>
    </row>
    <row r="13" spans="1:26" x14ac:dyDescent="0.35">
      <c r="A13">
        <v>952000006</v>
      </c>
      <c r="B13">
        <v>4</v>
      </c>
      <c r="C13">
        <f ca="1">IF(A13=A12,PurchaseOrder!C12,INDEX(VendTable!$A$2:$A$109,RANDBETWEEN(1,23)))</f>
        <v>700012</v>
      </c>
      <c r="E13" s="2" t="s">
        <v>883</v>
      </c>
      <c r="F13">
        <v>43751</v>
      </c>
      <c r="G13" s="3">
        <v>8471.4389438035978</v>
      </c>
      <c r="H13">
        <v>370633925.23035121</v>
      </c>
      <c r="I13" s="3">
        <v>1.1615615999433579</v>
      </c>
      <c r="J13">
        <v>76865</v>
      </c>
      <c r="K13">
        <v>76891213508</v>
      </c>
      <c r="L13" t="s">
        <v>233</v>
      </c>
      <c r="M13" s="5">
        <v>44643.594524409724</v>
      </c>
      <c r="N13" s="5">
        <v>44646.189048819448</v>
      </c>
      <c r="O13" s="5">
        <v>44655.783573229171</v>
      </c>
      <c r="P13">
        <v>10397261234</v>
      </c>
      <c r="Q13">
        <v>981951</v>
      </c>
      <c r="S13">
        <v>25612439</v>
      </c>
      <c r="T13">
        <v>1000</v>
      </c>
      <c r="W13">
        <v>76863</v>
      </c>
      <c r="Z13">
        <v>76863</v>
      </c>
    </row>
    <row r="14" spans="1:26" x14ac:dyDescent="0.35">
      <c r="A14">
        <v>952000006</v>
      </c>
      <c r="B14">
        <v>5</v>
      </c>
      <c r="C14">
        <f ca="1">IF(A14=A13,PurchaseOrder!C13,INDEX(VendTable!$A$2:$A$109,RANDBETWEEN(1,23)))</f>
        <v>700012</v>
      </c>
      <c r="E14" s="2" t="s">
        <v>883</v>
      </c>
      <c r="F14">
        <v>42667</v>
      </c>
      <c r="G14" s="3">
        <v>1104.5530744345867</v>
      </c>
      <c r="H14">
        <v>47127966.026900515</v>
      </c>
      <c r="I14" s="3">
        <v>1.783392845295962</v>
      </c>
      <c r="J14">
        <v>76868</v>
      </c>
      <c r="K14">
        <v>76891213481</v>
      </c>
      <c r="L14" t="s">
        <v>233</v>
      </c>
      <c r="M14" s="5">
        <v>45037.594524409724</v>
      </c>
      <c r="N14" s="5">
        <v>45041.189048819448</v>
      </c>
      <c r="O14" s="5">
        <v>45049.783573229171</v>
      </c>
      <c r="P14">
        <v>10397261234</v>
      </c>
      <c r="Q14">
        <v>982000</v>
      </c>
      <c r="S14">
        <v>25612488</v>
      </c>
      <c r="T14">
        <v>1000</v>
      </c>
      <c r="W14">
        <v>76864</v>
      </c>
      <c r="Z14">
        <v>76864</v>
      </c>
    </row>
    <row r="15" spans="1:26" x14ac:dyDescent="0.35">
      <c r="A15">
        <v>952000007</v>
      </c>
      <c r="B15">
        <v>1</v>
      </c>
      <c r="C15">
        <f ca="1">IF(A15=A14,PurchaseOrder!C14,INDEX(VendTable!$A$2:$A$109,RANDBETWEEN(1,23)))</f>
        <v>700011</v>
      </c>
      <c r="E15" s="2" t="s">
        <v>883</v>
      </c>
      <c r="F15">
        <v>18984</v>
      </c>
      <c r="G15" s="3">
        <v>1470.226472759492</v>
      </c>
      <c r="H15">
        <v>27910779.358866196</v>
      </c>
      <c r="I15" s="3">
        <v>1.0402399991087399</v>
      </c>
      <c r="J15">
        <v>76852</v>
      </c>
      <c r="K15">
        <v>76891213194</v>
      </c>
      <c r="L15" t="s">
        <v>233</v>
      </c>
      <c r="M15" s="5">
        <v>44675.594524409724</v>
      </c>
      <c r="N15" s="5">
        <v>44678.189048819448</v>
      </c>
      <c r="O15" s="5">
        <v>44682.783573229171</v>
      </c>
      <c r="P15">
        <v>10397261234</v>
      </c>
      <c r="Q15">
        <v>981857</v>
      </c>
      <c r="S15">
        <v>25612345</v>
      </c>
      <c r="T15">
        <v>400</v>
      </c>
      <c r="W15">
        <v>76865</v>
      </c>
      <c r="Z15">
        <v>76865</v>
      </c>
    </row>
    <row r="16" spans="1:26" x14ac:dyDescent="0.35">
      <c r="A16">
        <v>952000010</v>
      </c>
      <c r="B16">
        <v>1</v>
      </c>
      <c r="C16">
        <f ca="1">IF(A16=A15,PurchaseOrder!C15,INDEX(VendTable!$A$2:$A$109,RANDBETWEEN(1,23)))</f>
        <v>700007</v>
      </c>
      <c r="E16" s="2" t="s">
        <v>883</v>
      </c>
      <c r="F16">
        <v>20252</v>
      </c>
      <c r="G16" s="3">
        <v>458.01276055728272</v>
      </c>
      <c r="H16">
        <v>9275674.4268060904</v>
      </c>
      <c r="I16" s="3">
        <v>1.8879940878097745</v>
      </c>
      <c r="J16">
        <v>76854</v>
      </c>
      <c r="K16">
        <v>76891213165</v>
      </c>
      <c r="L16" t="s">
        <v>233</v>
      </c>
      <c r="M16" s="5">
        <v>45258.594524409724</v>
      </c>
      <c r="N16" s="5">
        <v>45260.189048819448</v>
      </c>
      <c r="O16" s="5">
        <v>45266.783573229171</v>
      </c>
      <c r="P16">
        <v>10397261234</v>
      </c>
      <c r="Q16">
        <v>981925</v>
      </c>
      <c r="S16">
        <v>25612413</v>
      </c>
      <c r="T16">
        <v>300</v>
      </c>
      <c r="W16">
        <v>76866</v>
      </c>
      <c r="Z16">
        <v>76866</v>
      </c>
    </row>
    <row r="17" spans="1:26" x14ac:dyDescent="0.35">
      <c r="A17">
        <v>952000011</v>
      </c>
      <c r="B17">
        <v>1</v>
      </c>
      <c r="C17">
        <f ca="1">IF(A17=A16,PurchaseOrder!C16,INDEX(VendTable!$A$2:$A$109,RANDBETWEEN(1,23)))</f>
        <v>700005</v>
      </c>
      <c r="E17" s="2" t="s">
        <v>883</v>
      </c>
      <c r="F17">
        <v>11618</v>
      </c>
      <c r="G17" s="3">
        <v>2775.9662582463575</v>
      </c>
      <c r="H17">
        <v>32251175.98830618</v>
      </c>
      <c r="I17" s="3">
        <v>1.6096754464933722</v>
      </c>
      <c r="J17">
        <v>76870</v>
      </c>
      <c r="K17">
        <v>76891213588</v>
      </c>
      <c r="L17" t="s">
        <v>233</v>
      </c>
      <c r="M17" s="5">
        <v>44574.594524409724</v>
      </c>
      <c r="N17" s="5">
        <v>44578.189048819448</v>
      </c>
      <c r="O17" s="5">
        <v>44584.783573229171</v>
      </c>
      <c r="P17">
        <v>10397261234</v>
      </c>
      <c r="Q17">
        <v>981996</v>
      </c>
      <c r="S17">
        <v>25612484</v>
      </c>
      <c r="T17">
        <v>800</v>
      </c>
      <c r="W17">
        <v>76867</v>
      </c>
      <c r="Z17">
        <v>76867</v>
      </c>
    </row>
    <row r="18" spans="1:26" x14ac:dyDescent="0.35">
      <c r="A18">
        <v>952000011</v>
      </c>
      <c r="B18">
        <v>2</v>
      </c>
      <c r="C18">
        <f ca="1">IF(A18=A17,PurchaseOrder!C17,INDEX(VendTable!$A$2:$A$109,RANDBETWEEN(1,23)))</f>
        <v>700005</v>
      </c>
      <c r="E18" s="2" t="s">
        <v>883</v>
      </c>
      <c r="F18">
        <v>15564</v>
      </c>
      <c r="G18" s="3">
        <v>6552.9217426624464</v>
      </c>
      <c r="H18">
        <v>101989674.00279832</v>
      </c>
      <c r="I18" s="3">
        <v>1.6510078181469092</v>
      </c>
      <c r="J18">
        <v>76852</v>
      </c>
      <c r="K18">
        <v>76891213304</v>
      </c>
      <c r="L18" t="s">
        <v>233</v>
      </c>
      <c r="M18" s="5">
        <v>44983.594524409724</v>
      </c>
      <c r="N18" s="5">
        <v>44987.189048819448</v>
      </c>
      <c r="O18" s="5">
        <v>44993.783573229171</v>
      </c>
      <c r="P18">
        <v>10397261234</v>
      </c>
      <c r="Q18">
        <v>982004</v>
      </c>
      <c r="S18">
        <v>25612492</v>
      </c>
      <c r="T18">
        <v>300</v>
      </c>
      <c r="W18">
        <v>76868</v>
      </c>
      <c r="Z18">
        <v>76868</v>
      </c>
    </row>
    <row r="19" spans="1:26" x14ac:dyDescent="0.35">
      <c r="A19">
        <v>952000011</v>
      </c>
      <c r="B19">
        <v>3</v>
      </c>
      <c r="C19">
        <f ca="1">IF(A19=A18,PurchaseOrder!C18,INDEX(VendTable!$A$2:$A$109,RANDBETWEEN(1,23)))</f>
        <v>700005</v>
      </c>
      <c r="E19" s="2" t="s">
        <v>883</v>
      </c>
      <c r="F19">
        <v>22307</v>
      </c>
      <c r="G19" s="3">
        <v>4902.4219832291692</v>
      </c>
      <c r="H19">
        <v>109358327.17989308</v>
      </c>
      <c r="I19" s="3">
        <v>1.9641658971347</v>
      </c>
      <c r="J19">
        <v>76853</v>
      </c>
      <c r="K19">
        <v>76891213577</v>
      </c>
      <c r="L19" t="s">
        <v>233</v>
      </c>
      <c r="M19" s="5">
        <v>45473.594524409724</v>
      </c>
      <c r="N19" s="5">
        <v>45477.189048819448</v>
      </c>
      <c r="O19" s="5">
        <v>45485.783573229171</v>
      </c>
      <c r="P19">
        <v>10397261234</v>
      </c>
      <c r="Q19">
        <v>982008</v>
      </c>
      <c r="S19">
        <v>25612496</v>
      </c>
      <c r="T19">
        <v>1000</v>
      </c>
      <c r="W19">
        <v>76869</v>
      </c>
      <c r="Z19">
        <v>76869</v>
      </c>
    </row>
    <row r="20" spans="1:26" x14ac:dyDescent="0.35">
      <c r="A20">
        <v>952000012</v>
      </c>
      <c r="B20">
        <v>1</v>
      </c>
      <c r="C20">
        <f ca="1">IF(A20=A19,PurchaseOrder!C19,INDEX(VendTable!$A$2:$A$109,RANDBETWEEN(1,23)))</f>
        <v>700010</v>
      </c>
      <c r="E20" s="2" t="s">
        <v>883</v>
      </c>
      <c r="F20">
        <v>6096</v>
      </c>
      <c r="G20" s="3">
        <v>9048.2568759235801</v>
      </c>
      <c r="H20">
        <v>55158173.915630147</v>
      </c>
      <c r="I20" s="3">
        <v>1.5484149856797336</v>
      </c>
      <c r="J20">
        <v>76862</v>
      </c>
      <c r="K20">
        <v>76891213308</v>
      </c>
      <c r="L20" t="s">
        <v>233</v>
      </c>
      <c r="M20" s="5">
        <v>44581.594524409724</v>
      </c>
      <c r="N20" s="5">
        <v>44583.189048819448</v>
      </c>
      <c r="O20" s="5">
        <v>44586.783573229171</v>
      </c>
      <c r="P20">
        <v>10397261230</v>
      </c>
      <c r="Q20">
        <v>981850</v>
      </c>
      <c r="S20">
        <v>25612338</v>
      </c>
      <c r="T20">
        <v>800</v>
      </c>
      <c r="W20">
        <v>76870</v>
      </c>
      <c r="Z20">
        <v>76870</v>
      </c>
    </row>
    <row r="21" spans="1:26" x14ac:dyDescent="0.35">
      <c r="A21">
        <v>952000014</v>
      </c>
      <c r="B21">
        <v>1</v>
      </c>
      <c r="C21">
        <f ca="1">IF(A21=A20,PurchaseOrder!C20,INDEX(VendTable!$A$2:$A$109,RANDBETWEEN(1,23)))</f>
        <v>700021</v>
      </c>
      <c r="E21" s="2" t="s">
        <v>883</v>
      </c>
      <c r="F21">
        <v>27268</v>
      </c>
      <c r="G21" s="3">
        <v>7985.3215342657095</v>
      </c>
      <c r="H21">
        <v>217743747.59635738</v>
      </c>
      <c r="I21" s="3">
        <v>1.0899202056408375</v>
      </c>
      <c r="J21">
        <v>76865</v>
      </c>
      <c r="K21">
        <v>76891213502</v>
      </c>
      <c r="L21" t="s">
        <v>233</v>
      </c>
      <c r="M21" s="5">
        <v>45270.594524409724</v>
      </c>
      <c r="N21" s="5">
        <v>45273.189048819448</v>
      </c>
      <c r="O21" s="5">
        <v>45282.783573229171</v>
      </c>
      <c r="P21">
        <v>10397261234</v>
      </c>
      <c r="Q21">
        <v>981859</v>
      </c>
      <c r="S21">
        <v>25612347</v>
      </c>
      <c r="T21">
        <v>1000</v>
      </c>
      <c r="W21">
        <v>76871</v>
      </c>
      <c r="Z21">
        <v>76871</v>
      </c>
    </row>
    <row r="22" spans="1:26" x14ac:dyDescent="0.35">
      <c r="A22">
        <v>952000014</v>
      </c>
      <c r="B22">
        <v>2</v>
      </c>
      <c r="C22">
        <f ca="1">IF(A22=A21,PurchaseOrder!C21,INDEX(VendTable!$A$2:$A$109,RANDBETWEEN(1,23)))</f>
        <v>700021</v>
      </c>
      <c r="E22" s="2" t="s">
        <v>883</v>
      </c>
      <c r="F22">
        <v>32515</v>
      </c>
      <c r="G22" s="3">
        <v>7698.0891329410597</v>
      </c>
      <c r="H22">
        <v>250303368.15757856</v>
      </c>
      <c r="I22" s="3">
        <v>1.2477145074543095</v>
      </c>
      <c r="J22">
        <v>76865</v>
      </c>
      <c r="K22">
        <v>76891213455</v>
      </c>
      <c r="L22" t="s">
        <v>233</v>
      </c>
      <c r="M22" s="5">
        <v>45021.594524409724</v>
      </c>
      <c r="N22" s="5">
        <v>45024.189048819448</v>
      </c>
      <c r="O22" s="5">
        <v>45034.783573229171</v>
      </c>
      <c r="P22">
        <v>10397261234</v>
      </c>
      <c r="Q22">
        <v>981921</v>
      </c>
      <c r="S22">
        <v>25612409</v>
      </c>
      <c r="T22">
        <v>800</v>
      </c>
      <c r="W22">
        <v>76872</v>
      </c>
      <c r="Z22">
        <v>76872</v>
      </c>
    </row>
    <row r="23" spans="1:26" x14ac:dyDescent="0.35">
      <c r="A23">
        <v>952000014</v>
      </c>
      <c r="B23">
        <v>3</v>
      </c>
      <c r="C23">
        <f ca="1">IF(A23=A22,PurchaseOrder!C22,INDEX(VendTable!$A$2:$A$109,RANDBETWEEN(1,23)))</f>
        <v>700021</v>
      </c>
      <c r="E23" s="2" t="s">
        <v>883</v>
      </c>
      <c r="F23">
        <v>49497</v>
      </c>
      <c r="G23" s="3">
        <v>330.8941259541453</v>
      </c>
      <c r="H23">
        <v>16378266.55235233</v>
      </c>
      <c r="I23" s="3">
        <v>1.4700251276034049</v>
      </c>
      <c r="J23">
        <v>76856</v>
      </c>
      <c r="K23">
        <v>76891213610</v>
      </c>
      <c r="L23" t="s">
        <v>233</v>
      </c>
      <c r="M23" s="5">
        <v>45272.594524409724</v>
      </c>
      <c r="N23" s="5">
        <v>45276.189048819448</v>
      </c>
      <c r="O23" s="5">
        <v>45276.783573229171</v>
      </c>
      <c r="P23">
        <v>10397261234</v>
      </c>
      <c r="Q23">
        <v>982016</v>
      </c>
      <c r="S23">
        <v>25612504</v>
      </c>
      <c r="T23">
        <v>100</v>
      </c>
      <c r="W23">
        <v>76873</v>
      </c>
      <c r="Z23">
        <v>76873</v>
      </c>
    </row>
    <row r="24" spans="1:26" x14ac:dyDescent="0.35">
      <c r="A24">
        <v>952000014</v>
      </c>
      <c r="B24">
        <v>4</v>
      </c>
      <c r="C24">
        <f ca="1">IF(A24=A23,PurchaseOrder!C23,INDEX(VendTable!$A$2:$A$109,RANDBETWEEN(1,23)))</f>
        <v>700021</v>
      </c>
      <c r="E24" s="2" t="s">
        <v>883</v>
      </c>
      <c r="F24">
        <v>12901</v>
      </c>
      <c r="G24" s="3">
        <v>3606.1602972357637</v>
      </c>
      <c r="H24">
        <v>46523073.994638585</v>
      </c>
      <c r="I24" s="3">
        <v>1.3257146672997422</v>
      </c>
      <c r="J24">
        <v>76862</v>
      </c>
      <c r="K24">
        <v>76891213518</v>
      </c>
      <c r="L24" t="s">
        <v>233</v>
      </c>
      <c r="M24" s="5">
        <v>45588.594524409724</v>
      </c>
      <c r="N24" s="5">
        <v>45589.189048819448</v>
      </c>
      <c r="O24" s="5">
        <v>45599.783573229171</v>
      </c>
      <c r="P24">
        <v>10397261234</v>
      </c>
      <c r="Q24">
        <v>982025</v>
      </c>
      <c r="S24">
        <v>25612513</v>
      </c>
      <c r="T24">
        <v>300</v>
      </c>
      <c r="W24">
        <v>76874</v>
      </c>
      <c r="Z24">
        <v>76874</v>
      </c>
    </row>
    <row r="25" spans="1:26" x14ac:dyDescent="0.35">
      <c r="A25">
        <v>952000014</v>
      </c>
      <c r="B25">
        <v>5</v>
      </c>
      <c r="C25">
        <f ca="1">IF(A25=A24,PurchaseOrder!C24,INDEX(VendTable!$A$2:$A$109,RANDBETWEEN(1,23)))</f>
        <v>700021</v>
      </c>
      <c r="E25" s="2" t="s">
        <v>883</v>
      </c>
      <c r="F25">
        <v>31557</v>
      </c>
      <c r="G25" s="3">
        <v>9218.6561461206911</v>
      </c>
      <c r="H25">
        <v>290913132.00313067</v>
      </c>
      <c r="I25" s="3">
        <v>1.7027658426235184</v>
      </c>
      <c r="J25">
        <v>76860</v>
      </c>
      <c r="K25">
        <v>76891213157</v>
      </c>
      <c r="L25" t="s">
        <v>233</v>
      </c>
      <c r="M25" s="5">
        <v>45390.594524409724</v>
      </c>
      <c r="N25" s="5">
        <v>45392.189048819448</v>
      </c>
      <c r="O25" s="5">
        <v>45394.783573229171</v>
      </c>
      <c r="P25">
        <v>10397261234</v>
      </c>
      <c r="Q25">
        <v>982026</v>
      </c>
      <c r="S25">
        <v>25612514</v>
      </c>
      <c r="T25">
        <v>400</v>
      </c>
    </row>
    <row r="26" spans="1:26" x14ac:dyDescent="0.35">
      <c r="A26">
        <v>952000016</v>
      </c>
      <c r="B26">
        <v>1</v>
      </c>
      <c r="C26">
        <f ca="1">IF(A26=A25,PurchaseOrder!C25,INDEX(VendTable!$A$2:$A$109,RANDBETWEEN(1,23)))</f>
        <v>700009</v>
      </c>
      <c r="E26" s="2" t="s">
        <v>883</v>
      </c>
      <c r="F26">
        <v>45398</v>
      </c>
      <c r="G26" s="3">
        <v>8298.2466167382354</v>
      </c>
      <c r="H26">
        <v>376723799.90668243</v>
      </c>
      <c r="I26" s="3">
        <v>1.2596187906176859</v>
      </c>
      <c r="J26">
        <v>76852</v>
      </c>
      <c r="K26">
        <v>76891213515</v>
      </c>
      <c r="L26" t="s">
        <v>233</v>
      </c>
      <c r="M26" s="5">
        <v>44750.594524409724</v>
      </c>
      <c r="N26" s="5">
        <v>44751.189048819448</v>
      </c>
      <c r="O26" s="5">
        <v>44760.783573229171</v>
      </c>
      <c r="P26">
        <v>10397261234</v>
      </c>
      <c r="Q26">
        <v>981988</v>
      </c>
      <c r="S26">
        <v>25612476</v>
      </c>
      <c r="T26">
        <v>600</v>
      </c>
    </row>
    <row r="27" spans="1:26" x14ac:dyDescent="0.35">
      <c r="A27">
        <v>952000016</v>
      </c>
      <c r="B27">
        <v>2</v>
      </c>
      <c r="C27">
        <f ca="1">IF(A27=A26,PurchaseOrder!C26,INDEX(VendTable!$A$2:$A$109,RANDBETWEEN(1,23)))</f>
        <v>700009</v>
      </c>
      <c r="E27" s="2" t="s">
        <v>883</v>
      </c>
      <c r="F27">
        <v>35291</v>
      </c>
      <c r="G27" s="3">
        <v>722.47855830035428</v>
      </c>
      <c r="H27">
        <v>25496990.800977804</v>
      </c>
      <c r="I27" s="3">
        <v>1.0348933258570399</v>
      </c>
      <c r="J27">
        <v>76860</v>
      </c>
      <c r="K27">
        <v>76891213241</v>
      </c>
      <c r="L27" t="s">
        <v>233</v>
      </c>
      <c r="M27" s="5">
        <v>44693.594524409724</v>
      </c>
      <c r="N27" s="5">
        <v>44694.189048819448</v>
      </c>
      <c r="O27" s="5">
        <v>44694.783573229171</v>
      </c>
      <c r="P27">
        <v>10397261234</v>
      </c>
      <c r="Q27">
        <v>981997</v>
      </c>
      <c r="S27">
        <v>25612485</v>
      </c>
      <c r="T27">
        <v>700</v>
      </c>
    </row>
    <row r="28" spans="1:26" x14ac:dyDescent="0.35">
      <c r="A28">
        <v>952000017</v>
      </c>
      <c r="B28">
        <v>1</v>
      </c>
      <c r="C28">
        <f ca="1">IF(A28=A27,PurchaseOrder!C27,INDEX(VendTable!$A$2:$A$109,RANDBETWEEN(1,23)))</f>
        <v>700015</v>
      </c>
      <c r="E28" s="2" t="s">
        <v>883</v>
      </c>
      <c r="F28">
        <v>16631</v>
      </c>
      <c r="G28" s="3">
        <v>8262.4794811966622</v>
      </c>
      <c r="H28">
        <v>137413296.2517817</v>
      </c>
      <c r="I28" s="3">
        <v>1.0519482289687105</v>
      </c>
      <c r="J28">
        <v>76871</v>
      </c>
      <c r="K28">
        <v>76891213352</v>
      </c>
      <c r="L28" t="s">
        <v>233</v>
      </c>
      <c r="M28" s="5">
        <v>44659.594524409724</v>
      </c>
      <c r="N28" s="5">
        <v>44663.189048819448</v>
      </c>
      <c r="O28" s="5">
        <v>44664.783573229171</v>
      </c>
      <c r="P28">
        <v>10397261234</v>
      </c>
      <c r="Q28">
        <v>981892</v>
      </c>
      <c r="S28">
        <v>25612380</v>
      </c>
      <c r="T28">
        <v>500</v>
      </c>
    </row>
    <row r="29" spans="1:26" x14ac:dyDescent="0.35">
      <c r="A29">
        <v>952000017</v>
      </c>
      <c r="B29">
        <v>2</v>
      </c>
      <c r="C29">
        <f ca="1">IF(A29=A28,PurchaseOrder!C28,INDEX(VendTable!$A$2:$A$109,RANDBETWEEN(1,23)))</f>
        <v>700015</v>
      </c>
      <c r="E29" s="2" t="s">
        <v>883</v>
      </c>
      <c r="F29">
        <v>11319</v>
      </c>
      <c r="G29" s="3">
        <v>4691.9137567569105</v>
      </c>
      <c r="H29">
        <v>53107771.812731467</v>
      </c>
      <c r="I29" s="3">
        <v>1.4568726194631605</v>
      </c>
      <c r="J29">
        <v>76863</v>
      </c>
      <c r="K29">
        <v>76891213324</v>
      </c>
      <c r="L29" t="s">
        <v>233</v>
      </c>
      <c r="M29" s="5">
        <v>44668.594524409724</v>
      </c>
      <c r="N29" s="5">
        <v>44670.189048819448</v>
      </c>
      <c r="O29" s="5">
        <v>44676.783573229171</v>
      </c>
      <c r="P29">
        <v>10397261234</v>
      </c>
      <c r="Q29">
        <v>981959</v>
      </c>
      <c r="S29">
        <v>25612447</v>
      </c>
      <c r="T29">
        <v>100</v>
      </c>
    </row>
    <row r="30" spans="1:26" x14ac:dyDescent="0.35">
      <c r="A30">
        <v>952000019</v>
      </c>
      <c r="B30">
        <v>1</v>
      </c>
      <c r="C30">
        <f ca="1">IF(A30=A29,PurchaseOrder!C29,INDEX(VendTable!$A$2:$A$109,RANDBETWEEN(1,23)))</f>
        <v>700011</v>
      </c>
      <c r="E30" s="2" t="s">
        <v>883</v>
      </c>
      <c r="F30">
        <v>42604</v>
      </c>
      <c r="G30" s="3">
        <v>6289.9679168917883</v>
      </c>
      <c r="H30">
        <v>267977793.13125774</v>
      </c>
      <c r="I30" s="3">
        <v>1.0675250815123738</v>
      </c>
      <c r="J30">
        <v>76855</v>
      </c>
      <c r="K30">
        <v>76891213464</v>
      </c>
      <c r="L30" t="s">
        <v>233</v>
      </c>
      <c r="M30" s="5">
        <v>44841.594524409724</v>
      </c>
      <c r="N30" s="5">
        <v>44844.189048819448</v>
      </c>
      <c r="O30" s="5">
        <v>44852.783573229171</v>
      </c>
      <c r="P30">
        <v>10397261215</v>
      </c>
      <c r="Q30">
        <v>981835</v>
      </c>
      <c r="S30">
        <v>25612323</v>
      </c>
      <c r="T30">
        <v>200</v>
      </c>
    </row>
    <row r="31" spans="1:26" x14ac:dyDescent="0.35">
      <c r="A31">
        <v>952000020</v>
      </c>
      <c r="B31">
        <v>1</v>
      </c>
      <c r="C31">
        <f ca="1">IF(A31=A30,PurchaseOrder!C30,INDEX(VendTable!$A$2:$A$109,RANDBETWEEN(1,23)))</f>
        <v>700014</v>
      </c>
      <c r="E31" s="2" t="s">
        <v>883</v>
      </c>
      <c r="F31">
        <v>5485</v>
      </c>
      <c r="G31" s="3">
        <v>5297.7343249285832</v>
      </c>
      <c r="H31">
        <v>29058072.772233278</v>
      </c>
      <c r="I31" s="3">
        <v>1.8963767459012422</v>
      </c>
      <c r="J31">
        <v>76867</v>
      </c>
      <c r="K31">
        <v>76891213450</v>
      </c>
      <c r="L31" t="s">
        <v>233</v>
      </c>
      <c r="M31" s="5">
        <v>45301.594524409724</v>
      </c>
      <c r="N31" s="5">
        <v>45302.189048819448</v>
      </c>
      <c r="O31" s="5">
        <v>45308.783573229171</v>
      </c>
      <c r="P31">
        <v>10397261234</v>
      </c>
      <c r="Q31">
        <v>981927</v>
      </c>
      <c r="S31">
        <v>25612415</v>
      </c>
      <c r="T31">
        <v>800</v>
      </c>
    </row>
    <row r="32" spans="1:26" x14ac:dyDescent="0.35">
      <c r="A32">
        <v>952000020</v>
      </c>
      <c r="B32">
        <v>2</v>
      </c>
      <c r="C32">
        <f ca="1">IF(A32=A31,PurchaseOrder!C31,INDEX(VendTable!$A$2:$A$109,RANDBETWEEN(1,23)))</f>
        <v>700014</v>
      </c>
      <c r="E32" s="2" t="s">
        <v>883</v>
      </c>
      <c r="F32">
        <v>19524</v>
      </c>
      <c r="G32" s="3">
        <v>8918.4091509734044</v>
      </c>
      <c r="H32">
        <v>174123020.26360476</v>
      </c>
      <c r="I32" s="3">
        <v>1.3290568942296306</v>
      </c>
      <c r="J32">
        <v>76865</v>
      </c>
      <c r="K32">
        <v>76891213415</v>
      </c>
      <c r="L32" t="s">
        <v>233</v>
      </c>
      <c r="M32" s="5">
        <v>45255.594524409724</v>
      </c>
      <c r="N32" s="5">
        <v>45258.189048819448</v>
      </c>
      <c r="O32" s="5">
        <v>45263.783573229171</v>
      </c>
      <c r="P32">
        <v>10397261234</v>
      </c>
      <c r="Q32">
        <v>982013</v>
      </c>
      <c r="S32">
        <v>25612501</v>
      </c>
      <c r="T32">
        <v>700</v>
      </c>
    </row>
    <row r="33" spans="1:20" x14ac:dyDescent="0.35">
      <c r="A33">
        <v>952000021</v>
      </c>
      <c r="B33">
        <v>1</v>
      </c>
      <c r="C33">
        <f ca="1">IF(A33=A32,PurchaseOrder!C32,INDEX(VendTable!$A$2:$A$109,RANDBETWEEN(1,23)))</f>
        <v>700017</v>
      </c>
      <c r="E33" s="2" t="s">
        <v>883</v>
      </c>
      <c r="F33">
        <v>40304</v>
      </c>
      <c r="G33" s="3">
        <v>1470.226472759492</v>
      </c>
      <c r="H33">
        <v>59256007.758098565</v>
      </c>
      <c r="I33" s="3">
        <v>1.7222778236634624</v>
      </c>
      <c r="J33">
        <v>76866</v>
      </c>
      <c r="K33">
        <v>76891213194</v>
      </c>
      <c r="L33" t="s">
        <v>233</v>
      </c>
      <c r="M33" s="5">
        <v>44785.594524409724</v>
      </c>
      <c r="N33" s="5">
        <v>44789.189048819448</v>
      </c>
      <c r="O33" s="5">
        <v>44793.783573229171</v>
      </c>
      <c r="P33">
        <v>10397261234</v>
      </c>
      <c r="Q33">
        <v>981887</v>
      </c>
      <c r="S33">
        <v>25612375</v>
      </c>
      <c r="T33">
        <v>400</v>
      </c>
    </row>
    <row r="34" spans="1:20" x14ac:dyDescent="0.35">
      <c r="A34">
        <v>952000021</v>
      </c>
      <c r="B34">
        <v>2</v>
      </c>
      <c r="C34">
        <f ca="1">IF(A34=A33,PurchaseOrder!C33,INDEX(VendTable!$A$2:$A$109,RANDBETWEEN(1,23)))</f>
        <v>700017</v>
      </c>
      <c r="E34" s="2" t="s">
        <v>883</v>
      </c>
      <c r="F34">
        <v>24533</v>
      </c>
      <c r="G34" s="3">
        <v>5173.8411583984371</v>
      </c>
      <c r="H34">
        <v>126929845.13898885</v>
      </c>
      <c r="I34" s="3">
        <v>1.6626015577414834</v>
      </c>
      <c r="J34">
        <v>76855</v>
      </c>
      <c r="K34">
        <v>76891213487</v>
      </c>
      <c r="L34" t="s">
        <v>233</v>
      </c>
      <c r="M34" s="5">
        <v>44653.594524409724</v>
      </c>
      <c r="N34" s="5">
        <v>44654.189048819448</v>
      </c>
      <c r="O34" s="5">
        <v>44656.783573229171</v>
      </c>
      <c r="P34">
        <v>10397261234</v>
      </c>
      <c r="Q34">
        <v>981931</v>
      </c>
      <c r="S34">
        <v>25612419</v>
      </c>
      <c r="T34">
        <v>1000</v>
      </c>
    </row>
    <row r="35" spans="1:20" x14ac:dyDescent="0.35">
      <c r="A35">
        <v>952000023</v>
      </c>
      <c r="B35">
        <v>1</v>
      </c>
      <c r="C35">
        <f ca="1">IF(A35=A34,PurchaseOrder!C34,INDEX(VendTable!$A$2:$A$109,RANDBETWEEN(1,23)))</f>
        <v>700015</v>
      </c>
      <c r="E35" s="2" t="s">
        <v>883</v>
      </c>
      <c r="F35">
        <v>16463</v>
      </c>
      <c r="G35" s="3">
        <v>7427.1597967173639</v>
      </c>
      <c r="H35">
        <v>122273331.73335797</v>
      </c>
      <c r="I35" s="3">
        <v>1.9967414129225163</v>
      </c>
      <c r="J35">
        <v>76856</v>
      </c>
      <c r="K35">
        <v>76891213219</v>
      </c>
      <c r="L35" t="s">
        <v>233</v>
      </c>
      <c r="M35" s="5">
        <v>45370.594524409724</v>
      </c>
      <c r="N35" s="5">
        <v>45374.189048819448</v>
      </c>
      <c r="O35" s="5">
        <v>45375.783573229171</v>
      </c>
      <c r="P35">
        <v>10397261234</v>
      </c>
      <c r="Q35">
        <v>981868</v>
      </c>
      <c r="S35">
        <v>25612356</v>
      </c>
      <c r="T35">
        <v>400</v>
      </c>
    </row>
    <row r="36" spans="1:20" x14ac:dyDescent="0.35">
      <c r="A36">
        <v>952000023</v>
      </c>
      <c r="B36">
        <v>2</v>
      </c>
      <c r="C36">
        <f ca="1">IF(A36=A35,PurchaseOrder!C35,INDEX(VendTable!$A$2:$A$109,RANDBETWEEN(1,23)))</f>
        <v>700015</v>
      </c>
      <c r="E36" s="2" t="s">
        <v>883</v>
      </c>
      <c r="F36">
        <v>22698</v>
      </c>
      <c r="G36" s="3">
        <v>1875.5987845132199</v>
      </c>
      <c r="H36">
        <v>42572341.210881069</v>
      </c>
      <c r="I36" s="3">
        <v>1.626786107637606</v>
      </c>
      <c r="J36">
        <v>76862</v>
      </c>
      <c r="K36">
        <v>76891213612</v>
      </c>
      <c r="L36" t="s">
        <v>233</v>
      </c>
      <c r="M36" s="5">
        <v>45340.594524409724</v>
      </c>
      <c r="N36" s="5">
        <v>45344.189048819448</v>
      </c>
      <c r="O36" s="5">
        <v>45354.783573229171</v>
      </c>
      <c r="P36">
        <v>10397261234</v>
      </c>
      <c r="Q36">
        <v>981902</v>
      </c>
      <c r="S36">
        <v>25612390</v>
      </c>
      <c r="T36">
        <v>100</v>
      </c>
    </row>
    <row r="37" spans="1:20" x14ac:dyDescent="0.35">
      <c r="A37">
        <v>952000025</v>
      </c>
      <c r="B37">
        <v>1</v>
      </c>
      <c r="C37">
        <f ca="1">IF(A37=A36,PurchaseOrder!C36,INDEX(VendTable!$A$2:$A$109,RANDBETWEEN(1,23)))</f>
        <v>700016</v>
      </c>
      <c r="E37" s="2" t="s">
        <v>883</v>
      </c>
      <c r="F37">
        <v>39243</v>
      </c>
      <c r="G37" s="3">
        <v>5969.7257180800389</v>
      </c>
      <c r="H37">
        <v>234269946.35461497</v>
      </c>
      <c r="I37" s="3">
        <v>1.3161347379022446</v>
      </c>
      <c r="J37">
        <v>76860</v>
      </c>
      <c r="K37">
        <v>76891213624</v>
      </c>
      <c r="L37" t="s">
        <v>233</v>
      </c>
      <c r="M37" s="5">
        <v>45280.594524409724</v>
      </c>
      <c r="N37" s="5">
        <v>45284.189048819448</v>
      </c>
      <c r="O37" s="5">
        <v>45286.783573229171</v>
      </c>
      <c r="P37">
        <v>10397261234</v>
      </c>
      <c r="Q37">
        <v>981879</v>
      </c>
      <c r="S37">
        <v>25612367</v>
      </c>
      <c r="T37">
        <v>600</v>
      </c>
    </row>
    <row r="38" spans="1:20" x14ac:dyDescent="0.35">
      <c r="A38">
        <v>952000025</v>
      </c>
      <c r="B38">
        <v>2</v>
      </c>
      <c r="C38">
        <f ca="1">IF(A38=A37,PurchaseOrder!C37,INDEX(VendTable!$A$2:$A$109,RANDBETWEEN(1,23)))</f>
        <v>700016</v>
      </c>
      <c r="E38" s="2" t="s">
        <v>883</v>
      </c>
      <c r="F38">
        <v>33587</v>
      </c>
      <c r="G38" s="3">
        <v>7267.1626991855419</v>
      </c>
      <c r="H38">
        <v>244082193.57754481</v>
      </c>
      <c r="I38" s="3">
        <v>1.8710755472544092</v>
      </c>
      <c r="J38">
        <v>76867</v>
      </c>
      <c r="K38">
        <v>76891213420</v>
      </c>
      <c r="L38" t="s">
        <v>233</v>
      </c>
      <c r="M38" s="5">
        <v>44817.594524409724</v>
      </c>
      <c r="N38" s="5">
        <v>44820.189048819448</v>
      </c>
      <c r="O38" s="5">
        <v>44823.783573229171</v>
      </c>
      <c r="P38">
        <v>10397261234</v>
      </c>
      <c r="Q38">
        <v>981891</v>
      </c>
      <c r="S38">
        <v>25612379</v>
      </c>
      <c r="T38">
        <v>500</v>
      </c>
    </row>
    <row r="39" spans="1:20" x14ac:dyDescent="0.35">
      <c r="A39">
        <v>952000025</v>
      </c>
      <c r="B39">
        <v>3</v>
      </c>
      <c r="C39">
        <f ca="1">IF(A39=A38,PurchaseOrder!C38,INDEX(VendTable!$A$2:$A$109,RANDBETWEEN(1,23)))</f>
        <v>700016</v>
      </c>
      <c r="E39" s="2" t="s">
        <v>883</v>
      </c>
      <c r="F39">
        <v>22805</v>
      </c>
      <c r="G39" s="3">
        <v>7538.3935532289843</v>
      </c>
      <c r="H39">
        <v>171913064.98138699</v>
      </c>
      <c r="I39" s="3">
        <v>1.881659892712489</v>
      </c>
      <c r="J39">
        <v>76863</v>
      </c>
      <c r="K39">
        <v>76891213255</v>
      </c>
      <c r="L39" t="s">
        <v>233</v>
      </c>
      <c r="M39" s="5">
        <v>45231.594524409724</v>
      </c>
      <c r="N39" s="5">
        <v>45235.189048819448</v>
      </c>
      <c r="O39" s="5">
        <v>45238.783573229171</v>
      </c>
      <c r="P39">
        <v>10397261234</v>
      </c>
      <c r="Q39">
        <v>981967</v>
      </c>
      <c r="S39">
        <v>25612455</v>
      </c>
      <c r="T39">
        <v>400</v>
      </c>
    </row>
    <row r="40" spans="1:20" x14ac:dyDescent="0.35">
      <c r="A40">
        <v>952000025</v>
      </c>
      <c r="B40">
        <v>4</v>
      </c>
      <c r="C40">
        <f ca="1">IF(A40=A39,PurchaseOrder!C39,INDEX(VendTable!$A$2:$A$109,RANDBETWEEN(1,23)))</f>
        <v>700016</v>
      </c>
      <c r="E40" s="2" t="s">
        <v>883</v>
      </c>
      <c r="F40">
        <v>33469</v>
      </c>
      <c r="G40" s="3">
        <v>1996.1220505503977</v>
      </c>
      <c r="H40">
        <v>66808208.909871258</v>
      </c>
      <c r="I40" s="3">
        <v>1.9541391109225992</v>
      </c>
      <c r="J40">
        <v>76866</v>
      </c>
      <c r="K40">
        <v>76891213305</v>
      </c>
      <c r="L40" t="s">
        <v>233</v>
      </c>
      <c r="M40" s="5">
        <v>44587.594524409724</v>
      </c>
      <c r="N40" s="5">
        <v>44588.189048819448</v>
      </c>
      <c r="O40" s="5">
        <v>44592.783573229171</v>
      </c>
      <c r="P40">
        <v>10397261234</v>
      </c>
      <c r="Q40">
        <v>981984</v>
      </c>
      <c r="S40">
        <v>25612472</v>
      </c>
      <c r="T40">
        <v>700</v>
      </c>
    </row>
    <row r="41" spans="1:20" x14ac:dyDescent="0.35">
      <c r="A41">
        <v>952000026</v>
      </c>
      <c r="B41">
        <v>1</v>
      </c>
      <c r="C41">
        <f ca="1">IF(A41=A40,PurchaseOrder!C40,INDEX(VendTable!$A$2:$A$109,RANDBETWEEN(1,23)))</f>
        <v>700017</v>
      </c>
      <c r="E41" s="2" t="s">
        <v>883</v>
      </c>
      <c r="F41">
        <v>41074</v>
      </c>
      <c r="G41" s="3">
        <v>5173.8411583984371</v>
      </c>
      <c r="H41">
        <v>212510351.74005741</v>
      </c>
      <c r="I41" s="3">
        <v>1.0200161698298604</v>
      </c>
      <c r="J41">
        <v>76854</v>
      </c>
      <c r="K41">
        <v>76891213487</v>
      </c>
      <c r="L41" t="s">
        <v>233</v>
      </c>
      <c r="M41" s="5">
        <v>44989.594524409724</v>
      </c>
      <c r="N41" s="5">
        <v>44991.189048819448</v>
      </c>
      <c r="O41" s="5">
        <v>45000.783573229171</v>
      </c>
      <c r="P41">
        <v>10397261234</v>
      </c>
      <c r="Q41">
        <v>981889</v>
      </c>
      <c r="S41">
        <v>25612377</v>
      </c>
      <c r="T41">
        <v>1000</v>
      </c>
    </row>
    <row r="42" spans="1:20" x14ac:dyDescent="0.35">
      <c r="A42">
        <v>952000026</v>
      </c>
      <c r="B42">
        <v>2</v>
      </c>
      <c r="C42">
        <f ca="1">IF(A42=A41,PurchaseOrder!C41,INDEX(VendTable!$A$2:$A$109,RANDBETWEEN(1,23)))</f>
        <v>700017</v>
      </c>
      <c r="E42" s="2" t="s">
        <v>883</v>
      </c>
      <c r="F42">
        <v>24531</v>
      </c>
      <c r="G42" s="3">
        <v>859.66648441934603</v>
      </c>
      <c r="H42">
        <v>21088478.529290978</v>
      </c>
      <c r="I42" s="3">
        <v>1.5143915993526851</v>
      </c>
      <c r="J42">
        <v>76868</v>
      </c>
      <c r="K42">
        <v>76891213327</v>
      </c>
      <c r="L42" t="s">
        <v>233</v>
      </c>
      <c r="M42" s="5">
        <v>45507.594524409724</v>
      </c>
      <c r="N42" s="5">
        <v>45509.189048819448</v>
      </c>
      <c r="O42" s="5">
        <v>45511.783573229171</v>
      </c>
      <c r="P42">
        <v>10397261234</v>
      </c>
      <c r="Q42">
        <v>981987</v>
      </c>
      <c r="S42">
        <v>25612475</v>
      </c>
      <c r="T42">
        <v>800</v>
      </c>
    </row>
    <row r="43" spans="1:20" x14ac:dyDescent="0.35">
      <c r="A43">
        <v>952000028</v>
      </c>
      <c r="B43">
        <v>1</v>
      </c>
      <c r="C43">
        <f ca="1">IF(A43=A42,PurchaseOrder!C42,INDEX(VendTable!$A$2:$A$109,RANDBETWEEN(1,23)))</f>
        <v>700012</v>
      </c>
      <c r="E43" s="2" t="s">
        <v>883</v>
      </c>
      <c r="F43">
        <v>47302</v>
      </c>
      <c r="G43" s="3">
        <v>9694.6658136300175</v>
      </c>
      <c r="H43">
        <v>458577082.3163271</v>
      </c>
      <c r="I43" s="3">
        <v>1.3588339118282482</v>
      </c>
      <c r="J43">
        <v>76852</v>
      </c>
      <c r="K43">
        <v>76891213289</v>
      </c>
      <c r="L43" t="s">
        <v>233</v>
      </c>
      <c r="M43" s="5">
        <v>44649.594524409724</v>
      </c>
      <c r="N43" s="5">
        <v>44652.189048819448</v>
      </c>
      <c r="O43" s="5">
        <v>44656.783573229171</v>
      </c>
      <c r="P43">
        <v>10397261234</v>
      </c>
      <c r="Q43">
        <v>981948</v>
      </c>
      <c r="S43">
        <v>25612436</v>
      </c>
      <c r="T43">
        <v>500</v>
      </c>
    </row>
    <row r="44" spans="1:20" x14ac:dyDescent="0.35">
      <c r="A44">
        <v>952000029</v>
      </c>
      <c r="B44">
        <v>1</v>
      </c>
      <c r="C44">
        <f ca="1">IF(A44=A43,PurchaseOrder!C43,INDEX(VendTable!$A$2:$A$109,RANDBETWEEN(1,23)))</f>
        <v>700011</v>
      </c>
      <c r="E44" s="2" t="s">
        <v>883</v>
      </c>
      <c r="F44">
        <v>37335</v>
      </c>
      <c r="G44" s="3">
        <v>6832.907344015106</v>
      </c>
      <c r="H44">
        <v>255106595.68880397</v>
      </c>
      <c r="I44" s="3">
        <v>1.7658312855442611</v>
      </c>
      <c r="J44">
        <v>76865</v>
      </c>
      <c r="K44">
        <v>76891213483</v>
      </c>
      <c r="L44" t="s">
        <v>233</v>
      </c>
      <c r="M44" s="5">
        <v>44960.594524409724</v>
      </c>
      <c r="N44" s="5">
        <v>44964.189048819448</v>
      </c>
      <c r="O44" s="5">
        <v>44973.783573229171</v>
      </c>
      <c r="P44">
        <v>10397261234</v>
      </c>
      <c r="Q44">
        <v>981906</v>
      </c>
      <c r="S44">
        <v>25612394</v>
      </c>
      <c r="T44">
        <v>600</v>
      </c>
    </row>
    <row r="45" spans="1:20" x14ac:dyDescent="0.35">
      <c r="A45">
        <v>952000030</v>
      </c>
      <c r="B45">
        <v>1</v>
      </c>
      <c r="C45">
        <f ca="1">IF(A45=A44,PurchaseOrder!C44,INDEX(VendTable!$A$2:$A$109,RANDBETWEEN(1,23)))</f>
        <v>700001</v>
      </c>
      <c r="E45" s="2" t="s">
        <v>883</v>
      </c>
      <c r="F45">
        <v>16855</v>
      </c>
      <c r="G45" s="3">
        <v>3922.1664473320634</v>
      </c>
      <c r="H45">
        <v>66108115.469781928</v>
      </c>
      <c r="I45" s="3">
        <v>1.9002603121546358</v>
      </c>
      <c r="J45">
        <v>76859</v>
      </c>
      <c r="K45">
        <v>76891213469</v>
      </c>
      <c r="L45" t="s">
        <v>233</v>
      </c>
      <c r="M45" s="5">
        <v>45236.594524409724</v>
      </c>
      <c r="N45" s="5">
        <v>45240.189048819448</v>
      </c>
      <c r="O45" s="5">
        <v>45243.783573229171</v>
      </c>
      <c r="P45">
        <v>10397261234</v>
      </c>
      <c r="Q45">
        <v>981958</v>
      </c>
      <c r="S45">
        <v>25612446</v>
      </c>
      <c r="T45">
        <v>1000</v>
      </c>
    </row>
    <row r="46" spans="1:20" x14ac:dyDescent="0.35">
      <c r="A46">
        <v>952000030</v>
      </c>
      <c r="B46">
        <v>2</v>
      </c>
      <c r="C46">
        <f ca="1">IF(A46=A45,PurchaseOrder!C45,INDEX(VendTable!$A$2:$A$109,RANDBETWEEN(1,23)))</f>
        <v>700001</v>
      </c>
      <c r="E46" s="2" t="s">
        <v>883</v>
      </c>
      <c r="F46">
        <v>7652</v>
      </c>
      <c r="G46" s="3">
        <v>1698.4978347296653</v>
      </c>
      <c r="H46">
        <v>12996905.431351399</v>
      </c>
      <c r="I46" s="3">
        <v>1.381897156903535</v>
      </c>
      <c r="J46">
        <v>76868</v>
      </c>
      <c r="K46">
        <v>76891213445</v>
      </c>
      <c r="L46" t="s">
        <v>233</v>
      </c>
      <c r="M46" s="5">
        <v>44867.594524409724</v>
      </c>
      <c r="N46" s="5">
        <v>44870.189048819448</v>
      </c>
      <c r="O46" s="5">
        <v>44877.783573229171</v>
      </c>
      <c r="P46">
        <v>10397261234</v>
      </c>
      <c r="Q46">
        <v>981964</v>
      </c>
      <c r="S46">
        <v>25612452</v>
      </c>
      <c r="T46">
        <v>600</v>
      </c>
    </row>
    <row r="47" spans="1:20" x14ac:dyDescent="0.35">
      <c r="A47">
        <v>952000030</v>
      </c>
      <c r="B47">
        <v>3</v>
      </c>
      <c r="C47">
        <f ca="1">IF(A47=A46,PurchaseOrder!C46,INDEX(VendTable!$A$2:$A$109,RANDBETWEEN(1,23)))</f>
        <v>700001</v>
      </c>
      <c r="E47" s="2" t="s">
        <v>883</v>
      </c>
      <c r="F47">
        <v>48801</v>
      </c>
      <c r="G47" s="3">
        <v>7461.4117361448762</v>
      </c>
      <c r="H47">
        <v>364124354.13560611</v>
      </c>
      <c r="I47" s="3">
        <v>1.3057118167849708</v>
      </c>
      <c r="J47">
        <v>76855</v>
      </c>
      <c r="K47">
        <v>76891213616</v>
      </c>
      <c r="L47" t="s">
        <v>233</v>
      </c>
      <c r="M47" s="5">
        <v>45233.594524409724</v>
      </c>
      <c r="N47" s="5">
        <v>45237.189048819448</v>
      </c>
      <c r="O47" s="5">
        <v>45239.783573229171</v>
      </c>
      <c r="P47">
        <v>10397261234</v>
      </c>
      <c r="Q47">
        <v>981982</v>
      </c>
      <c r="S47">
        <v>25612470</v>
      </c>
      <c r="T47">
        <v>700</v>
      </c>
    </row>
    <row r="48" spans="1:20" x14ac:dyDescent="0.35">
      <c r="A48">
        <v>952000033</v>
      </c>
      <c r="B48">
        <v>1</v>
      </c>
      <c r="C48">
        <f ca="1">IF(A48=A47,PurchaseOrder!C47,INDEX(VendTable!$A$2:$A$109,RANDBETWEEN(1,23)))</f>
        <v>700012</v>
      </c>
      <c r="E48" s="2" t="s">
        <v>883</v>
      </c>
      <c r="F48">
        <v>23641</v>
      </c>
      <c r="G48" s="3">
        <v>301.11304514055257</v>
      </c>
      <c r="H48">
        <v>7118613.5001678029</v>
      </c>
      <c r="I48" s="3">
        <v>1.4219004156956654</v>
      </c>
      <c r="J48">
        <v>76853</v>
      </c>
      <c r="K48">
        <v>76891213490</v>
      </c>
      <c r="L48" t="s">
        <v>233</v>
      </c>
      <c r="M48" s="5">
        <v>44626.594524409724</v>
      </c>
      <c r="N48" s="5">
        <v>44627.189048819448</v>
      </c>
      <c r="O48" s="5">
        <v>44632.783573229171</v>
      </c>
      <c r="P48">
        <v>10397261234</v>
      </c>
      <c r="Q48">
        <v>981978</v>
      </c>
      <c r="S48">
        <v>25612466</v>
      </c>
      <c r="T48">
        <v>900</v>
      </c>
    </row>
    <row r="49" spans="1:20" x14ac:dyDescent="0.35">
      <c r="A49">
        <v>952000034</v>
      </c>
      <c r="B49">
        <v>1</v>
      </c>
      <c r="C49">
        <f ca="1">IF(A49=A48,PurchaseOrder!C48,INDEX(VendTable!$A$2:$A$109,RANDBETWEEN(1,23)))</f>
        <v>700003</v>
      </c>
      <c r="E49" s="2" t="s">
        <v>883</v>
      </c>
      <c r="F49">
        <v>29029</v>
      </c>
      <c r="G49" s="3">
        <v>8287.1446602949163</v>
      </c>
      <c r="H49">
        <v>240567522.34370112</v>
      </c>
      <c r="I49" s="3">
        <v>1.3655550984072231</v>
      </c>
      <c r="J49">
        <v>76855</v>
      </c>
      <c r="K49">
        <v>76891213244</v>
      </c>
      <c r="L49" t="s">
        <v>233</v>
      </c>
      <c r="M49" s="5">
        <v>44718.594524409724</v>
      </c>
      <c r="N49" s="5">
        <v>44722.189048819448</v>
      </c>
      <c r="O49" s="5">
        <v>44728.783573229171</v>
      </c>
      <c r="P49">
        <v>10397261234</v>
      </c>
      <c r="Q49">
        <v>981917</v>
      </c>
      <c r="S49">
        <v>25612405</v>
      </c>
      <c r="T49">
        <v>600</v>
      </c>
    </row>
    <row r="50" spans="1:20" x14ac:dyDescent="0.35">
      <c r="A50">
        <v>952000034</v>
      </c>
      <c r="B50">
        <v>2</v>
      </c>
      <c r="C50">
        <f ca="1">IF(A50=A49,PurchaseOrder!C49,INDEX(VendTable!$A$2:$A$109,RANDBETWEEN(1,23)))</f>
        <v>700003</v>
      </c>
      <c r="E50" s="2" t="s">
        <v>883</v>
      </c>
      <c r="F50">
        <v>47959</v>
      </c>
      <c r="G50" s="3">
        <v>545.42973166857178</v>
      </c>
      <c r="H50">
        <v>26158264.501093034</v>
      </c>
      <c r="I50" s="3">
        <v>1.492834389182244</v>
      </c>
      <c r="J50">
        <v>76864</v>
      </c>
      <c r="K50">
        <v>76891213253</v>
      </c>
      <c r="L50" t="s">
        <v>233</v>
      </c>
      <c r="M50" s="5">
        <v>45352.594524409724</v>
      </c>
      <c r="N50" s="5">
        <v>45356.189048819448</v>
      </c>
      <c r="O50" s="5">
        <v>45359.783573229171</v>
      </c>
      <c r="P50">
        <v>10397261234</v>
      </c>
      <c r="Q50">
        <v>981919</v>
      </c>
      <c r="S50">
        <v>25612407</v>
      </c>
      <c r="T50">
        <v>800</v>
      </c>
    </row>
    <row r="51" spans="1:20" x14ac:dyDescent="0.35">
      <c r="A51">
        <v>952000034</v>
      </c>
      <c r="B51">
        <v>3</v>
      </c>
      <c r="C51">
        <f ca="1">IF(A51=A50,PurchaseOrder!C50,INDEX(VendTable!$A$2:$A$109,RANDBETWEEN(1,23)))</f>
        <v>700003</v>
      </c>
      <c r="E51" s="2" t="s">
        <v>883</v>
      </c>
      <c r="F51">
        <v>13187</v>
      </c>
      <c r="G51" s="3">
        <v>3494.7423957859314</v>
      </c>
      <c r="H51">
        <v>46085167.97322908</v>
      </c>
      <c r="I51" s="3">
        <v>1.3230735529969913</v>
      </c>
      <c r="J51">
        <v>76866</v>
      </c>
      <c r="K51">
        <v>76891213401</v>
      </c>
      <c r="L51" t="s">
        <v>233</v>
      </c>
      <c r="M51" s="5">
        <v>44737.594524409724</v>
      </c>
      <c r="N51" s="5">
        <v>44741.189048819448</v>
      </c>
      <c r="O51" s="5">
        <v>44749.783573229171</v>
      </c>
      <c r="P51">
        <v>10397261234</v>
      </c>
      <c r="Q51">
        <v>981952</v>
      </c>
      <c r="S51">
        <v>25612440</v>
      </c>
      <c r="T51">
        <v>900</v>
      </c>
    </row>
    <row r="52" spans="1:20" x14ac:dyDescent="0.35">
      <c r="A52">
        <v>952000035</v>
      </c>
      <c r="B52">
        <v>1</v>
      </c>
      <c r="C52">
        <f ca="1">IF(A52=A51,PurchaseOrder!C51,INDEX(VendTable!$A$2:$A$109,RANDBETWEEN(1,23)))</f>
        <v>700017</v>
      </c>
      <c r="E52" s="2" t="s">
        <v>883</v>
      </c>
      <c r="F52">
        <v>16375</v>
      </c>
      <c r="G52" s="3">
        <v>4748.3574506597488</v>
      </c>
      <c r="H52">
        <v>77754353.254553393</v>
      </c>
      <c r="I52" s="3">
        <v>1.4718837008622772</v>
      </c>
      <c r="J52">
        <v>76862</v>
      </c>
      <c r="K52">
        <v>76891213609</v>
      </c>
      <c r="L52" t="s">
        <v>233</v>
      </c>
      <c r="M52" s="5">
        <v>45169.594524409724</v>
      </c>
      <c r="N52" s="5">
        <v>45172.189048819448</v>
      </c>
      <c r="O52" s="5">
        <v>45178.783573229171</v>
      </c>
      <c r="P52">
        <v>10397261234</v>
      </c>
      <c r="Q52">
        <v>981992</v>
      </c>
      <c r="S52">
        <v>25612480</v>
      </c>
      <c r="T52">
        <v>1000</v>
      </c>
    </row>
    <row r="53" spans="1:20" x14ac:dyDescent="0.35">
      <c r="A53">
        <v>952000035</v>
      </c>
      <c r="B53">
        <v>2</v>
      </c>
      <c r="C53">
        <f ca="1">IF(A53=A52,PurchaseOrder!C52,INDEX(VendTable!$A$2:$A$109,RANDBETWEEN(1,23)))</f>
        <v>700017</v>
      </c>
      <c r="E53" s="2" t="s">
        <v>883</v>
      </c>
      <c r="F53">
        <v>18416</v>
      </c>
      <c r="G53" s="3">
        <v>1960.3061395661375</v>
      </c>
      <c r="H53">
        <v>36100997.866249986</v>
      </c>
      <c r="I53" s="3">
        <v>1.8385615894593061</v>
      </c>
      <c r="J53">
        <v>76857</v>
      </c>
      <c r="K53">
        <v>76891213555</v>
      </c>
      <c r="L53" t="s">
        <v>233</v>
      </c>
      <c r="M53" s="5">
        <v>44634.594524409724</v>
      </c>
      <c r="N53" s="5">
        <v>44637.189048819448</v>
      </c>
      <c r="O53" s="5">
        <v>44643.783573229171</v>
      </c>
      <c r="P53">
        <v>10397261234</v>
      </c>
      <c r="Q53">
        <v>982023</v>
      </c>
      <c r="S53">
        <v>25612511</v>
      </c>
      <c r="T53">
        <v>600</v>
      </c>
    </row>
    <row r="54" spans="1:20" x14ac:dyDescent="0.35">
      <c r="A54">
        <v>952000036</v>
      </c>
      <c r="B54">
        <v>1</v>
      </c>
      <c r="C54">
        <f ca="1">IF(A54=A53,PurchaseOrder!C53,INDEX(VendTable!$A$2:$A$109,RANDBETWEEN(1,23)))</f>
        <v>700018</v>
      </c>
      <c r="E54" s="2" t="s">
        <v>883</v>
      </c>
      <c r="F54">
        <v>37079</v>
      </c>
      <c r="G54" s="3">
        <v>4748.3574506597488</v>
      </c>
      <c r="H54">
        <v>176064345.91301283</v>
      </c>
      <c r="I54" s="3">
        <v>1.3787922147377329</v>
      </c>
      <c r="J54">
        <v>76868</v>
      </c>
      <c r="K54">
        <v>76891213609</v>
      </c>
      <c r="L54" t="s">
        <v>233</v>
      </c>
      <c r="M54" s="5">
        <v>44738.594524409724</v>
      </c>
      <c r="N54" s="5">
        <v>44739.189048819448</v>
      </c>
      <c r="O54" s="5">
        <v>44744.783573229171</v>
      </c>
      <c r="P54">
        <v>10397261216</v>
      </c>
      <c r="Q54">
        <v>981836</v>
      </c>
      <c r="S54">
        <v>25612324</v>
      </c>
      <c r="T54">
        <v>1000</v>
      </c>
    </row>
    <row r="55" spans="1:20" x14ac:dyDescent="0.35">
      <c r="A55">
        <v>952000037</v>
      </c>
      <c r="B55">
        <v>1</v>
      </c>
      <c r="C55">
        <f ca="1">IF(A55=A54,PurchaseOrder!C54,INDEX(VendTable!$A$2:$A$109,RANDBETWEEN(1,23)))</f>
        <v>700001</v>
      </c>
      <c r="E55" s="2" t="s">
        <v>883</v>
      </c>
      <c r="F55">
        <v>25018</v>
      </c>
      <c r="G55" s="3">
        <v>3859.4347621367456</v>
      </c>
      <c r="H55">
        <v>96555338.879137099</v>
      </c>
      <c r="I55" s="3">
        <v>1.9658207992229604</v>
      </c>
      <c r="J55">
        <v>76852</v>
      </c>
      <c r="K55">
        <v>76891213484</v>
      </c>
      <c r="L55" t="s">
        <v>233</v>
      </c>
      <c r="M55" s="5">
        <v>44588.594524409724</v>
      </c>
      <c r="N55" s="5">
        <v>44589.189048819448</v>
      </c>
      <c r="O55" s="5">
        <v>44589.783573229171</v>
      </c>
      <c r="P55">
        <v>10397261234</v>
      </c>
      <c r="Q55">
        <v>981900</v>
      </c>
      <c r="S55">
        <v>25612388</v>
      </c>
      <c r="T55">
        <v>400</v>
      </c>
    </row>
    <row r="56" spans="1:20" x14ac:dyDescent="0.35">
      <c r="A56">
        <v>952000038</v>
      </c>
      <c r="B56">
        <v>1</v>
      </c>
      <c r="C56">
        <f ca="1">IF(A56=A55,PurchaseOrder!C55,INDEX(VendTable!$A$2:$A$109,RANDBETWEEN(1,23)))</f>
        <v>700018</v>
      </c>
      <c r="E56" s="2" t="s">
        <v>883</v>
      </c>
      <c r="F56">
        <v>8609</v>
      </c>
      <c r="G56" s="3">
        <v>4193.4085191332433</v>
      </c>
      <c r="H56">
        <v>36101053.941218093</v>
      </c>
      <c r="I56" s="3">
        <v>1.4454077734899213</v>
      </c>
      <c r="J56">
        <v>76867</v>
      </c>
      <c r="K56">
        <v>76891213468</v>
      </c>
      <c r="L56" t="s">
        <v>233</v>
      </c>
      <c r="M56" s="5">
        <v>45276.594524409724</v>
      </c>
      <c r="N56" s="5">
        <v>45280.189048819448</v>
      </c>
      <c r="O56" s="5">
        <v>45287.783573229171</v>
      </c>
      <c r="P56">
        <v>10397261234</v>
      </c>
      <c r="Q56">
        <v>981864</v>
      </c>
      <c r="S56">
        <v>25612352</v>
      </c>
      <c r="T56">
        <v>800</v>
      </c>
    </row>
    <row r="57" spans="1:20" x14ac:dyDescent="0.35">
      <c r="A57">
        <v>952000039</v>
      </c>
      <c r="B57">
        <v>1</v>
      </c>
      <c r="C57">
        <f ca="1">IF(A57=A56,PurchaseOrder!C56,INDEX(VendTable!$A$2:$A$109,RANDBETWEEN(1,23)))</f>
        <v>700013</v>
      </c>
      <c r="E57" s="2" t="s">
        <v>883</v>
      </c>
      <c r="F57">
        <v>14013</v>
      </c>
      <c r="G57" s="3">
        <v>4758.2214741182506</v>
      </c>
      <c r="H57">
        <v>66676957.516819045</v>
      </c>
      <c r="I57" s="3">
        <v>1.701015239465689</v>
      </c>
      <c r="J57">
        <v>76855</v>
      </c>
      <c r="K57">
        <v>76891213291</v>
      </c>
      <c r="L57" t="s">
        <v>233</v>
      </c>
      <c r="M57" s="5">
        <v>45399.594524409724</v>
      </c>
      <c r="N57" s="5">
        <v>45402.189048819448</v>
      </c>
      <c r="O57" s="5">
        <v>45409.783573229171</v>
      </c>
      <c r="P57">
        <v>10397261234</v>
      </c>
      <c r="Q57">
        <v>981924</v>
      </c>
      <c r="S57">
        <v>25612412</v>
      </c>
      <c r="T57">
        <v>600</v>
      </c>
    </row>
    <row r="58" spans="1:20" x14ac:dyDescent="0.35">
      <c r="A58">
        <v>952000040</v>
      </c>
      <c r="B58">
        <v>1</v>
      </c>
      <c r="C58">
        <f ca="1">IF(A58=A57,PurchaseOrder!C57,INDEX(VendTable!$A$2:$A$109,RANDBETWEEN(1,23)))</f>
        <v>700012</v>
      </c>
      <c r="E58" s="2" t="s">
        <v>883</v>
      </c>
      <c r="F58">
        <v>12930</v>
      </c>
      <c r="G58" s="3">
        <v>7226.5802998128556</v>
      </c>
      <c r="H58">
        <v>93439683.276580229</v>
      </c>
      <c r="I58" s="3">
        <v>1.3008749234820547</v>
      </c>
      <c r="J58">
        <v>76858</v>
      </c>
      <c r="K58">
        <v>76891213465</v>
      </c>
      <c r="L58" t="s">
        <v>233</v>
      </c>
      <c r="M58" s="5">
        <v>44610.594524409724</v>
      </c>
      <c r="N58" s="5">
        <v>44612.189048819448</v>
      </c>
      <c r="O58" s="5">
        <v>44615.783573229171</v>
      </c>
      <c r="P58">
        <v>10397261234</v>
      </c>
      <c r="Q58">
        <v>981875</v>
      </c>
      <c r="S58">
        <v>25612363</v>
      </c>
      <c r="T58">
        <v>500</v>
      </c>
    </row>
    <row r="59" spans="1:20" x14ac:dyDescent="0.35">
      <c r="A59">
        <v>952000040</v>
      </c>
      <c r="B59">
        <v>2</v>
      </c>
      <c r="C59">
        <f ca="1">IF(A59=A58,PurchaseOrder!C58,INDEX(VendTable!$A$2:$A$109,RANDBETWEEN(1,23)))</f>
        <v>700012</v>
      </c>
      <c r="E59" s="2" t="s">
        <v>883</v>
      </c>
      <c r="F59">
        <v>34257</v>
      </c>
      <c r="G59" s="3">
        <v>8224.7321202175208</v>
      </c>
      <c r="H59">
        <v>281754648.24229163</v>
      </c>
      <c r="I59" s="3">
        <v>1.1123253544952492</v>
      </c>
      <c r="J59">
        <v>76866</v>
      </c>
      <c r="K59">
        <v>76891213320</v>
      </c>
      <c r="L59" t="s">
        <v>233</v>
      </c>
      <c r="M59" s="5">
        <v>44977.594524409724</v>
      </c>
      <c r="N59" s="5">
        <v>44981.189048819448</v>
      </c>
      <c r="O59" s="5">
        <v>44989.783573229171</v>
      </c>
      <c r="P59">
        <v>10397261234</v>
      </c>
      <c r="Q59">
        <v>981877</v>
      </c>
      <c r="S59">
        <v>25612365</v>
      </c>
      <c r="T59">
        <v>800</v>
      </c>
    </row>
    <row r="60" spans="1:20" x14ac:dyDescent="0.35">
      <c r="A60">
        <v>952000040</v>
      </c>
      <c r="B60">
        <v>3</v>
      </c>
      <c r="C60">
        <f ca="1">IF(A60=A59,PurchaseOrder!C59,INDEX(VendTable!$A$2:$A$109,RANDBETWEEN(1,23)))</f>
        <v>700012</v>
      </c>
      <c r="E60" s="2" t="s">
        <v>883</v>
      </c>
      <c r="F60">
        <v>6599</v>
      </c>
      <c r="G60" s="3">
        <v>4541.7775038838781</v>
      </c>
      <c r="H60">
        <v>29971189.748129711</v>
      </c>
      <c r="I60" s="3">
        <v>1.7162888830616201</v>
      </c>
      <c r="J60">
        <v>76863</v>
      </c>
      <c r="K60">
        <v>76891213197</v>
      </c>
      <c r="L60" t="s">
        <v>233</v>
      </c>
      <c r="M60" s="5">
        <v>44705.594524409724</v>
      </c>
      <c r="N60" s="5">
        <v>44709.189048819448</v>
      </c>
      <c r="O60" s="5">
        <v>44709.783573229171</v>
      </c>
      <c r="P60">
        <v>10397261234</v>
      </c>
      <c r="Q60">
        <v>981955</v>
      </c>
      <c r="S60">
        <v>25612443</v>
      </c>
      <c r="T60">
        <v>500</v>
      </c>
    </row>
    <row r="61" spans="1:20" x14ac:dyDescent="0.35">
      <c r="A61">
        <v>952000040</v>
      </c>
      <c r="B61">
        <v>4</v>
      </c>
      <c r="C61">
        <f ca="1">IF(A61=A60,PurchaseOrder!C60,INDEX(VendTable!$A$2:$A$109,RANDBETWEEN(1,23)))</f>
        <v>700012</v>
      </c>
      <c r="E61" s="2" t="s">
        <v>883</v>
      </c>
      <c r="F61">
        <v>42445</v>
      </c>
      <c r="G61" s="3">
        <v>3494.7423957859314</v>
      </c>
      <c r="H61">
        <v>148334340.98913386</v>
      </c>
      <c r="I61" s="3">
        <v>1.575116957126085</v>
      </c>
      <c r="J61">
        <v>76862</v>
      </c>
      <c r="K61">
        <v>76891213401</v>
      </c>
      <c r="L61" t="s">
        <v>233</v>
      </c>
      <c r="M61" s="5">
        <v>45270.594524409724</v>
      </c>
      <c r="N61" s="5">
        <v>45274.189048819448</v>
      </c>
      <c r="O61" s="5">
        <v>45280.783573229171</v>
      </c>
      <c r="P61">
        <v>10397261234</v>
      </c>
      <c r="Q61">
        <v>981974</v>
      </c>
      <c r="S61">
        <v>25612462</v>
      </c>
      <c r="T61">
        <v>900</v>
      </c>
    </row>
    <row r="62" spans="1:20" x14ac:dyDescent="0.35">
      <c r="A62">
        <v>952000042</v>
      </c>
      <c r="B62">
        <v>1</v>
      </c>
      <c r="C62">
        <f ca="1">IF(A62=A61,PurchaseOrder!C61,INDEX(VendTable!$A$2:$A$109,RANDBETWEEN(1,23)))</f>
        <v>700023</v>
      </c>
      <c r="E62" s="2" t="s">
        <v>883</v>
      </c>
      <c r="F62">
        <v>11823</v>
      </c>
      <c r="G62" s="3">
        <v>6575.8599238408215</v>
      </c>
      <c r="H62">
        <v>77746391.879570037</v>
      </c>
      <c r="I62" s="3">
        <v>1.3357714214792025</v>
      </c>
      <c r="J62">
        <v>76860</v>
      </c>
      <c r="K62">
        <v>76891213260</v>
      </c>
      <c r="L62" t="s">
        <v>233</v>
      </c>
      <c r="M62" s="5">
        <v>45026.594524409724</v>
      </c>
      <c r="N62" s="5">
        <v>45029.189048819448</v>
      </c>
      <c r="O62" s="5">
        <v>45032.783573229171</v>
      </c>
      <c r="P62">
        <v>10397261234</v>
      </c>
      <c r="Q62">
        <v>981881</v>
      </c>
      <c r="S62">
        <v>25612369</v>
      </c>
      <c r="T62">
        <v>400</v>
      </c>
    </row>
    <row r="63" spans="1:20" x14ac:dyDescent="0.35">
      <c r="A63">
        <v>952000042</v>
      </c>
      <c r="B63">
        <v>2</v>
      </c>
      <c r="C63">
        <f ca="1">IF(A63=A62,PurchaseOrder!C62,INDEX(VendTable!$A$2:$A$109,RANDBETWEEN(1,23)))</f>
        <v>700023</v>
      </c>
      <c r="E63" s="2" t="s">
        <v>883</v>
      </c>
      <c r="F63">
        <v>9303</v>
      </c>
      <c r="G63" s="3">
        <v>1563.0314450018852</v>
      </c>
      <c r="H63">
        <v>14540881.532852538</v>
      </c>
      <c r="I63" s="3">
        <v>1.7131824384273255</v>
      </c>
      <c r="J63">
        <v>76860</v>
      </c>
      <c r="K63">
        <v>76891213387</v>
      </c>
      <c r="L63" t="s">
        <v>233</v>
      </c>
      <c r="M63" s="5">
        <v>44882.594524409724</v>
      </c>
      <c r="N63" s="5">
        <v>44885.189048819448</v>
      </c>
      <c r="O63" s="5">
        <v>44894.783573229171</v>
      </c>
      <c r="P63">
        <v>10397261234</v>
      </c>
      <c r="Q63">
        <v>981912</v>
      </c>
      <c r="S63">
        <v>25612400</v>
      </c>
      <c r="T63">
        <v>100</v>
      </c>
    </row>
    <row r="64" spans="1:20" x14ac:dyDescent="0.35">
      <c r="A64">
        <v>952000042</v>
      </c>
      <c r="B64">
        <v>3</v>
      </c>
      <c r="C64">
        <f ca="1">IF(A64=A63,PurchaseOrder!C63,INDEX(VendTable!$A$2:$A$109,RANDBETWEEN(1,23)))</f>
        <v>700023</v>
      </c>
      <c r="E64" s="2" t="s">
        <v>883</v>
      </c>
      <c r="F64">
        <v>27080</v>
      </c>
      <c r="G64" s="3">
        <v>9818.5214895214995</v>
      </c>
      <c r="H64">
        <v>265885561.93624219</v>
      </c>
      <c r="I64" s="3">
        <v>1.4069630822400041</v>
      </c>
      <c r="J64">
        <v>76866</v>
      </c>
      <c r="K64">
        <v>76891213491</v>
      </c>
      <c r="L64" t="s">
        <v>233</v>
      </c>
      <c r="M64" s="5">
        <v>45173.594524409724</v>
      </c>
      <c r="N64" s="5">
        <v>45174.189048819448</v>
      </c>
      <c r="O64" s="5">
        <v>45180.783573229171</v>
      </c>
      <c r="P64">
        <v>10397261234</v>
      </c>
      <c r="Q64">
        <v>981950</v>
      </c>
      <c r="S64">
        <v>25612438</v>
      </c>
      <c r="T64">
        <v>400</v>
      </c>
    </row>
    <row r="65" spans="1:20" x14ac:dyDescent="0.35">
      <c r="A65">
        <v>952000043</v>
      </c>
      <c r="B65">
        <v>1</v>
      </c>
      <c r="C65">
        <f ca="1">IF(A65=A64,PurchaseOrder!C64,INDEX(VendTable!$A$2:$A$109,RANDBETWEEN(1,23)))</f>
        <v>700015</v>
      </c>
      <c r="E65" s="2" t="s">
        <v>883</v>
      </c>
      <c r="F65">
        <v>44419</v>
      </c>
      <c r="G65" s="3">
        <v>4241.2120530382954</v>
      </c>
      <c r="H65">
        <v>188390398.18390805</v>
      </c>
      <c r="I65" s="3">
        <v>1.6373086345966976</v>
      </c>
      <c r="J65">
        <v>76857</v>
      </c>
      <c r="K65">
        <v>76891213525</v>
      </c>
      <c r="L65" t="s">
        <v>233</v>
      </c>
      <c r="M65" s="5">
        <v>44976.594524409724</v>
      </c>
      <c r="N65" s="5">
        <v>44979.189048819448</v>
      </c>
      <c r="O65" s="5">
        <v>44984.783573229171</v>
      </c>
      <c r="P65">
        <v>10397261234</v>
      </c>
      <c r="Q65">
        <v>981908</v>
      </c>
      <c r="S65">
        <v>25612396</v>
      </c>
      <c r="T65">
        <v>800</v>
      </c>
    </row>
    <row r="66" spans="1:20" x14ac:dyDescent="0.35">
      <c r="A66">
        <v>952000043</v>
      </c>
      <c r="B66">
        <v>2</v>
      </c>
      <c r="C66">
        <f ca="1">IF(A66=A65,PurchaseOrder!C65,INDEX(VendTable!$A$2:$A$109,RANDBETWEEN(1,23)))</f>
        <v>700015</v>
      </c>
      <c r="E66" s="2" t="s">
        <v>883</v>
      </c>
      <c r="F66">
        <v>28093</v>
      </c>
      <c r="G66" s="3">
        <v>2313.9547184197741</v>
      </c>
      <c r="H66">
        <v>65005929.904566713</v>
      </c>
      <c r="I66" s="3">
        <v>1.14414206248918</v>
      </c>
      <c r="J66">
        <v>76871</v>
      </c>
      <c r="K66">
        <v>76891213460</v>
      </c>
      <c r="L66" t="s">
        <v>233</v>
      </c>
      <c r="M66" s="5">
        <v>45461.594524409724</v>
      </c>
      <c r="N66" s="5">
        <v>45462.189048819448</v>
      </c>
      <c r="O66" s="5">
        <v>45467.783573229171</v>
      </c>
      <c r="P66">
        <v>10397261234</v>
      </c>
      <c r="Q66">
        <v>981975</v>
      </c>
      <c r="S66">
        <v>25612463</v>
      </c>
      <c r="T66">
        <v>600</v>
      </c>
    </row>
    <row r="67" spans="1:20" x14ac:dyDescent="0.35">
      <c r="A67">
        <v>952000043</v>
      </c>
      <c r="B67">
        <v>3</v>
      </c>
      <c r="C67">
        <f ca="1">IF(A67=A66,PurchaseOrder!C66,INDEX(VendTable!$A$2:$A$109,RANDBETWEEN(1,23)))</f>
        <v>700015</v>
      </c>
      <c r="E67" s="2" t="s">
        <v>883</v>
      </c>
      <c r="F67">
        <v>41090</v>
      </c>
      <c r="G67" s="3">
        <v>9927.4212188279871</v>
      </c>
      <c r="H67">
        <v>407917737.88164198</v>
      </c>
      <c r="I67" s="3">
        <v>1.5593330005470485</v>
      </c>
      <c r="J67">
        <v>76871</v>
      </c>
      <c r="K67">
        <v>76891213536</v>
      </c>
      <c r="L67" t="s">
        <v>233</v>
      </c>
      <c r="M67" s="5">
        <v>45400.594524409724</v>
      </c>
      <c r="N67" s="5">
        <v>45403.189048819448</v>
      </c>
      <c r="O67" s="5">
        <v>45408.783573229171</v>
      </c>
      <c r="P67">
        <v>10397261234</v>
      </c>
      <c r="Q67">
        <v>981985</v>
      </c>
      <c r="S67">
        <v>25612473</v>
      </c>
      <c r="T67">
        <v>200</v>
      </c>
    </row>
    <row r="68" spans="1:20" x14ac:dyDescent="0.35">
      <c r="A68">
        <v>952000044</v>
      </c>
      <c r="B68">
        <v>1</v>
      </c>
      <c r="C68">
        <f ca="1">IF(A68=A67,PurchaseOrder!C67,INDEX(VendTable!$A$2:$A$109,RANDBETWEEN(1,23)))</f>
        <v>700019</v>
      </c>
      <c r="E68" s="2" t="s">
        <v>883</v>
      </c>
      <c r="F68">
        <v>45260</v>
      </c>
      <c r="G68" s="3">
        <v>6030.3792729882898</v>
      </c>
      <c r="H68">
        <v>272934965.89545</v>
      </c>
      <c r="I68" s="3">
        <v>1.9685789582536557</v>
      </c>
      <c r="J68">
        <v>76854</v>
      </c>
      <c r="K68">
        <v>76891213249</v>
      </c>
      <c r="L68" t="s">
        <v>233</v>
      </c>
      <c r="M68" s="5">
        <v>45567.594524409724</v>
      </c>
      <c r="N68" s="5">
        <v>45571.189048819448</v>
      </c>
      <c r="O68" s="5">
        <v>45574.783573229171</v>
      </c>
      <c r="P68">
        <v>10397261234</v>
      </c>
      <c r="Q68">
        <v>981930</v>
      </c>
      <c r="S68">
        <v>25612418</v>
      </c>
      <c r="T68">
        <v>900</v>
      </c>
    </row>
    <row r="69" spans="1:20" x14ac:dyDescent="0.35">
      <c r="A69">
        <v>952000044</v>
      </c>
      <c r="B69">
        <v>2</v>
      </c>
      <c r="C69">
        <f ca="1">IF(A69=A68,PurchaseOrder!C68,INDEX(VendTable!$A$2:$A$109,RANDBETWEEN(1,23)))</f>
        <v>700019</v>
      </c>
      <c r="E69" s="2" t="s">
        <v>883</v>
      </c>
      <c r="F69">
        <v>39052</v>
      </c>
      <c r="G69" s="3">
        <v>7426.984880742004</v>
      </c>
      <c r="H69">
        <v>290038613.56273675</v>
      </c>
      <c r="I69" s="3">
        <v>1.8884354172700519</v>
      </c>
      <c r="J69">
        <v>76865</v>
      </c>
      <c r="K69">
        <v>76891213337</v>
      </c>
      <c r="L69" t="s">
        <v>233</v>
      </c>
      <c r="M69" s="5">
        <v>45608.594524409724</v>
      </c>
      <c r="N69" s="5">
        <v>45609.189048819448</v>
      </c>
      <c r="O69" s="5">
        <v>45611.783573229171</v>
      </c>
      <c r="P69">
        <v>10397261234</v>
      </c>
      <c r="Q69">
        <v>981939</v>
      </c>
      <c r="S69">
        <v>25612427</v>
      </c>
      <c r="T69">
        <v>800</v>
      </c>
    </row>
    <row r="70" spans="1:20" x14ac:dyDescent="0.35">
      <c r="A70">
        <v>952000044</v>
      </c>
      <c r="B70">
        <v>3</v>
      </c>
      <c r="C70">
        <f ca="1">IF(A70=A69,PurchaseOrder!C69,INDEX(VendTable!$A$2:$A$109,RANDBETWEEN(1,23)))</f>
        <v>700019</v>
      </c>
      <c r="E70" s="2" t="s">
        <v>883</v>
      </c>
      <c r="F70">
        <v>38796</v>
      </c>
      <c r="G70" s="3">
        <v>2313.9547184197741</v>
      </c>
      <c r="H70">
        <v>89772187.255813554</v>
      </c>
      <c r="I70" s="3">
        <v>1.2164059033150347</v>
      </c>
      <c r="J70">
        <v>76870</v>
      </c>
      <c r="K70">
        <v>76891213460</v>
      </c>
      <c r="L70" t="s">
        <v>233</v>
      </c>
      <c r="M70" s="5">
        <v>45128.594524409724</v>
      </c>
      <c r="N70" s="5">
        <v>45129.189048819448</v>
      </c>
      <c r="O70" s="5">
        <v>45133.783573229171</v>
      </c>
      <c r="P70">
        <v>10397261234</v>
      </c>
      <c r="Q70">
        <v>981963</v>
      </c>
      <c r="S70">
        <v>25612451</v>
      </c>
      <c r="T70">
        <v>600</v>
      </c>
    </row>
    <row r="71" spans="1:20" x14ac:dyDescent="0.35">
      <c r="A71">
        <v>952000045</v>
      </c>
      <c r="B71">
        <v>1</v>
      </c>
      <c r="C71">
        <f ca="1">IF(A71=A70,PurchaseOrder!C70,INDEX(VendTable!$A$2:$A$109,RANDBETWEEN(1,23)))</f>
        <v>700018</v>
      </c>
      <c r="E71" s="2" t="s">
        <v>883</v>
      </c>
      <c r="F71">
        <v>35211</v>
      </c>
      <c r="G71" s="3">
        <v>4112.7347692637559</v>
      </c>
      <c r="H71">
        <v>144813503.96054611</v>
      </c>
      <c r="I71" s="3">
        <v>1.4240825988693957</v>
      </c>
      <c r="J71">
        <v>76859</v>
      </c>
      <c r="K71">
        <v>76891213240</v>
      </c>
      <c r="L71" t="s">
        <v>233</v>
      </c>
      <c r="M71" s="5">
        <v>45079.594524409724</v>
      </c>
      <c r="N71" s="5">
        <v>45081.189048819448</v>
      </c>
      <c r="O71" s="5">
        <v>45087.783573229171</v>
      </c>
      <c r="P71">
        <v>10397261234</v>
      </c>
      <c r="Q71">
        <v>981936</v>
      </c>
      <c r="S71">
        <v>25612424</v>
      </c>
      <c r="T71">
        <v>500</v>
      </c>
    </row>
    <row r="72" spans="1:20" x14ac:dyDescent="0.35">
      <c r="A72">
        <v>952000045</v>
      </c>
      <c r="B72">
        <v>2</v>
      </c>
      <c r="C72">
        <f ca="1">IF(A72=A71,PurchaseOrder!C71,INDEX(VendTable!$A$2:$A$109,RANDBETWEEN(1,23)))</f>
        <v>700018</v>
      </c>
      <c r="E72" s="2" t="s">
        <v>883</v>
      </c>
      <c r="F72">
        <v>47539</v>
      </c>
      <c r="G72" s="3">
        <v>9541.2243454703512</v>
      </c>
      <c r="H72">
        <v>453580264.15931505</v>
      </c>
      <c r="I72" s="3">
        <v>1.0985960100747247</v>
      </c>
      <c r="J72">
        <v>76853</v>
      </c>
      <c r="K72">
        <v>76891213175</v>
      </c>
      <c r="L72" t="s">
        <v>233</v>
      </c>
      <c r="M72" s="5">
        <v>44757.594524409724</v>
      </c>
      <c r="N72" s="5">
        <v>44759.189048819448</v>
      </c>
      <c r="O72" s="5">
        <v>44767.783573229171</v>
      </c>
      <c r="P72">
        <v>10397261234</v>
      </c>
      <c r="Q72">
        <v>982002</v>
      </c>
      <c r="S72">
        <v>25612490</v>
      </c>
      <c r="T72">
        <v>100</v>
      </c>
    </row>
    <row r="73" spans="1:20" x14ac:dyDescent="0.35">
      <c r="A73">
        <v>952000046</v>
      </c>
      <c r="B73">
        <v>1</v>
      </c>
      <c r="C73">
        <f ca="1">IF(A73=A72,PurchaseOrder!C72,INDEX(VendTable!$A$2:$A$109,RANDBETWEEN(1,23)))</f>
        <v>700013</v>
      </c>
      <c r="E73" s="2" t="s">
        <v>883</v>
      </c>
      <c r="F73">
        <v>45228</v>
      </c>
      <c r="G73" s="3">
        <v>5227.8188934298078</v>
      </c>
      <c r="H73">
        <v>236443792.91204333</v>
      </c>
      <c r="I73" s="3">
        <v>1.3036692824885847</v>
      </c>
      <c r="J73">
        <v>76863</v>
      </c>
      <c r="K73">
        <v>76891213434</v>
      </c>
      <c r="L73" t="s">
        <v>233</v>
      </c>
      <c r="M73" s="5">
        <v>45023.594524409724</v>
      </c>
      <c r="N73" s="5">
        <v>45024.189048819448</v>
      </c>
      <c r="O73" s="5">
        <v>45034.783573229171</v>
      </c>
      <c r="P73">
        <v>10397261234</v>
      </c>
      <c r="Q73">
        <v>982018</v>
      </c>
      <c r="S73">
        <v>25612506</v>
      </c>
      <c r="T73">
        <v>500</v>
      </c>
    </row>
    <row r="74" spans="1:20" x14ac:dyDescent="0.35">
      <c r="A74">
        <v>952000047</v>
      </c>
      <c r="B74">
        <v>1</v>
      </c>
      <c r="C74">
        <f ca="1">IF(A74=A73,PurchaseOrder!C73,INDEX(VendTable!$A$2:$A$109,RANDBETWEEN(1,23)))</f>
        <v>700015</v>
      </c>
      <c r="E74" s="2" t="s">
        <v>883</v>
      </c>
      <c r="F74">
        <v>38347</v>
      </c>
      <c r="G74" s="3">
        <v>4017.5787063184639</v>
      </c>
      <c r="H74">
        <v>154062090.65119413</v>
      </c>
      <c r="I74" s="3">
        <v>1.1191739466756112</v>
      </c>
      <c r="J74">
        <v>76869</v>
      </c>
      <c r="K74">
        <v>76891213594</v>
      </c>
      <c r="L74" t="s">
        <v>233</v>
      </c>
      <c r="M74" s="5">
        <v>45028.594524409724</v>
      </c>
      <c r="N74" s="5">
        <v>45032.189048819448</v>
      </c>
      <c r="O74" s="5">
        <v>45035.783573229171</v>
      </c>
      <c r="P74">
        <v>10397261234</v>
      </c>
      <c r="Q74">
        <v>981905</v>
      </c>
      <c r="S74">
        <v>25612393</v>
      </c>
      <c r="T74">
        <v>400</v>
      </c>
    </row>
    <row r="75" spans="1:20" x14ac:dyDescent="0.35">
      <c r="A75">
        <v>952000047</v>
      </c>
      <c r="B75">
        <v>2</v>
      </c>
      <c r="C75">
        <f ca="1">IF(A75=A74,PurchaseOrder!C74,INDEX(VendTable!$A$2:$A$109,RANDBETWEEN(1,23)))</f>
        <v>700015</v>
      </c>
      <c r="E75" s="2" t="s">
        <v>883</v>
      </c>
      <c r="F75">
        <v>19011</v>
      </c>
      <c r="G75" s="3">
        <v>6289.9679168917883</v>
      </c>
      <c r="H75">
        <v>119578580.06802979</v>
      </c>
      <c r="I75" s="3">
        <v>1.2860130934354113</v>
      </c>
      <c r="J75">
        <v>76860</v>
      </c>
      <c r="K75">
        <v>76891213464</v>
      </c>
      <c r="L75" t="s">
        <v>233</v>
      </c>
      <c r="M75" s="5">
        <v>44971.594524409724</v>
      </c>
      <c r="N75" s="5">
        <v>44975.189048819448</v>
      </c>
      <c r="O75" s="5">
        <v>44984.783573229171</v>
      </c>
      <c r="P75">
        <v>10397261234</v>
      </c>
      <c r="Q75">
        <v>981965</v>
      </c>
      <c r="S75">
        <v>25612453</v>
      </c>
      <c r="T75">
        <v>200</v>
      </c>
    </row>
    <row r="76" spans="1:20" x14ac:dyDescent="0.35">
      <c r="A76">
        <v>952000049</v>
      </c>
      <c r="B76">
        <v>1</v>
      </c>
      <c r="C76">
        <f ca="1">IF(A76=A75,PurchaseOrder!C75,INDEX(VendTable!$A$2:$A$109,RANDBETWEEN(1,23)))</f>
        <v>700021</v>
      </c>
      <c r="E76" s="2" t="s">
        <v>883</v>
      </c>
      <c r="F76">
        <v>27887</v>
      </c>
      <c r="G76" s="3">
        <v>2585.9979195594692</v>
      </c>
      <c r="H76">
        <v>72115723.982754916</v>
      </c>
      <c r="I76" s="3">
        <v>1.5692063477494438</v>
      </c>
      <c r="J76">
        <v>76861</v>
      </c>
      <c r="K76">
        <v>76891213633</v>
      </c>
      <c r="L76" t="s">
        <v>233</v>
      </c>
      <c r="M76" s="5">
        <v>45005.594524409724</v>
      </c>
      <c r="N76" s="5">
        <v>45007.189048819448</v>
      </c>
      <c r="O76" s="5">
        <v>45016.783573229171</v>
      </c>
      <c r="P76">
        <v>10397261228</v>
      </c>
      <c r="Q76">
        <v>981848</v>
      </c>
      <c r="S76">
        <v>25612336</v>
      </c>
      <c r="T76">
        <v>100</v>
      </c>
    </row>
    <row r="77" spans="1:20" x14ac:dyDescent="0.35">
      <c r="A77">
        <v>952000049</v>
      </c>
      <c r="B77">
        <v>2</v>
      </c>
      <c r="C77">
        <f ca="1">IF(A77=A76,PurchaseOrder!C76,INDEX(VendTable!$A$2:$A$109,RANDBETWEEN(1,23)))</f>
        <v>700021</v>
      </c>
      <c r="E77" s="2" t="s">
        <v>883</v>
      </c>
      <c r="F77">
        <v>20373</v>
      </c>
      <c r="G77" s="3">
        <v>2189.7223706188734</v>
      </c>
      <c r="H77">
        <v>44611213.856618308</v>
      </c>
      <c r="I77" s="3">
        <v>1.6912523725712474</v>
      </c>
      <c r="J77">
        <v>76865</v>
      </c>
      <c r="K77">
        <v>76891213347</v>
      </c>
      <c r="L77" t="s">
        <v>233</v>
      </c>
      <c r="M77" s="5">
        <v>44693.594524409724</v>
      </c>
      <c r="N77" s="5">
        <v>44694.189048819448</v>
      </c>
      <c r="O77" s="5">
        <v>44704.783573229171</v>
      </c>
      <c r="P77">
        <v>10397261234</v>
      </c>
      <c r="Q77">
        <v>981888</v>
      </c>
      <c r="S77">
        <v>25612376</v>
      </c>
      <c r="T77">
        <v>1000</v>
      </c>
    </row>
    <row r="78" spans="1:20" x14ac:dyDescent="0.35">
      <c r="A78">
        <v>952000049</v>
      </c>
      <c r="B78">
        <v>3</v>
      </c>
      <c r="C78">
        <f ca="1">IF(A78=A77,PurchaseOrder!C77,INDEX(VendTable!$A$2:$A$109,RANDBETWEEN(1,23)))</f>
        <v>700021</v>
      </c>
      <c r="E78" s="2" t="s">
        <v>883</v>
      </c>
      <c r="F78">
        <v>40606</v>
      </c>
      <c r="G78" s="3">
        <v>946.52417538391205</v>
      </c>
      <c r="H78">
        <v>38434560.665639132</v>
      </c>
      <c r="I78" s="3">
        <v>1.1360675705191601</v>
      </c>
      <c r="J78">
        <v>76854</v>
      </c>
      <c r="K78">
        <v>76891213473</v>
      </c>
      <c r="L78" t="s">
        <v>233</v>
      </c>
      <c r="M78" s="5">
        <v>44575.594524409724</v>
      </c>
      <c r="N78" s="5">
        <v>44576.189048819448</v>
      </c>
      <c r="O78" s="5">
        <v>44579.783573229171</v>
      </c>
      <c r="P78">
        <v>10397261234</v>
      </c>
      <c r="Q78">
        <v>981899</v>
      </c>
      <c r="S78">
        <v>25612387</v>
      </c>
      <c r="T78">
        <v>100</v>
      </c>
    </row>
    <row r="79" spans="1:20" x14ac:dyDescent="0.35">
      <c r="A79">
        <v>952000051</v>
      </c>
      <c r="B79">
        <v>1</v>
      </c>
      <c r="C79">
        <f ca="1">IF(A79=A78,PurchaseOrder!C78,INDEX(VendTable!$A$2:$A$109,RANDBETWEEN(1,23)))</f>
        <v>700002</v>
      </c>
      <c r="E79" s="2" t="s">
        <v>883</v>
      </c>
      <c r="F79">
        <v>12962</v>
      </c>
      <c r="G79" s="3">
        <v>1525.362048492538</v>
      </c>
      <c r="H79">
        <v>19771742.872560278</v>
      </c>
      <c r="I79" s="3">
        <v>1.3127363852489979</v>
      </c>
      <c r="J79">
        <v>76870</v>
      </c>
      <c r="K79">
        <v>76891213210</v>
      </c>
      <c r="L79" t="s">
        <v>233</v>
      </c>
      <c r="M79" s="5">
        <v>44916.594524409724</v>
      </c>
      <c r="N79" s="5">
        <v>44918.189048819448</v>
      </c>
      <c r="O79" s="5">
        <v>44926.783573229171</v>
      </c>
      <c r="P79">
        <v>10397261234</v>
      </c>
      <c r="Q79">
        <v>982020</v>
      </c>
      <c r="S79">
        <v>25612508</v>
      </c>
      <c r="T79">
        <v>700</v>
      </c>
    </row>
    <row r="80" spans="1:20" x14ac:dyDescent="0.35">
      <c r="A80">
        <v>952000052</v>
      </c>
      <c r="B80">
        <v>1</v>
      </c>
      <c r="C80">
        <f ca="1">IF(A80=A79,PurchaseOrder!C79,INDEX(VendTable!$A$2:$A$109,RANDBETWEEN(1,23)))</f>
        <v>700018</v>
      </c>
      <c r="E80" s="2" t="s">
        <v>883</v>
      </c>
      <c r="F80">
        <v>20708</v>
      </c>
      <c r="G80" s="3">
        <v>4065.0680808802394</v>
      </c>
      <c r="H80">
        <v>84179429.818867996</v>
      </c>
      <c r="I80" s="3">
        <v>1.953517214910742</v>
      </c>
      <c r="J80">
        <v>76862</v>
      </c>
      <c r="K80">
        <v>76891213350</v>
      </c>
      <c r="L80" t="s">
        <v>233</v>
      </c>
      <c r="M80" s="5">
        <v>45182.594524409724</v>
      </c>
      <c r="N80" s="5">
        <v>45184.189048819448</v>
      </c>
      <c r="O80" s="5">
        <v>45191.783573229171</v>
      </c>
      <c r="P80">
        <v>10397261234</v>
      </c>
      <c r="Q80">
        <v>981990</v>
      </c>
      <c r="S80">
        <v>25612478</v>
      </c>
      <c r="T80">
        <v>900</v>
      </c>
    </row>
    <row r="81" spans="1:20" x14ac:dyDescent="0.35">
      <c r="A81">
        <v>952000053</v>
      </c>
      <c r="B81">
        <v>1</v>
      </c>
      <c r="C81">
        <f ca="1">IF(A81=A80,PurchaseOrder!C80,INDEX(VendTable!$A$2:$A$109,RANDBETWEEN(1,23)))</f>
        <v>700013</v>
      </c>
      <c r="E81" s="2" t="s">
        <v>883</v>
      </c>
      <c r="F81">
        <v>21795</v>
      </c>
      <c r="G81" s="3">
        <v>697.4706452059944</v>
      </c>
      <c r="H81">
        <v>15201372.712264648</v>
      </c>
      <c r="I81" s="3">
        <v>1.3759866733979136</v>
      </c>
      <c r="J81">
        <v>76852</v>
      </c>
      <c r="K81">
        <v>76891213195</v>
      </c>
      <c r="L81" t="s">
        <v>233</v>
      </c>
      <c r="M81" s="5">
        <v>44592.594524409724</v>
      </c>
      <c r="N81" s="5">
        <v>44593.189048819448</v>
      </c>
      <c r="O81" s="5">
        <v>44603.783573229171</v>
      </c>
      <c r="P81">
        <v>10397261234</v>
      </c>
      <c r="Q81">
        <v>982024</v>
      </c>
      <c r="S81">
        <v>25612512</v>
      </c>
      <c r="T81">
        <v>1000</v>
      </c>
    </row>
    <row r="82" spans="1:20" x14ac:dyDescent="0.35">
      <c r="A82">
        <v>952000054</v>
      </c>
      <c r="B82">
        <v>1</v>
      </c>
      <c r="C82">
        <f ca="1">IF(A82=A81,PurchaseOrder!C81,INDEX(VendTable!$A$2:$A$109,RANDBETWEEN(1,23)))</f>
        <v>700008</v>
      </c>
      <c r="E82" s="2" t="s">
        <v>883</v>
      </c>
      <c r="F82">
        <v>37070</v>
      </c>
      <c r="G82" s="3">
        <v>333.90570347220904</v>
      </c>
      <c r="H82">
        <v>12377884.427714789</v>
      </c>
      <c r="I82" s="3">
        <v>1.8242245563054902</v>
      </c>
      <c r="J82">
        <v>76852</v>
      </c>
      <c r="K82">
        <v>76891213288</v>
      </c>
      <c r="L82" t="s">
        <v>233</v>
      </c>
      <c r="M82" s="5">
        <v>45381.594524409724</v>
      </c>
      <c r="N82" s="5">
        <v>45383.189048819448</v>
      </c>
      <c r="O82" s="5">
        <v>45391.783573229171</v>
      </c>
      <c r="P82">
        <v>10397261234</v>
      </c>
      <c r="Q82">
        <v>981980</v>
      </c>
      <c r="S82">
        <v>25612468</v>
      </c>
      <c r="T82">
        <v>400</v>
      </c>
    </row>
    <row r="83" spans="1:20" x14ac:dyDescent="0.35">
      <c r="A83">
        <v>952000056</v>
      </c>
      <c r="B83">
        <v>1</v>
      </c>
      <c r="C83">
        <f ca="1">IF(A83=A82,PurchaseOrder!C82,INDEX(VendTable!$A$2:$A$109,RANDBETWEEN(1,23)))</f>
        <v>700017</v>
      </c>
      <c r="E83" s="2" t="s">
        <v>883</v>
      </c>
      <c r="F83">
        <v>35423</v>
      </c>
      <c r="G83" s="3">
        <v>9718.2211627842116</v>
      </c>
      <c r="H83">
        <v>344248548.24930513</v>
      </c>
      <c r="I83" s="3">
        <v>1.4687125619767634</v>
      </c>
      <c r="J83">
        <v>76855</v>
      </c>
      <c r="K83">
        <v>76891213544</v>
      </c>
      <c r="L83" t="s">
        <v>233</v>
      </c>
      <c r="M83" s="5">
        <v>45399.594524409724</v>
      </c>
      <c r="N83" s="5">
        <v>45400.189048819448</v>
      </c>
      <c r="O83" s="5">
        <v>45403.783573229171</v>
      </c>
      <c r="P83">
        <v>10397261219</v>
      </c>
      <c r="Q83">
        <v>981839</v>
      </c>
      <c r="S83">
        <v>25612327</v>
      </c>
      <c r="T83">
        <v>800</v>
      </c>
    </row>
    <row r="84" spans="1:20" x14ac:dyDescent="0.35">
      <c r="A84">
        <v>952000057</v>
      </c>
      <c r="B84">
        <v>1</v>
      </c>
      <c r="C84">
        <f ca="1">IF(A84=A83,PurchaseOrder!C83,INDEX(VendTable!$A$2:$A$109,RANDBETWEEN(1,23)))</f>
        <v>700020</v>
      </c>
      <c r="E84" s="2" t="s">
        <v>883</v>
      </c>
      <c r="F84">
        <v>31482</v>
      </c>
      <c r="G84" s="3">
        <v>2292.2853824227909</v>
      </c>
      <c r="H84">
        <v>72165728.409434304</v>
      </c>
      <c r="I84" s="3">
        <v>1.6507657911588429</v>
      </c>
      <c r="J84">
        <v>76862</v>
      </c>
      <c r="K84">
        <v>76891213426</v>
      </c>
      <c r="L84" t="s">
        <v>233</v>
      </c>
      <c r="M84" s="5">
        <v>44831.594524409724</v>
      </c>
      <c r="N84" s="5">
        <v>44832.189048819448</v>
      </c>
      <c r="O84" s="5">
        <v>44832.783573229171</v>
      </c>
      <c r="P84">
        <v>10397261234</v>
      </c>
      <c r="Q84">
        <v>981918</v>
      </c>
      <c r="S84">
        <v>25612406</v>
      </c>
      <c r="T84">
        <v>100</v>
      </c>
    </row>
    <row r="85" spans="1:20" x14ac:dyDescent="0.35">
      <c r="A85">
        <v>952000058</v>
      </c>
      <c r="B85">
        <v>1</v>
      </c>
      <c r="C85">
        <f ca="1">IF(A85=A84,PurchaseOrder!C84,INDEX(VendTable!$A$2:$A$109,RANDBETWEEN(1,23)))</f>
        <v>700017</v>
      </c>
      <c r="E85" s="2" t="s">
        <v>883</v>
      </c>
      <c r="F85">
        <v>6480</v>
      </c>
      <c r="G85" s="3">
        <v>4193.3002598132098</v>
      </c>
      <c r="H85">
        <v>27172585.6835896</v>
      </c>
      <c r="I85" s="3">
        <v>1.8814301504710369</v>
      </c>
      <c r="J85">
        <v>76865</v>
      </c>
      <c r="K85">
        <v>76891213206</v>
      </c>
      <c r="L85" t="s">
        <v>233</v>
      </c>
      <c r="M85" s="5">
        <v>44896.594524409724</v>
      </c>
      <c r="N85" s="5">
        <v>44899.189048819448</v>
      </c>
      <c r="O85" s="5">
        <v>44901.783573229171</v>
      </c>
      <c r="P85">
        <v>10397261234</v>
      </c>
      <c r="Q85">
        <v>981971</v>
      </c>
      <c r="S85">
        <v>25612459</v>
      </c>
      <c r="T85">
        <v>300</v>
      </c>
    </row>
    <row r="86" spans="1:20" x14ac:dyDescent="0.35">
      <c r="A86">
        <v>952000062</v>
      </c>
      <c r="B86">
        <v>1</v>
      </c>
      <c r="C86">
        <f ca="1">IF(A86=A85,PurchaseOrder!C85,INDEX(VendTable!$A$2:$A$109,RANDBETWEEN(1,23)))</f>
        <v>700015</v>
      </c>
      <c r="E86" s="2" t="s">
        <v>883</v>
      </c>
      <c r="F86">
        <v>47923</v>
      </c>
      <c r="G86" s="3">
        <v>9487.6433910230007</v>
      </c>
      <c r="H86">
        <v>454676334.22799528</v>
      </c>
      <c r="I86" s="3">
        <v>1.753778519673836</v>
      </c>
      <c r="J86">
        <v>76860</v>
      </c>
      <c r="K86">
        <v>76891213497</v>
      </c>
      <c r="L86" t="s">
        <v>233</v>
      </c>
      <c r="M86" s="5">
        <v>44721.594524409724</v>
      </c>
      <c r="N86" s="5">
        <v>44724.189048819448</v>
      </c>
      <c r="O86" s="5">
        <v>44733.783573229171</v>
      </c>
      <c r="P86">
        <v>10397261234</v>
      </c>
      <c r="Q86">
        <v>981876</v>
      </c>
      <c r="S86">
        <v>25612364</v>
      </c>
      <c r="T86">
        <v>500</v>
      </c>
    </row>
    <row r="87" spans="1:20" x14ac:dyDescent="0.35">
      <c r="A87">
        <v>952000062</v>
      </c>
      <c r="B87">
        <v>2</v>
      </c>
      <c r="C87">
        <f ca="1">IF(A87=A86,PurchaseOrder!C86,INDEX(VendTable!$A$2:$A$109,RANDBETWEEN(1,23)))</f>
        <v>700015</v>
      </c>
      <c r="E87" s="2" t="s">
        <v>883</v>
      </c>
      <c r="F87">
        <v>47623</v>
      </c>
      <c r="G87" s="3">
        <v>2862.5408230349453</v>
      </c>
      <c r="H87">
        <v>136322781.61539319</v>
      </c>
      <c r="I87" s="3">
        <v>1.4127320309174523</v>
      </c>
      <c r="J87">
        <v>76853</v>
      </c>
      <c r="K87">
        <v>76891213374</v>
      </c>
      <c r="L87" t="s">
        <v>233</v>
      </c>
      <c r="M87" s="5">
        <v>44971.594524409724</v>
      </c>
      <c r="N87" s="5">
        <v>44975.189048819448</v>
      </c>
      <c r="O87" s="5">
        <v>44984.783573229171</v>
      </c>
      <c r="P87">
        <v>10397261234</v>
      </c>
      <c r="Q87">
        <v>981909</v>
      </c>
      <c r="S87">
        <v>25612397</v>
      </c>
      <c r="T87">
        <v>800</v>
      </c>
    </row>
    <row r="88" spans="1:20" x14ac:dyDescent="0.35">
      <c r="A88">
        <v>952000062</v>
      </c>
      <c r="B88">
        <v>3</v>
      </c>
      <c r="C88">
        <f ca="1">IF(A88=A87,PurchaseOrder!C87,INDEX(VendTable!$A$2:$A$109,RANDBETWEEN(1,23)))</f>
        <v>700015</v>
      </c>
      <c r="E88" s="2" t="s">
        <v>883</v>
      </c>
      <c r="F88">
        <v>20782</v>
      </c>
      <c r="G88" s="3">
        <v>8115.2420540833409</v>
      </c>
      <c r="H88">
        <v>168650960.36795998</v>
      </c>
      <c r="I88" s="3">
        <v>1.0759478635360398</v>
      </c>
      <c r="J88">
        <v>76867</v>
      </c>
      <c r="K88">
        <v>76891213422</v>
      </c>
      <c r="L88" t="s">
        <v>233</v>
      </c>
      <c r="M88" s="5">
        <v>45236.594524409724</v>
      </c>
      <c r="N88" s="5">
        <v>45238.189048819448</v>
      </c>
      <c r="O88" s="5">
        <v>45248.783573229171</v>
      </c>
      <c r="P88">
        <v>10397261234</v>
      </c>
      <c r="Q88">
        <v>981972</v>
      </c>
      <c r="S88">
        <v>25612460</v>
      </c>
      <c r="T88">
        <v>200</v>
      </c>
    </row>
    <row r="89" spans="1:20" x14ac:dyDescent="0.35">
      <c r="A89">
        <v>952000063</v>
      </c>
      <c r="B89">
        <v>1</v>
      </c>
      <c r="C89">
        <f ca="1">IF(A89=A88,PurchaseOrder!C88,INDEX(VendTable!$A$2:$A$109,RANDBETWEEN(1,23)))</f>
        <v>700016</v>
      </c>
      <c r="E89" s="2" t="s">
        <v>883</v>
      </c>
      <c r="F89">
        <v>15601</v>
      </c>
      <c r="G89" s="3">
        <v>6289.9679168917883</v>
      </c>
      <c r="H89">
        <v>98129789.471428782</v>
      </c>
      <c r="I89" s="3">
        <v>1.0847057915347795</v>
      </c>
      <c r="J89">
        <v>76857</v>
      </c>
      <c r="K89">
        <v>76891213464</v>
      </c>
      <c r="L89" t="s">
        <v>233</v>
      </c>
      <c r="M89" s="5">
        <v>44867.594524409724</v>
      </c>
      <c r="N89" s="5">
        <v>44870.189048819448</v>
      </c>
      <c r="O89" s="5">
        <v>44875.783573229171</v>
      </c>
      <c r="P89">
        <v>10397261234</v>
      </c>
      <c r="Q89">
        <v>981880</v>
      </c>
      <c r="S89">
        <v>25612368</v>
      </c>
      <c r="T89">
        <v>200</v>
      </c>
    </row>
    <row r="90" spans="1:20" x14ac:dyDescent="0.35">
      <c r="A90">
        <v>952000063</v>
      </c>
      <c r="B90">
        <v>2</v>
      </c>
      <c r="C90">
        <f ca="1">IF(A90=A89,PurchaseOrder!C89,INDEX(VendTable!$A$2:$A$109,RANDBETWEEN(1,23)))</f>
        <v>700016</v>
      </c>
      <c r="E90" s="2" t="s">
        <v>883</v>
      </c>
      <c r="F90">
        <v>30414</v>
      </c>
      <c r="G90" s="3">
        <v>7395.6386468682012</v>
      </c>
      <c r="H90">
        <v>224930953.80584946</v>
      </c>
      <c r="I90" s="3">
        <v>1.5678837818003812</v>
      </c>
      <c r="J90">
        <v>76857</v>
      </c>
      <c r="K90">
        <v>76891213155</v>
      </c>
      <c r="L90" t="s">
        <v>233</v>
      </c>
      <c r="M90" s="5">
        <v>44831.594524409724</v>
      </c>
      <c r="N90" s="5">
        <v>44833.189048819448</v>
      </c>
      <c r="O90" s="5">
        <v>44842.783573229171</v>
      </c>
      <c r="P90">
        <v>10397261234</v>
      </c>
      <c r="Q90">
        <v>981960</v>
      </c>
      <c r="S90">
        <v>25612448</v>
      </c>
      <c r="T90">
        <v>800</v>
      </c>
    </row>
    <row r="91" spans="1:20" x14ac:dyDescent="0.35">
      <c r="A91">
        <v>952000064</v>
      </c>
      <c r="B91">
        <v>1</v>
      </c>
      <c r="C91">
        <f ca="1">IF(A91=A90,PurchaseOrder!C90,INDEX(VendTable!$A$2:$A$109,RANDBETWEEN(1,23)))</f>
        <v>700019</v>
      </c>
      <c r="E91" s="2" t="s">
        <v>883</v>
      </c>
      <c r="F91">
        <v>29201</v>
      </c>
      <c r="G91" s="3">
        <v>5267.4380332709834</v>
      </c>
      <c r="H91">
        <v>153814458.00954598</v>
      </c>
      <c r="I91" s="3">
        <v>1.8791221244002676</v>
      </c>
      <c r="J91">
        <v>76862</v>
      </c>
      <c r="K91">
        <v>76891213629</v>
      </c>
      <c r="L91" t="s">
        <v>233</v>
      </c>
      <c r="M91" s="5">
        <v>44871.594524409724</v>
      </c>
      <c r="N91" s="5">
        <v>44875.189048819448</v>
      </c>
      <c r="O91" s="5">
        <v>44883.783573229171</v>
      </c>
      <c r="P91">
        <v>10397261234</v>
      </c>
      <c r="Q91">
        <v>981873</v>
      </c>
      <c r="S91">
        <v>25612361</v>
      </c>
      <c r="T91">
        <v>400</v>
      </c>
    </row>
    <row r="92" spans="1:20" x14ac:dyDescent="0.35">
      <c r="A92">
        <v>952000064</v>
      </c>
      <c r="B92">
        <v>2</v>
      </c>
      <c r="C92">
        <f ca="1">IF(A92=A91,PurchaseOrder!C91,INDEX(VendTable!$A$2:$A$109,RANDBETWEEN(1,23)))</f>
        <v>700019</v>
      </c>
      <c r="E92" s="2" t="s">
        <v>883</v>
      </c>
      <c r="F92">
        <v>40731</v>
      </c>
      <c r="G92" s="3">
        <v>6215.2480014845505</v>
      </c>
      <c r="H92">
        <v>253153266.34846723</v>
      </c>
      <c r="I92" s="3">
        <v>1.0740679679484215</v>
      </c>
      <c r="J92">
        <v>76865</v>
      </c>
      <c r="K92">
        <v>76891213581</v>
      </c>
      <c r="L92" t="s">
        <v>233</v>
      </c>
      <c r="M92" s="5">
        <v>45318.594524409724</v>
      </c>
      <c r="N92" s="5">
        <v>45321.189048819448</v>
      </c>
      <c r="O92" s="5">
        <v>45330.783573229171</v>
      </c>
      <c r="P92">
        <v>10397261234</v>
      </c>
      <c r="Q92">
        <v>981940</v>
      </c>
      <c r="S92">
        <v>25612428</v>
      </c>
      <c r="T92">
        <v>600</v>
      </c>
    </row>
    <row r="93" spans="1:20" x14ac:dyDescent="0.35">
      <c r="A93">
        <v>952000065</v>
      </c>
      <c r="B93">
        <v>1</v>
      </c>
      <c r="C93">
        <f ca="1">IF(A93=A92,PurchaseOrder!C92,INDEX(VendTable!$A$2:$A$109,RANDBETWEEN(1,23)))</f>
        <v>700008</v>
      </c>
      <c r="E93" s="2" t="s">
        <v>883</v>
      </c>
      <c r="F93">
        <v>42948</v>
      </c>
      <c r="G93" s="3">
        <v>7220.5744589387905</v>
      </c>
      <c r="H93">
        <v>310109231.86250317</v>
      </c>
      <c r="I93" s="3">
        <v>1.6998091337347456</v>
      </c>
      <c r="J93">
        <v>76861</v>
      </c>
      <c r="K93">
        <v>76891213417</v>
      </c>
      <c r="L93" t="s">
        <v>233</v>
      </c>
      <c r="M93" s="5">
        <v>45061.594524409724</v>
      </c>
      <c r="N93" s="5">
        <v>45065.189048819448</v>
      </c>
      <c r="O93" s="5">
        <v>45073.783573229171</v>
      </c>
      <c r="P93">
        <v>10397261234</v>
      </c>
      <c r="Q93">
        <v>981882</v>
      </c>
      <c r="S93">
        <v>25612370</v>
      </c>
      <c r="T93">
        <v>700</v>
      </c>
    </row>
    <row r="94" spans="1:20" x14ac:dyDescent="0.35">
      <c r="A94">
        <v>952000066</v>
      </c>
      <c r="B94">
        <v>1</v>
      </c>
      <c r="C94">
        <f ca="1">IF(A94=A93,PurchaseOrder!C93,INDEX(VendTable!$A$2:$A$109,RANDBETWEEN(1,23)))</f>
        <v>700017</v>
      </c>
      <c r="E94" s="2" t="s">
        <v>883</v>
      </c>
      <c r="F94">
        <v>13761</v>
      </c>
      <c r="G94" s="3">
        <v>8142.2216049098342</v>
      </c>
      <c r="H94">
        <v>112045111.50516424</v>
      </c>
      <c r="I94" s="3">
        <v>1.5016329348320492</v>
      </c>
      <c r="J94">
        <v>76856</v>
      </c>
      <c r="K94">
        <v>76891213519</v>
      </c>
      <c r="L94" t="s">
        <v>233</v>
      </c>
      <c r="M94" s="5">
        <v>45298.594524409724</v>
      </c>
      <c r="N94" s="5">
        <v>45302.189048819448</v>
      </c>
      <c r="O94" s="5">
        <v>45302.783573229171</v>
      </c>
      <c r="P94">
        <v>10397261232</v>
      </c>
      <c r="Q94">
        <v>981852</v>
      </c>
      <c r="S94">
        <v>25612340</v>
      </c>
      <c r="T94">
        <v>1000</v>
      </c>
    </row>
    <row r="95" spans="1:20" x14ac:dyDescent="0.35">
      <c r="A95">
        <v>952000066</v>
      </c>
      <c r="B95">
        <v>2</v>
      </c>
      <c r="C95">
        <f ca="1">IF(A95=A94,PurchaseOrder!C94,INDEX(VendTable!$A$2:$A$109,RANDBETWEEN(1,23)))</f>
        <v>700017</v>
      </c>
      <c r="E95" s="2" t="s">
        <v>883</v>
      </c>
      <c r="F95">
        <v>36578</v>
      </c>
      <c r="G95" s="3">
        <v>4062.3183610749579</v>
      </c>
      <c r="H95">
        <v>148591481.01139981</v>
      </c>
      <c r="I95" s="3">
        <v>1.0608669620030051</v>
      </c>
      <c r="J95">
        <v>76852</v>
      </c>
      <c r="K95">
        <v>76891213335</v>
      </c>
      <c r="L95" t="s">
        <v>233</v>
      </c>
      <c r="M95" s="5">
        <v>44647.594524409724</v>
      </c>
      <c r="N95" s="5">
        <v>44651.189048819448</v>
      </c>
      <c r="O95" s="5">
        <v>44661.783573229171</v>
      </c>
      <c r="P95">
        <v>10397261234</v>
      </c>
      <c r="Q95">
        <v>981897</v>
      </c>
      <c r="S95">
        <v>25612385</v>
      </c>
      <c r="T95">
        <v>700</v>
      </c>
    </row>
    <row r="96" spans="1:20" x14ac:dyDescent="0.35">
      <c r="A96">
        <v>952000067</v>
      </c>
      <c r="B96">
        <v>1</v>
      </c>
      <c r="C96">
        <f ca="1">IF(A96=A95,PurchaseOrder!C95,INDEX(VendTable!$A$2:$A$109,RANDBETWEEN(1,23)))</f>
        <v>700010</v>
      </c>
      <c r="E96" s="2" t="s">
        <v>883</v>
      </c>
      <c r="F96">
        <v>27438</v>
      </c>
      <c r="G96" s="3">
        <v>4085.6689925225155</v>
      </c>
      <c r="H96">
        <v>112102585.81683278</v>
      </c>
      <c r="I96" s="3">
        <v>1.6481841665943882</v>
      </c>
      <c r="J96">
        <v>76868</v>
      </c>
      <c r="K96">
        <v>76891213234</v>
      </c>
      <c r="L96" t="s">
        <v>233</v>
      </c>
      <c r="M96" s="5">
        <v>44618.594524409724</v>
      </c>
      <c r="N96" s="5">
        <v>44622.189048819448</v>
      </c>
      <c r="O96" s="5">
        <v>44629.783573229171</v>
      </c>
      <c r="P96">
        <v>10397261234</v>
      </c>
      <c r="Q96">
        <v>981862</v>
      </c>
      <c r="S96">
        <v>25612350</v>
      </c>
      <c r="T96">
        <v>200</v>
      </c>
    </row>
    <row r="97" spans="1:20" x14ac:dyDescent="0.35">
      <c r="A97">
        <v>952000067</v>
      </c>
      <c r="B97">
        <v>2</v>
      </c>
      <c r="C97">
        <f ca="1">IF(A97=A96,PurchaseOrder!C96,INDEX(VendTable!$A$2:$A$109,RANDBETWEEN(1,23)))</f>
        <v>700010</v>
      </c>
      <c r="E97" s="2" t="s">
        <v>883</v>
      </c>
      <c r="F97">
        <v>35677</v>
      </c>
      <c r="G97" s="3">
        <v>2189.7223706188734</v>
      </c>
      <c r="H97">
        <v>78122725.01656954</v>
      </c>
      <c r="I97" s="3">
        <v>1.2981377261522897</v>
      </c>
      <c r="J97">
        <v>76857</v>
      </c>
      <c r="K97">
        <v>76891213347</v>
      </c>
      <c r="L97" t="s">
        <v>233</v>
      </c>
      <c r="M97" s="5">
        <v>45492.594524409724</v>
      </c>
      <c r="N97" s="5">
        <v>45495.189048819448</v>
      </c>
      <c r="O97" s="5">
        <v>45504.783573229171</v>
      </c>
      <c r="P97">
        <v>10397261234</v>
      </c>
      <c r="Q97">
        <v>981913</v>
      </c>
      <c r="S97">
        <v>25612401</v>
      </c>
      <c r="T97">
        <v>1000</v>
      </c>
    </row>
    <row r="98" spans="1:20" x14ac:dyDescent="0.35">
      <c r="A98">
        <v>952000067</v>
      </c>
      <c r="B98">
        <v>3</v>
      </c>
      <c r="C98">
        <f ca="1">IF(A98=A97,PurchaseOrder!C97,INDEX(VendTable!$A$2:$A$109,RANDBETWEEN(1,23)))</f>
        <v>700010</v>
      </c>
      <c r="E98" s="2" t="s">
        <v>883</v>
      </c>
      <c r="F98">
        <v>48447</v>
      </c>
      <c r="G98" s="3">
        <v>3497.9520579459099</v>
      </c>
      <c r="H98">
        <v>169465283.35130548</v>
      </c>
      <c r="I98" s="3">
        <v>1.2104124780720935</v>
      </c>
      <c r="J98">
        <v>76863</v>
      </c>
      <c r="K98">
        <v>76891213190</v>
      </c>
      <c r="L98" t="s">
        <v>233</v>
      </c>
      <c r="M98" s="5">
        <v>45345.594524409724</v>
      </c>
      <c r="N98" s="5">
        <v>45347.189048819448</v>
      </c>
      <c r="O98" s="5">
        <v>45354.783573229171</v>
      </c>
      <c r="P98">
        <v>10397261234</v>
      </c>
      <c r="Q98">
        <v>981989</v>
      </c>
      <c r="S98">
        <v>25612477</v>
      </c>
      <c r="T98">
        <v>1000</v>
      </c>
    </row>
    <row r="99" spans="1:20" x14ac:dyDescent="0.35">
      <c r="A99">
        <v>952000068</v>
      </c>
      <c r="B99">
        <v>1</v>
      </c>
      <c r="C99">
        <f ca="1">IF(A99=A98,PurchaseOrder!C98,INDEX(VendTable!$A$2:$A$109,RANDBETWEEN(1,23)))</f>
        <v>700005</v>
      </c>
      <c r="E99" s="2" t="s">
        <v>883</v>
      </c>
      <c r="F99">
        <v>36251</v>
      </c>
      <c r="G99" s="3">
        <v>4268.9730036305682</v>
      </c>
      <c r="H99">
        <v>154754540.35461172</v>
      </c>
      <c r="I99" s="3">
        <v>1.4722448491096183</v>
      </c>
      <c r="J99">
        <v>76859</v>
      </c>
      <c r="K99">
        <v>76891213268</v>
      </c>
      <c r="L99" t="s">
        <v>233</v>
      </c>
      <c r="M99" s="5">
        <v>45276.594524409724</v>
      </c>
      <c r="N99" s="5">
        <v>45280.189048819448</v>
      </c>
      <c r="O99" s="5">
        <v>45280.783573229171</v>
      </c>
      <c r="P99">
        <v>10397261234</v>
      </c>
      <c r="Q99">
        <v>981995</v>
      </c>
      <c r="S99">
        <v>25612483</v>
      </c>
      <c r="T99">
        <v>200</v>
      </c>
    </row>
    <row r="100" spans="1:20" x14ac:dyDescent="0.35">
      <c r="A100">
        <v>952000068</v>
      </c>
      <c r="B100">
        <v>2</v>
      </c>
      <c r="C100">
        <f ca="1">IF(A100=A99,PurchaseOrder!C99,INDEX(VendTable!$A$2:$A$109,RANDBETWEEN(1,23)))</f>
        <v>700005</v>
      </c>
      <c r="E100" s="2" t="s">
        <v>883</v>
      </c>
      <c r="F100">
        <v>43517</v>
      </c>
      <c r="G100" s="3">
        <v>503.1778833936965</v>
      </c>
      <c r="H100">
        <v>21896791.951643489</v>
      </c>
      <c r="I100" s="3">
        <v>1.3229548447933626</v>
      </c>
      <c r="J100">
        <v>76855</v>
      </c>
      <c r="K100">
        <v>76891213427</v>
      </c>
      <c r="L100" t="s">
        <v>233</v>
      </c>
      <c r="M100" s="5">
        <v>45482.594524409724</v>
      </c>
      <c r="N100" s="5">
        <v>45485.189048819448</v>
      </c>
      <c r="O100" s="5">
        <v>45492.783573229171</v>
      </c>
      <c r="P100">
        <v>10397261234</v>
      </c>
      <c r="Q100">
        <v>981998</v>
      </c>
      <c r="S100">
        <v>25612486</v>
      </c>
      <c r="T100">
        <v>400</v>
      </c>
    </row>
    <row r="101" spans="1:20" x14ac:dyDescent="0.35">
      <c r="A101">
        <v>952000069</v>
      </c>
      <c r="B101">
        <v>1</v>
      </c>
      <c r="C101">
        <f ca="1">IF(A101=A100,PurchaseOrder!C100,INDEX(VendTable!$A$2:$A$109,RANDBETWEEN(1,23)))</f>
        <v>700010</v>
      </c>
      <c r="E101" s="2" t="s">
        <v>883</v>
      </c>
      <c r="F101">
        <v>27304</v>
      </c>
      <c r="G101" s="3">
        <v>3222.3278019748877</v>
      </c>
      <c r="H101">
        <v>87982438.305122331</v>
      </c>
      <c r="I101" s="3">
        <v>1.1024214593624133</v>
      </c>
      <c r="J101">
        <v>76861</v>
      </c>
      <c r="K101">
        <v>76891213433</v>
      </c>
      <c r="L101" t="s">
        <v>233</v>
      </c>
      <c r="M101" s="5">
        <v>45157.594524409724</v>
      </c>
      <c r="N101" s="5">
        <v>45160.189048819448</v>
      </c>
      <c r="O101" s="5">
        <v>45161.783573229171</v>
      </c>
      <c r="P101">
        <v>10397261231</v>
      </c>
      <c r="Q101">
        <v>981851</v>
      </c>
      <c r="S101">
        <v>25612339</v>
      </c>
      <c r="T101">
        <v>1000</v>
      </c>
    </row>
    <row r="102" spans="1:20" x14ac:dyDescent="0.35">
      <c r="A102">
        <v>952000069</v>
      </c>
      <c r="B102">
        <v>2</v>
      </c>
      <c r="C102">
        <f ca="1">IF(A102=A101,PurchaseOrder!C101,INDEX(VendTable!$A$2:$A$109,RANDBETWEEN(1,23)))</f>
        <v>700010</v>
      </c>
      <c r="E102" s="2" t="s">
        <v>883</v>
      </c>
      <c r="F102">
        <v>34758</v>
      </c>
      <c r="G102" s="3">
        <v>2387.7224122148214</v>
      </c>
      <c r="H102">
        <v>82992455.603762761</v>
      </c>
      <c r="I102" s="3">
        <v>1.3637847158884471</v>
      </c>
      <c r="J102">
        <v>76857</v>
      </c>
      <c r="K102">
        <v>76891213348</v>
      </c>
      <c r="L102" t="s">
        <v>233</v>
      </c>
      <c r="M102" s="5">
        <v>45272.594524409724</v>
      </c>
      <c r="N102" s="5">
        <v>45274.189048819448</v>
      </c>
      <c r="O102" s="5">
        <v>45284.783573229171</v>
      </c>
      <c r="P102">
        <v>10397261234</v>
      </c>
      <c r="Q102">
        <v>981968</v>
      </c>
      <c r="S102">
        <v>25612456</v>
      </c>
      <c r="T102">
        <v>800</v>
      </c>
    </row>
    <row r="103" spans="1:20" x14ac:dyDescent="0.35">
      <c r="A103">
        <v>952000070</v>
      </c>
      <c r="B103">
        <v>1</v>
      </c>
      <c r="C103">
        <f ca="1">IF(A103=A102,PurchaseOrder!C102,INDEX(VendTable!$A$2:$A$109,RANDBETWEEN(1,23)))</f>
        <v>700014</v>
      </c>
      <c r="E103" s="2" t="s">
        <v>883</v>
      </c>
      <c r="F103">
        <v>28264</v>
      </c>
      <c r="G103" s="3">
        <v>7267.1626991855419</v>
      </c>
      <c r="H103">
        <v>205399086.52978015</v>
      </c>
      <c r="I103" s="3">
        <v>1.2440598286114768</v>
      </c>
      <c r="J103">
        <v>76854</v>
      </c>
      <c r="K103">
        <v>76891213420</v>
      </c>
      <c r="L103" t="s">
        <v>233</v>
      </c>
      <c r="M103" s="5">
        <v>44826.594524409724</v>
      </c>
      <c r="N103" s="5">
        <v>44828.189048819448</v>
      </c>
      <c r="O103" s="5">
        <v>44831.783573229171</v>
      </c>
      <c r="P103">
        <v>10397261234</v>
      </c>
      <c r="Q103">
        <v>981878</v>
      </c>
      <c r="S103">
        <v>25612366</v>
      </c>
      <c r="T103">
        <v>500</v>
      </c>
    </row>
    <row r="104" spans="1:20" x14ac:dyDescent="0.35">
      <c r="A104">
        <v>952000070</v>
      </c>
      <c r="B104">
        <v>2</v>
      </c>
      <c r="C104">
        <f ca="1">IF(A104=A103,PurchaseOrder!C103,INDEX(VendTable!$A$2:$A$109,RANDBETWEEN(1,23)))</f>
        <v>700014</v>
      </c>
      <c r="E104" s="2" t="s">
        <v>883</v>
      </c>
      <c r="F104">
        <v>5981</v>
      </c>
      <c r="G104" s="3">
        <v>616.56878855834839</v>
      </c>
      <c r="H104">
        <v>3687697.9243674818</v>
      </c>
      <c r="I104" s="3">
        <v>1.8090616714432715</v>
      </c>
      <c r="J104">
        <v>76868</v>
      </c>
      <c r="K104">
        <v>76891213334</v>
      </c>
      <c r="L104" t="s">
        <v>233</v>
      </c>
      <c r="M104" s="5">
        <v>45469.594524409724</v>
      </c>
      <c r="N104" s="5">
        <v>45470.189048819448</v>
      </c>
      <c r="O104" s="5">
        <v>45478.783573229171</v>
      </c>
      <c r="P104">
        <v>10397261234</v>
      </c>
      <c r="Q104">
        <v>981893</v>
      </c>
      <c r="S104">
        <v>25612381</v>
      </c>
      <c r="T104">
        <v>100</v>
      </c>
    </row>
    <row r="105" spans="1:20" x14ac:dyDescent="0.35">
      <c r="A105">
        <v>952000070</v>
      </c>
      <c r="B105">
        <v>3</v>
      </c>
      <c r="C105">
        <f ca="1">IF(A105=A104,PurchaseOrder!C104,INDEX(VendTable!$A$2:$A$109,RANDBETWEEN(1,23)))</f>
        <v>700014</v>
      </c>
      <c r="E105" s="2" t="s">
        <v>883</v>
      </c>
      <c r="F105">
        <v>38922</v>
      </c>
      <c r="G105" s="3">
        <v>5003.0752518047793</v>
      </c>
      <c r="H105">
        <v>194729694.95074561</v>
      </c>
      <c r="I105" s="3">
        <v>1.3170146895683197</v>
      </c>
      <c r="J105">
        <v>76857</v>
      </c>
      <c r="K105">
        <v>76891213462</v>
      </c>
      <c r="L105" t="s">
        <v>233</v>
      </c>
      <c r="M105" s="5">
        <v>45028.594524409724</v>
      </c>
      <c r="N105" s="5">
        <v>45030.189048819448</v>
      </c>
      <c r="O105" s="5">
        <v>45039.783573229171</v>
      </c>
      <c r="P105">
        <v>10397261234</v>
      </c>
      <c r="Q105">
        <v>981914</v>
      </c>
      <c r="S105">
        <v>25612402</v>
      </c>
      <c r="T105">
        <v>300</v>
      </c>
    </row>
    <row r="106" spans="1:20" x14ac:dyDescent="0.35">
      <c r="A106">
        <v>952000070</v>
      </c>
      <c r="B106">
        <v>4</v>
      </c>
      <c r="C106">
        <f ca="1">IF(A106=A105,PurchaseOrder!C105,INDEX(VendTable!$A$2:$A$109,RANDBETWEEN(1,23)))</f>
        <v>700014</v>
      </c>
      <c r="E106" s="2" t="s">
        <v>883</v>
      </c>
      <c r="F106">
        <v>37349</v>
      </c>
      <c r="G106" s="3">
        <v>407.50126126686109</v>
      </c>
      <c r="H106">
        <v>15219764.607055996</v>
      </c>
      <c r="I106" s="3">
        <v>1.5329887030144209</v>
      </c>
      <c r="J106">
        <v>76865</v>
      </c>
      <c r="K106">
        <v>76891213322</v>
      </c>
      <c r="L106" t="s">
        <v>233</v>
      </c>
      <c r="M106" s="5">
        <v>44576.594524409724</v>
      </c>
      <c r="N106" s="5">
        <v>44579.189048819448</v>
      </c>
      <c r="O106" s="5">
        <v>44587.783573229171</v>
      </c>
      <c r="P106">
        <v>10397261234</v>
      </c>
      <c r="Q106">
        <v>982021</v>
      </c>
      <c r="S106">
        <v>25612509</v>
      </c>
      <c r="T106">
        <v>800</v>
      </c>
    </row>
    <row r="107" spans="1:20" x14ac:dyDescent="0.35">
      <c r="A107">
        <v>952000071</v>
      </c>
      <c r="B107">
        <v>1</v>
      </c>
      <c r="C107">
        <f ca="1">IF(A107=A106,PurchaseOrder!C106,INDEX(VendTable!$A$2:$A$109,RANDBETWEEN(1,23)))</f>
        <v>700013</v>
      </c>
      <c r="E107" s="2" t="s">
        <v>883</v>
      </c>
      <c r="F107">
        <v>18920</v>
      </c>
      <c r="G107" s="3">
        <v>3497.9520579459099</v>
      </c>
      <c r="H107">
        <v>66181252.936336614</v>
      </c>
      <c r="I107" s="3">
        <v>1.6649158405502846</v>
      </c>
      <c r="J107">
        <v>76859</v>
      </c>
      <c r="K107">
        <v>76891213190</v>
      </c>
      <c r="L107" t="s">
        <v>233</v>
      </c>
      <c r="M107" s="5">
        <v>44745.594524409724</v>
      </c>
      <c r="N107" s="5">
        <v>44749.189048819448</v>
      </c>
      <c r="O107" s="5">
        <v>44759.783573229171</v>
      </c>
      <c r="P107">
        <v>10397261234</v>
      </c>
      <c r="Q107">
        <v>982011</v>
      </c>
      <c r="S107">
        <v>25612499</v>
      </c>
      <c r="T107">
        <v>1000</v>
      </c>
    </row>
    <row r="108" spans="1:20" x14ac:dyDescent="0.35">
      <c r="A108">
        <v>952000071</v>
      </c>
      <c r="B108">
        <v>2</v>
      </c>
      <c r="C108">
        <f ca="1">IF(A108=A107,PurchaseOrder!C107,INDEX(VendTable!$A$2:$A$109,RANDBETWEEN(1,23)))</f>
        <v>700013</v>
      </c>
      <c r="E108" s="2" t="s">
        <v>883</v>
      </c>
      <c r="F108">
        <v>25505</v>
      </c>
      <c r="G108" s="3">
        <v>9721.2945572304943</v>
      </c>
      <c r="H108">
        <v>247941617.68216375</v>
      </c>
      <c r="I108" s="3">
        <v>1.6780110935360311</v>
      </c>
      <c r="J108">
        <v>76853</v>
      </c>
      <c r="K108">
        <v>76891213171</v>
      </c>
      <c r="L108" t="s">
        <v>233</v>
      </c>
      <c r="M108" s="5">
        <v>44902.594524409724</v>
      </c>
      <c r="N108" s="5">
        <v>44903.189048819448</v>
      </c>
      <c r="O108" s="5">
        <v>44905.783573229171</v>
      </c>
      <c r="P108">
        <v>10397261234</v>
      </c>
      <c r="Q108">
        <v>982019</v>
      </c>
      <c r="S108">
        <v>25612507</v>
      </c>
      <c r="T108">
        <v>200</v>
      </c>
    </row>
    <row r="109" spans="1:20" x14ac:dyDescent="0.35">
      <c r="A109">
        <v>952000072</v>
      </c>
      <c r="B109">
        <v>1</v>
      </c>
      <c r="C109">
        <f ca="1">IF(A109=A108,PurchaseOrder!C108,INDEX(VendTable!$A$2:$A$109,RANDBETWEEN(1,23)))</f>
        <v>700015</v>
      </c>
      <c r="E109" s="2" t="s">
        <v>883</v>
      </c>
      <c r="F109">
        <v>34767</v>
      </c>
      <c r="G109" s="3">
        <v>7538.3935532289843</v>
      </c>
      <c r="H109">
        <v>262087328.66511211</v>
      </c>
      <c r="I109" s="3">
        <v>1.8052048726699468</v>
      </c>
      <c r="J109">
        <v>76856</v>
      </c>
      <c r="K109">
        <v>76891213255</v>
      </c>
      <c r="L109" t="s">
        <v>233</v>
      </c>
      <c r="M109" s="5">
        <v>45140.594524409724</v>
      </c>
      <c r="N109" s="5">
        <v>45141.189048819448</v>
      </c>
      <c r="O109" s="5">
        <v>45143.783573229171</v>
      </c>
      <c r="P109">
        <v>10397261234</v>
      </c>
      <c r="Q109">
        <v>981953</v>
      </c>
      <c r="S109">
        <v>25612441</v>
      </c>
      <c r="T109">
        <v>400</v>
      </c>
    </row>
    <row r="110" spans="1:20" x14ac:dyDescent="0.35">
      <c r="A110">
        <v>952000073</v>
      </c>
      <c r="B110">
        <v>1</v>
      </c>
      <c r="C110">
        <f ca="1">IF(A110=A109,PurchaseOrder!C109,INDEX(VendTable!$A$2:$A$109,RANDBETWEEN(1,23)))</f>
        <v>700005</v>
      </c>
      <c r="E110" s="2" t="s">
        <v>883</v>
      </c>
      <c r="F110">
        <v>31128</v>
      </c>
      <c r="G110" s="3">
        <v>9991.9725754143092</v>
      </c>
      <c r="H110">
        <v>311030122.32749659</v>
      </c>
      <c r="I110" s="3">
        <v>1.5120413663168211</v>
      </c>
      <c r="J110">
        <v>76852</v>
      </c>
      <c r="K110">
        <v>76891213561</v>
      </c>
      <c r="L110" t="s">
        <v>233</v>
      </c>
      <c r="M110" s="5">
        <v>44567.594524409724</v>
      </c>
      <c r="N110" s="5">
        <v>44571.189048819448</v>
      </c>
      <c r="O110" s="5">
        <v>44580.783573229171</v>
      </c>
      <c r="P110">
        <v>10397261234</v>
      </c>
      <c r="Q110">
        <v>981860</v>
      </c>
      <c r="S110">
        <v>25612348</v>
      </c>
      <c r="T110">
        <v>500</v>
      </c>
    </row>
    <row r="111" spans="1:20" x14ac:dyDescent="0.35">
      <c r="A111">
        <v>952000074</v>
      </c>
      <c r="B111">
        <v>1</v>
      </c>
      <c r="C111">
        <f ca="1">IF(A111=A110,PurchaseOrder!C110,INDEX(VendTable!$A$2:$A$109,RANDBETWEEN(1,23)))</f>
        <v>700009</v>
      </c>
      <c r="E111" s="2" t="s">
        <v>883</v>
      </c>
      <c r="F111">
        <v>43797</v>
      </c>
      <c r="G111" s="3">
        <v>6835.7316063522176</v>
      </c>
      <c r="H111">
        <v>299384537.1634081</v>
      </c>
      <c r="I111" s="3">
        <v>1.5612493780318373</v>
      </c>
      <c r="J111">
        <v>76871</v>
      </c>
      <c r="K111">
        <v>76891213570</v>
      </c>
      <c r="L111" t="s">
        <v>233</v>
      </c>
      <c r="M111" s="5">
        <v>45321.594524409724</v>
      </c>
      <c r="N111" s="5">
        <v>45325.189048819448</v>
      </c>
      <c r="O111" s="5">
        <v>45332.783573229171</v>
      </c>
      <c r="P111">
        <v>10397261222</v>
      </c>
      <c r="Q111">
        <v>981842</v>
      </c>
      <c r="S111">
        <v>25612330</v>
      </c>
      <c r="T111">
        <v>100</v>
      </c>
    </row>
    <row r="112" spans="1:20" x14ac:dyDescent="0.35">
      <c r="A112">
        <v>952000074</v>
      </c>
      <c r="B112">
        <v>2</v>
      </c>
      <c r="C112">
        <f ca="1">IF(A112=A111,PurchaseOrder!C111,INDEX(VendTable!$A$2:$A$109,RANDBETWEEN(1,23)))</f>
        <v>700009</v>
      </c>
      <c r="E112" s="2" t="s">
        <v>883</v>
      </c>
      <c r="F112">
        <v>38626</v>
      </c>
      <c r="G112" s="3">
        <v>6289.9679168917883</v>
      </c>
      <c r="H112">
        <v>242956300.75786221</v>
      </c>
      <c r="I112" s="3">
        <v>1.7827055528398583</v>
      </c>
      <c r="J112">
        <v>76852</v>
      </c>
      <c r="K112">
        <v>76891213464</v>
      </c>
      <c r="L112" t="s">
        <v>233</v>
      </c>
      <c r="M112" s="5">
        <v>45058.594524409724</v>
      </c>
      <c r="N112" s="5">
        <v>45062.189048819448</v>
      </c>
      <c r="O112" s="5">
        <v>45064.783573229171</v>
      </c>
      <c r="P112">
        <v>10397261234</v>
      </c>
      <c r="Q112">
        <v>981957</v>
      </c>
      <c r="S112">
        <v>25612445</v>
      </c>
      <c r="T112">
        <v>200</v>
      </c>
    </row>
    <row r="113" spans="1:20" x14ac:dyDescent="0.35">
      <c r="A113">
        <v>952000075</v>
      </c>
      <c r="B113">
        <v>1</v>
      </c>
      <c r="C113">
        <f ca="1">IF(A113=A112,PurchaseOrder!C112,INDEX(VendTable!$A$2:$A$109,RANDBETWEEN(1,23)))</f>
        <v>700002</v>
      </c>
      <c r="E113" s="2" t="s">
        <v>883</v>
      </c>
      <c r="F113">
        <v>6564</v>
      </c>
      <c r="G113" s="3">
        <v>6697.9633905791907</v>
      </c>
      <c r="H113">
        <v>43965431.695761807</v>
      </c>
      <c r="I113" s="3">
        <v>1.9881657805458401</v>
      </c>
      <c r="J113">
        <v>76860</v>
      </c>
      <c r="K113">
        <v>76891213443</v>
      </c>
      <c r="L113" t="s">
        <v>233</v>
      </c>
      <c r="M113" s="5">
        <v>45542.594524409724</v>
      </c>
      <c r="N113" s="5">
        <v>45543.189048819448</v>
      </c>
      <c r="O113" s="5">
        <v>45552.783573229171</v>
      </c>
      <c r="P113">
        <v>10397261234</v>
      </c>
      <c r="Q113">
        <v>981896</v>
      </c>
      <c r="S113">
        <v>25612384</v>
      </c>
      <c r="T113">
        <v>800</v>
      </c>
    </row>
    <row r="114" spans="1:20" x14ac:dyDescent="0.35">
      <c r="A114">
        <v>952000075</v>
      </c>
      <c r="B114">
        <v>2</v>
      </c>
      <c r="C114">
        <f ca="1">IF(A114=A113,PurchaseOrder!C113,INDEX(VendTable!$A$2:$A$109,RANDBETWEEN(1,23)))</f>
        <v>700002</v>
      </c>
      <c r="E114" s="2" t="s">
        <v>883</v>
      </c>
      <c r="F114">
        <v>23956</v>
      </c>
      <c r="G114" s="3">
        <v>9845.6526611634181</v>
      </c>
      <c r="H114">
        <v>235862455.15083084</v>
      </c>
      <c r="I114" s="3">
        <v>1.8747925669460859</v>
      </c>
      <c r="J114">
        <v>76863</v>
      </c>
      <c r="K114">
        <v>76891213389</v>
      </c>
      <c r="L114" t="s">
        <v>233</v>
      </c>
      <c r="M114" s="5">
        <v>45195.594524409724</v>
      </c>
      <c r="N114" s="5">
        <v>45199.189048819448</v>
      </c>
      <c r="O114" s="5">
        <v>45208.783573229171</v>
      </c>
      <c r="P114">
        <v>10397261234</v>
      </c>
      <c r="Q114">
        <v>982006</v>
      </c>
      <c r="S114">
        <v>25612494</v>
      </c>
      <c r="T114">
        <v>700</v>
      </c>
    </row>
    <row r="115" spans="1:20" x14ac:dyDescent="0.35">
      <c r="A115">
        <v>952000076</v>
      </c>
      <c r="B115">
        <v>1</v>
      </c>
      <c r="C115">
        <f ca="1">IF(A115=A114,PurchaseOrder!C114,INDEX(VendTable!$A$2:$A$109,RANDBETWEEN(1,23)))</f>
        <v>700007</v>
      </c>
      <c r="E115" s="2" t="s">
        <v>883</v>
      </c>
      <c r="F115">
        <v>41188</v>
      </c>
      <c r="G115" s="3">
        <v>944.83490394482078</v>
      </c>
      <c r="H115">
        <v>38915860.023679279</v>
      </c>
      <c r="I115" s="3">
        <v>1.1654054229084552</v>
      </c>
      <c r="J115">
        <v>76863</v>
      </c>
      <c r="K115">
        <v>76891213290</v>
      </c>
      <c r="L115" t="s">
        <v>233</v>
      </c>
      <c r="M115" s="5">
        <v>45236.594524409724</v>
      </c>
      <c r="N115" s="5">
        <v>45238.189048819448</v>
      </c>
      <c r="O115" s="5">
        <v>45240.783573229171</v>
      </c>
      <c r="P115">
        <v>10397261224</v>
      </c>
      <c r="Q115">
        <v>981844</v>
      </c>
      <c r="S115">
        <v>25612332</v>
      </c>
      <c r="T115">
        <v>900</v>
      </c>
    </row>
    <row r="116" spans="1:20" x14ac:dyDescent="0.35">
      <c r="A116">
        <v>952000076</v>
      </c>
      <c r="B116">
        <v>2</v>
      </c>
      <c r="C116">
        <f ca="1">IF(A116=A115,PurchaseOrder!C115,INDEX(VendTable!$A$2:$A$109,RANDBETWEEN(1,23)))</f>
        <v>700007</v>
      </c>
      <c r="E116" s="2" t="s">
        <v>883</v>
      </c>
      <c r="F116">
        <v>13718</v>
      </c>
      <c r="G116" s="3">
        <v>3927.0186346680143</v>
      </c>
      <c r="H116">
        <v>53870841.630375817</v>
      </c>
      <c r="I116" s="3">
        <v>1.9788534870749317</v>
      </c>
      <c r="J116">
        <v>76859</v>
      </c>
      <c r="K116">
        <v>76891213402</v>
      </c>
      <c r="L116" t="s">
        <v>233</v>
      </c>
      <c r="M116" s="5">
        <v>44724.594524409724</v>
      </c>
      <c r="N116" s="5">
        <v>44727.189048819448</v>
      </c>
      <c r="O116" s="5">
        <v>44727.783573229171</v>
      </c>
      <c r="P116">
        <v>10397261234</v>
      </c>
      <c r="Q116">
        <v>981869</v>
      </c>
      <c r="S116">
        <v>25612357</v>
      </c>
      <c r="T116">
        <v>300</v>
      </c>
    </row>
    <row r="117" spans="1:20" x14ac:dyDescent="0.35">
      <c r="A117">
        <v>952000076</v>
      </c>
      <c r="B117">
        <v>3</v>
      </c>
      <c r="C117">
        <f ca="1">IF(A117=A116,PurchaseOrder!C116,INDEX(VendTable!$A$2:$A$109,RANDBETWEEN(1,23)))</f>
        <v>700007</v>
      </c>
      <c r="E117" s="2" t="s">
        <v>883</v>
      </c>
      <c r="F117">
        <v>8872</v>
      </c>
      <c r="G117" s="3">
        <v>5278.0982348822827</v>
      </c>
      <c r="H117">
        <v>46827287.539875612</v>
      </c>
      <c r="I117" s="3">
        <v>1.3940448139199191</v>
      </c>
      <c r="J117">
        <v>76863</v>
      </c>
      <c r="K117">
        <v>76891213636</v>
      </c>
      <c r="L117" t="s">
        <v>233</v>
      </c>
      <c r="M117" s="5">
        <v>45100.594524409724</v>
      </c>
      <c r="N117" s="5">
        <v>45102.189048819448</v>
      </c>
      <c r="O117" s="5">
        <v>45103.783573229171</v>
      </c>
      <c r="P117">
        <v>10397261234</v>
      </c>
      <c r="Q117">
        <v>981895</v>
      </c>
      <c r="S117">
        <v>25612383</v>
      </c>
      <c r="T117">
        <v>1000</v>
      </c>
    </row>
    <row r="118" spans="1:20" x14ac:dyDescent="0.35">
      <c r="A118">
        <v>952000078</v>
      </c>
      <c r="B118">
        <v>1</v>
      </c>
      <c r="C118">
        <f ca="1">IF(A118=A117,PurchaseOrder!C117,INDEX(VendTable!$A$2:$A$109,RANDBETWEEN(1,23)))</f>
        <v>700003</v>
      </c>
      <c r="E118" s="2" t="s">
        <v>883</v>
      </c>
      <c r="F118">
        <v>44354</v>
      </c>
      <c r="G118" s="3">
        <v>3032.8423993964975</v>
      </c>
      <c r="H118">
        <v>134518691.78283226</v>
      </c>
      <c r="I118" s="3">
        <v>1.4131939945488332</v>
      </c>
      <c r="J118">
        <v>76859</v>
      </c>
      <c r="K118">
        <v>76891213361</v>
      </c>
      <c r="L118" t="s">
        <v>233</v>
      </c>
      <c r="M118" s="5">
        <v>45167.594524409724</v>
      </c>
      <c r="N118" s="5">
        <v>45168.189048819448</v>
      </c>
      <c r="O118" s="5">
        <v>45176.783573229171</v>
      </c>
      <c r="P118">
        <v>10397261234</v>
      </c>
      <c r="Q118">
        <v>981871</v>
      </c>
      <c r="S118">
        <v>25612359</v>
      </c>
      <c r="T118">
        <v>700</v>
      </c>
    </row>
    <row r="119" spans="1:20" x14ac:dyDescent="0.35">
      <c r="A119">
        <v>952000078</v>
      </c>
      <c r="B119">
        <v>2</v>
      </c>
      <c r="C119">
        <f ca="1">IF(A119=A118,PurchaseOrder!C118,INDEX(VendTable!$A$2:$A$109,RANDBETWEEN(1,23)))</f>
        <v>700003</v>
      </c>
      <c r="E119" s="2" t="s">
        <v>883</v>
      </c>
      <c r="F119">
        <v>41349</v>
      </c>
      <c r="G119" s="3">
        <v>7459.3667409415448</v>
      </c>
      <c r="H119">
        <v>308437355.37119192</v>
      </c>
      <c r="I119" s="3">
        <v>1.7878947407240655</v>
      </c>
      <c r="J119">
        <v>76860</v>
      </c>
      <c r="K119">
        <v>76891213276</v>
      </c>
      <c r="L119" t="s">
        <v>233</v>
      </c>
      <c r="M119" s="5">
        <v>44650.594524409724</v>
      </c>
      <c r="N119" s="5">
        <v>44654.189048819448</v>
      </c>
      <c r="O119" s="5">
        <v>44659.783573229171</v>
      </c>
      <c r="P119">
        <v>10397261234</v>
      </c>
      <c r="Q119">
        <v>981898</v>
      </c>
      <c r="S119">
        <v>25612386</v>
      </c>
      <c r="T119">
        <v>400</v>
      </c>
    </row>
    <row r="120" spans="1:20" x14ac:dyDescent="0.35">
      <c r="A120">
        <v>952000079</v>
      </c>
      <c r="B120">
        <v>1</v>
      </c>
      <c r="C120">
        <f ca="1">IF(A120=A119,PurchaseOrder!C119,INDEX(VendTable!$A$2:$A$109,RANDBETWEEN(1,23)))</f>
        <v>700016</v>
      </c>
      <c r="E120" s="2" t="s">
        <v>883</v>
      </c>
      <c r="F120">
        <v>28427</v>
      </c>
      <c r="G120" s="3">
        <v>1996.1220505503977</v>
      </c>
      <c r="H120">
        <v>56743761.530996159</v>
      </c>
      <c r="I120" s="3">
        <v>1.648192320167897</v>
      </c>
      <c r="J120">
        <v>76867</v>
      </c>
      <c r="K120">
        <v>76891213305</v>
      </c>
      <c r="L120" t="s">
        <v>233</v>
      </c>
      <c r="M120" s="5">
        <v>44846.594524409724</v>
      </c>
      <c r="N120" s="5">
        <v>44848.189048819448</v>
      </c>
      <c r="O120" s="5">
        <v>44856.783573229171</v>
      </c>
      <c r="P120">
        <v>10397261234</v>
      </c>
      <c r="Q120">
        <v>981907</v>
      </c>
      <c r="S120">
        <v>25612395</v>
      </c>
      <c r="T120">
        <v>700</v>
      </c>
    </row>
    <row r="121" spans="1:20" x14ac:dyDescent="0.35">
      <c r="A121">
        <v>952000079</v>
      </c>
      <c r="B121">
        <v>2</v>
      </c>
      <c r="C121">
        <f ca="1">IF(A121=A120,PurchaseOrder!C120,INDEX(VendTable!$A$2:$A$109,RANDBETWEEN(1,23)))</f>
        <v>700016</v>
      </c>
      <c r="E121" s="2" t="s">
        <v>883</v>
      </c>
      <c r="F121">
        <v>36420</v>
      </c>
      <c r="G121" s="3">
        <v>2704.5474082037376</v>
      </c>
      <c r="H121">
        <v>98499616.606780127</v>
      </c>
      <c r="I121" s="3">
        <v>1.7863968417249647</v>
      </c>
      <c r="J121">
        <v>76856</v>
      </c>
      <c r="K121">
        <v>76891213546</v>
      </c>
      <c r="L121" t="s">
        <v>233</v>
      </c>
      <c r="M121" s="5">
        <v>45408.594524409724</v>
      </c>
      <c r="N121" s="5">
        <v>45412.189048819448</v>
      </c>
      <c r="O121" s="5">
        <v>45422.783573229171</v>
      </c>
      <c r="P121">
        <v>10397261234</v>
      </c>
      <c r="Q121">
        <v>982003</v>
      </c>
      <c r="S121">
        <v>25612491</v>
      </c>
      <c r="T121">
        <v>1000</v>
      </c>
    </row>
    <row r="122" spans="1:20" x14ac:dyDescent="0.35">
      <c r="A122">
        <v>952000080</v>
      </c>
      <c r="B122">
        <v>1</v>
      </c>
      <c r="C122">
        <f ca="1">IF(A122=A121,PurchaseOrder!C121,INDEX(VendTable!$A$2:$A$109,RANDBETWEEN(1,23)))</f>
        <v>700021</v>
      </c>
      <c r="E122" s="2" t="s">
        <v>883</v>
      </c>
      <c r="F122">
        <v>20077</v>
      </c>
      <c r="G122" s="3">
        <v>2008.823958842396</v>
      </c>
      <c r="H122">
        <v>40331158.621678784</v>
      </c>
      <c r="I122" s="3">
        <v>1.5898358204516132</v>
      </c>
      <c r="J122">
        <v>76871</v>
      </c>
      <c r="K122">
        <v>76891213390</v>
      </c>
      <c r="L122" t="s">
        <v>233</v>
      </c>
      <c r="M122" s="5">
        <v>45171.594524409724</v>
      </c>
      <c r="N122" s="5">
        <v>45172.189048819448</v>
      </c>
      <c r="O122" s="5">
        <v>45172.783573229171</v>
      </c>
      <c r="P122">
        <v>10397261234</v>
      </c>
      <c r="Q122">
        <v>981935</v>
      </c>
      <c r="S122">
        <v>25612423</v>
      </c>
      <c r="T122">
        <v>500</v>
      </c>
    </row>
    <row r="123" spans="1:20" x14ac:dyDescent="0.35">
      <c r="A123">
        <v>952000082</v>
      </c>
      <c r="B123">
        <v>1</v>
      </c>
      <c r="C123">
        <f ca="1">IF(A123=A122,PurchaseOrder!C122,INDEX(VendTable!$A$2:$A$109,RANDBETWEEN(1,23)))</f>
        <v>700007</v>
      </c>
      <c r="E123" s="2" t="s">
        <v>883</v>
      </c>
      <c r="F123">
        <v>22160</v>
      </c>
      <c r="G123" s="3">
        <v>2699.3314748171288</v>
      </c>
      <c r="H123">
        <v>59817185.481947571</v>
      </c>
      <c r="I123" s="3">
        <v>1.004632383491967</v>
      </c>
      <c r="J123">
        <v>76858</v>
      </c>
      <c r="K123">
        <v>76891213386</v>
      </c>
      <c r="L123" t="s">
        <v>233</v>
      </c>
      <c r="M123" s="5">
        <v>45288.594524409724</v>
      </c>
      <c r="N123" s="5">
        <v>45292.189048819448</v>
      </c>
      <c r="O123" s="5">
        <v>45292.783573229171</v>
      </c>
      <c r="P123">
        <v>10397261227</v>
      </c>
      <c r="Q123">
        <v>981847</v>
      </c>
      <c r="S123">
        <v>25612335</v>
      </c>
      <c r="T123">
        <v>500</v>
      </c>
    </row>
    <row r="124" spans="1:20" x14ac:dyDescent="0.35">
      <c r="A124">
        <v>952000082</v>
      </c>
      <c r="B124">
        <v>2</v>
      </c>
      <c r="C124">
        <f ca="1">IF(A124=A123,PurchaseOrder!C123,INDEX(VendTable!$A$2:$A$109,RANDBETWEEN(1,23)))</f>
        <v>700007</v>
      </c>
      <c r="E124" s="2" t="s">
        <v>883</v>
      </c>
      <c r="F124">
        <v>35446</v>
      </c>
      <c r="G124" s="3">
        <v>7282.7537453124341</v>
      </c>
      <c r="H124">
        <v>258144489.25634453</v>
      </c>
      <c r="I124" s="3">
        <v>1.539158997359803</v>
      </c>
      <c r="J124">
        <v>76864</v>
      </c>
      <c r="K124">
        <v>76891213183</v>
      </c>
      <c r="L124" t="s">
        <v>233</v>
      </c>
      <c r="M124" s="5">
        <v>45431.594524409724</v>
      </c>
      <c r="N124" s="5">
        <v>45434.189048819448</v>
      </c>
      <c r="O124" s="5">
        <v>45435.783573229171</v>
      </c>
      <c r="P124">
        <v>10397261234</v>
      </c>
      <c r="Q124">
        <v>981941</v>
      </c>
      <c r="S124">
        <v>25612429</v>
      </c>
      <c r="T124">
        <v>900</v>
      </c>
    </row>
    <row r="125" spans="1:20" x14ac:dyDescent="0.35">
      <c r="A125">
        <v>952000082</v>
      </c>
      <c r="B125">
        <v>3</v>
      </c>
      <c r="C125">
        <f ca="1">IF(A125=A124,PurchaseOrder!C124,INDEX(VendTable!$A$2:$A$109,RANDBETWEEN(1,23)))</f>
        <v>700007</v>
      </c>
      <c r="E125" s="2" t="s">
        <v>883</v>
      </c>
      <c r="F125">
        <v>7537</v>
      </c>
      <c r="G125" s="3">
        <v>2139.601687807979</v>
      </c>
      <c r="H125">
        <v>16126177.921008738</v>
      </c>
      <c r="I125" s="3">
        <v>1.4113029485970792</v>
      </c>
      <c r="J125">
        <v>76870</v>
      </c>
      <c r="K125">
        <v>76891213236</v>
      </c>
      <c r="L125" t="s">
        <v>233</v>
      </c>
      <c r="M125" s="5">
        <v>45409.594524409724</v>
      </c>
      <c r="N125" s="5">
        <v>45412.189048819448</v>
      </c>
      <c r="O125" s="5">
        <v>45417.783573229171</v>
      </c>
      <c r="P125">
        <v>10397261234</v>
      </c>
      <c r="Q125">
        <v>981970</v>
      </c>
      <c r="S125">
        <v>25612458</v>
      </c>
      <c r="T125">
        <v>900</v>
      </c>
    </row>
    <row r="126" spans="1:20" x14ac:dyDescent="0.35">
      <c r="A126">
        <v>952000083</v>
      </c>
      <c r="B126">
        <v>1</v>
      </c>
      <c r="C126">
        <f ca="1">IF(A126=A125,PurchaseOrder!C125,INDEX(VendTable!$A$2:$A$109,RANDBETWEEN(1,23)))</f>
        <v>700018</v>
      </c>
      <c r="E126" s="2" t="s">
        <v>883</v>
      </c>
      <c r="F126">
        <f ca="1">RANDBETWEEN(5000,50000)</f>
        <v>48179</v>
      </c>
      <c r="G126" s="3">
        <f ca="1">VLOOKUP(K126,PurchItem!$A$2:$H$508,8,0)</f>
        <v>7411.6308642938066</v>
      </c>
      <c r="H126">
        <f ca="1">F126*G126</f>
        <v>357084963.41081131</v>
      </c>
      <c r="I126" s="3">
        <f ca="1">1+RAND()</f>
        <v>1.6536153964840405</v>
      </c>
      <c r="J126">
        <f ca="1">INDEX($W$2:$W$24,RANDBETWEEN(1,20))</f>
        <v>76867</v>
      </c>
      <c r="K126">
        <f ca="1">INDEX(PurchItem!$A$2:$A$508,RANDBETWEEN(1,500))</f>
        <v>76891213350</v>
      </c>
      <c r="L126" t="s">
        <v>233</v>
      </c>
      <c r="M126" s="5">
        <f ca="1">RANDBETWEEN(DATE(2022,1,1),TODAY()-30)+$U$2</f>
        <v>45256.594524409724</v>
      </c>
      <c r="N126" s="5">
        <f ca="1">M126+RANDBETWEEN(0,3)+$U$2</f>
        <v>45259.189048819448</v>
      </c>
      <c r="O126" s="5">
        <f ca="1">N126+RANDBETWEEN(0,10)+$U$2</f>
        <v>45264.783573229171</v>
      </c>
      <c r="P126">
        <v>10397261213</v>
      </c>
      <c r="Q126">
        <v>981833</v>
      </c>
      <c r="S126">
        <v>25612321</v>
      </c>
      <c r="T126">
        <v>700</v>
      </c>
    </row>
    <row r="127" spans="1:20" x14ac:dyDescent="0.35">
      <c r="A127">
        <v>952000083</v>
      </c>
      <c r="B127">
        <v>2</v>
      </c>
      <c r="C127">
        <f ca="1">IF(A127=A126,PurchaseOrder!C126,INDEX(VendTable!$A$2:$A$109,RANDBETWEEN(1,23)))</f>
        <v>700018</v>
      </c>
      <c r="E127" s="2" t="s">
        <v>883</v>
      </c>
      <c r="F127">
        <v>8394</v>
      </c>
      <c r="G127" s="3">
        <v>9818.5214895214995</v>
      </c>
      <c r="H127">
        <v>82416669.383043468</v>
      </c>
      <c r="I127" s="3">
        <v>1.2200760304663323</v>
      </c>
      <c r="J127">
        <v>76862</v>
      </c>
      <c r="K127">
        <v>76891213491</v>
      </c>
      <c r="L127" t="s">
        <v>233</v>
      </c>
      <c r="M127" s="5">
        <v>44774.594524409724</v>
      </c>
      <c r="N127" s="5">
        <v>44776.189048819448</v>
      </c>
      <c r="O127" s="5">
        <v>44786.783573229171</v>
      </c>
      <c r="P127">
        <v>10397261234</v>
      </c>
      <c r="Q127">
        <v>982012</v>
      </c>
      <c r="S127">
        <v>25612500</v>
      </c>
      <c r="T127">
        <v>400</v>
      </c>
    </row>
    <row r="128" spans="1:20" x14ac:dyDescent="0.35">
      <c r="A128">
        <v>952000084</v>
      </c>
      <c r="B128">
        <v>1</v>
      </c>
      <c r="C128">
        <f ca="1">IF(A128=A127,PurchaseOrder!C127,INDEX(VendTable!$A$2:$A$109,RANDBETWEEN(1,23)))</f>
        <v>700017</v>
      </c>
      <c r="E128" s="2" t="s">
        <v>883</v>
      </c>
      <c r="F128">
        <v>38472</v>
      </c>
      <c r="G128" s="3">
        <v>7671.9344691705855</v>
      </c>
      <c r="H128">
        <v>295154662.89793074</v>
      </c>
      <c r="I128" s="3">
        <v>1.4640815818603354</v>
      </c>
      <c r="J128">
        <v>76870</v>
      </c>
      <c r="K128">
        <v>76891213531</v>
      </c>
      <c r="L128" t="s">
        <v>233</v>
      </c>
      <c r="M128" s="5">
        <v>45569.594524409724</v>
      </c>
      <c r="N128" s="5">
        <v>45571.189048819448</v>
      </c>
      <c r="O128" s="5">
        <v>45572.783573229171</v>
      </c>
      <c r="P128">
        <v>10397261234</v>
      </c>
      <c r="Q128">
        <v>981983</v>
      </c>
      <c r="S128">
        <v>25612471</v>
      </c>
      <c r="T128">
        <v>400</v>
      </c>
    </row>
    <row r="129" spans="1:20" x14ac:dyDescent="0.35">
      <c r="A129">
        <v>952000084</v>
      </c>
      <c r="B129">
        <v>2</v>
      </c>
      <c r="C129">
        <f ca="1">IF(A129=A128,PurchaseOrder!C128,INDEX(VendTable!$A$2:$A$109,RANDBETWEEN(1,23)))</f>
        <v>700017</v>
      </c>
      <c r="E129" s="2" t="s">
        <v>883</v>
      </c>
      <c r="F129">
        <v>41588</v>
      </c>
      <c r="G129" s="3">
        <v>5678.9302585142677</v>
      </c>
      <c r="H129">
        <v>236175351.59109136</v>
      </c>
      <c r="I129" s="3">
        <v>1.3022957668805084</v>
      </c>
      <c r="J129">
        <v>76857</v>
      </c>
      <c r="K129">
        <v>76891213258</v>
      </c>
      <c r="L129" t="s">
        <v>233</v>
      </c>
      <c r="M129" s="5">
        <v>44605.594524409724</v>
      </c>
      <c r="N129" s="5">
        <v>44609.189048819448</v>
      </c>
      <c r="O129" s="5">
        <v>44612.783573229171</v>
      </c>
      <c r="P129">
        <v>10397261234</v>
      </c>
      <c r="Q129">
        <v>982017</v>
      </c>
      <c r="S129">
        <v>25612505</v>
      </c>
      <c r="T129">
        <v>200</v>
      </c>
    </row>
    <row r="130" spans="1:20" x14ac:dyDescent="0.35">
      <c r="A130">
        <v>952000085</v>
      </c>
      <c r="B130">
        <v>1</v>
      </c>
      <c r="C130">
        <f ca="1">IF(A130=A129,PurchaseOrder!C129,INDEX(VendTable!$A$2:$A$109,RANDBETWEEN(1,23)))</f>
        <v>700006</v>
      </c>
      <c r="E130" s="2" t="s">
        <v>883</v>
      </c>
      <c r="F130">
        <v>23778</v>
      </c>
      <c r="G130" s="3">
        <v>9568.6503441663135</v>
      </c>
      <c r="H130">
        <v>227523367.88358662</v>
      </c>
      <c r="I130" s="3">
        <v>1.7953566452046341</v>
      </c>
      <c r="J130">
        <v>76861</v>
      </c>
      <c r="K130">
        <v>76891213548</v>
      </c>
      <c r="L130" t="s">
        <v>233</v>
      </c>
      <c r="M130" s="5">
        <v>45491.594524409724</v>
      </c>
      <c r="N130" s="5">
        <v>45493.189048819448</v>
      </c>
      <c r="O130" s="5">
        <v>45496.783573229171</v>
      </c>
      <c r="P130">
        <v>10397261234</v>
      </c>
      <c r="Q130">
        <v>982014</v>
      </c>
      <c r="S130">
        <v>25612502</v>
      </c>
      <c r="T130">
        <v>500</v>
      </c>
    </row>
    <row r="131" spans="1:20" x14ac:dyDescent="0.35">
      <c r="A131">
        <v>952000087</v>
      </c>
      <c r="B131">
        <v>1</v>
      </c>
      <c r="C131">
        <f ca="1">IF(A131=A130,PurchaseOrder!C130,INDEX(VendTable!$A$2:$A$109,RANDBETWEEN(1,23)))</f>
        <v>700021</v>
      </c>
      <c r="E131" s="2" t="s">
        <v>883</v>
      </c>
      <c r="F131">
        <v>45620</v>
      </c>
      <c r="G131" s="3">
        <v>2742.8844309108727</v>
      </c>
      <c r="H131">
        <v>125130387.73815401</v>
      </c>
      <c r="I131" s="3">
        <v>1.7942563881898541</v>
      </c>
      <c r="J131">
        <v>76861</v>
      </c>
      <c r="K131">
        <v>76891213522</v>
      </c>
      <c r="L131" t="s">
        <v>233</v>
      </c>
      <c r="M131" s="5">
        <v>45521.594524409724</v>
      </c>
      <c r="N131" s="5">
        <v>45523.189048819448</v>
      </c>
      <c r="O131" s="5">
        <v>45531.783573229171</v>
      </c>
      <c r="P131">
        <v>10397261225</v>
      </c>
      <c r="Q131">
        <v>981845</v>
      </c>
      <c r="S131">
        <v>25612333</v>
      </c>
      <c r="T131">
        <v>300</v>
      </c>
    </row>
    <row r="132" spans="1:20" x14ac:dyDescent="0.35">
      <c r="A132">
        <v>952000087</v>
      </c>
      <c r="B132">
        <v>2</v>
      </c>
      <c r="C132">
        <f ca="1">IF(A132=A131,PurchaseOrder!C131,INDEX(VendTable!$A$2:$A$109,RANDBETWEEN(1,23)))</f>
        <v>700021</v>
      </c>
      <c r="E132" s="2" t="s">
        <v>883</v>
      </c>
      <c r="F132">
        <v>22929</v>
      </c>
      <c r="G132" s="3">
        <v>175.54473160144323</v>
      </c>
      <c r="H132">
        <v>4025065.1508894917</v>
      </c>
      <c r="I132" s="3">
        <v>1.9305962633610518</v>
      </c>
      <c r="J132">
        <v>76856</v>
      </c>
      <c r="K132">
        <v>76891213300</v>
      </c>
      <c r="L132" t="s">
        <v>233</v>
      </c>
      <c r="M132" s="5">
        <v>45590.594524409724</v>
      </c>
      <c r="N132" s="5">
        <v>45593.189048819448</v>
      </c>
      <c r="O132" s="5">
        <v>45600.783573229171</v>
      </c>
      <c r="P132">
        <v>10397261234</v>
      </c>
      <c r="Q132">
        <v>981928</v>
      </c>
      <c r="S132">
        <v>25612416</v>
      </c>
      <c r="T132">
        <v>100</v>
      </c>
    </row>
    <row r="133" spans="1:20" x14ac:dyDescent="0.35">
      <c r="A133">
        <v>952000087</v>
      </c>
      <c r="B133">
        <v>3</v>
      </c>
      <c r="C133">
        <f ca="1">IF(A133=A132,PurchaseOrder!C132,INDEX(VendTable!$A$2:$A$109,RANDBETWEEN(1,23)))</f>
        <v>700021</v>
      </c>
      <c r="E133" s="2" t="s">
        <v>883</v>
      </c>
      <c r="F133">
        <v>16765</v>
      </c>
      <c r="G133" s="3">
        <v>8555.7857819678102</v>
      </c>
      <c r="H133">
        <v>143437748.63469034</v>
      </c>
      <c r="I133" s="3">
        <v>1.3135378404988063</v>
      </c>
      <c r="J133">
        <v>76855</v>
      </c>
      <c r="K133">
        <v>76891213149</v>
      </c>
      <c r="L133" t="s">
        <v>233</v>
      </c>
      <c r="M133" s="5">
        <v>45408.594524409724</v>
      </c>
      <c r="N133" s="5">
        <v>45411.189048819448</v>
      </c>
      <c r="O133" s="5">
        <v>45416.783573229171</v>
      </c>
      <c r="P133">
        <v>10397261234</v>
      </c>
      <c r="Q133">
        <v>982015</v>
      </c>
      <c r="S133">
        <v>25612503</v>
      </c>
      <c r="T133">
        <v>400</v>
      </c>
    </row>
    <row r="134" spans="1:20" x14ac:dyDescent="0.35">
      <c r="A134">
        <v>952000087</v>
      </c>
      <c r="B134">
        <v>4</v>
      </c>
      <c r="C134">
        <f ca="1">IF(A134=A133,PurchaseOrder!C133,INDEX(VendTable!$A$2:$A$109,RANDBETWEEN(1,23)))</f>
        <v>700021</v>
      </c>
      <c r="E134" s="2" t="s">
        <v>883</v>
      </c>
      <c r="F134">
        <v>8996</v>
      </c>
      <c r="G134" s="3">
        <v>9845.6526611634181</v>
      </c>
      <c r="H134">
        <v>88571491.339826107</v>
      </c>
      <c r="I134" s="3">
        <v>1.4251957239338253</v>
      </c>
      <c r="J134">
        <v>76854</v>
      </c>
      <c r="K134">
        <v>76891213389</v>
      </c>
      <c r="L134" t="s">
        <v>233</v>
      </c>
      <c r="M134" s="5">
        <v>45202.594524409724</v>
      </c>
      <c r="N134" s="5">
        <v>45205.189048819448</v>
      </c>
      <c r="O134" s="5">
        <v>45215.783573229171</v>
      </c>
      <c r="P134">
        <v>10397261234</v>
      </c>
      <c r="Q134">
        <v>982022</v>
      </c>
      <c r="S134">
        <v>25612510</v>
      </c>
      <c r="T134">
        <v>700</v>
      </c>
    </row>
    <row r="135" spans="1:20" x14ac:dyDescent="0.35">
      <c r="A135">
        <v>952000089</v>
      </c>
      <c r="B135">
        <v>1</v>
      </c>
      <c r="C135">
        <f ca="1">IF(A135=A134,PurchaseOrder!C134,INDEX(VendTable!$A$2:$A$109,RANDBETWEEN(1,23)))</f>
        <v>700001</v>
      </c>
      <c r="E135" s="2" t="s">
        <v>883</v>
      </c>
      <c r="F135">
        <v>18460</v>
      </c>
      <c r="G135" s="3">
        <v>863.00750747746838</v>
      </c>
      <c r="H135">
        <v>15931118.588034065</v>
      </c>
      <c r="I135" s="3">
        <v>1.0946827516855164</v>
      </c>
      <c r="J135">
        <v>76862</v>
      </c>
      <c r="K135">
        <v>76891213314</v>
      </c>
      <c r="L135" t="s">
        <v>233</v>
      </c>
      <c r="M135" s="5">
        <v>45002.594524409724</v>
      </c>
      <c r="N135" s="5">
        <v>45004.189048819448</v>
      </c>
      <c r="O135" s="5">
        <v>45009.783573229171</v>
      </c>
      <c r="P135">
        <v>10397261234</v>
      </c>
      <c r="Q135">
        <v>981986</v>
      </c>
      <c r="S135">
        <v>25612474</v>
      </c>
      <c r="T135">
        <v>300</v>
      </c>
    </row>
    <row r="136" spans="1:20" x14ac:dyDescent="0.35">
      <c r="A136">
        <v>952000091</v>
      </c>
      <c r="B136">
        <v>1</v>
      </c>
      <c r="C136">
        <f ca="1">IF(A136=A135,PurchaseOrder!C135,INDEX(VendTable!$A$2:$A$109,RANDBETWEEN(1,23)))</f>
        <v>700003</v>
      </c>
      <c r="E136" s="2" t="s">
        <v>883</v>
      </c>
      <c r="F136">
        <v>5166</v>
      </c>
      <c r="G136" s="3">
        <v>6835.7316063522176</v>
      </c>
      <c r="H136">
        <v>35313389.478415556</v>
      </c>
      <c r="I136" s="3">
        <v>1.8459187985994518</v>
      </c>
      <c r="J136">
        <v>76871</v>
      </c>
      <c r="K136">
        <v>76891213570</v>
      </c>
      <c r="L136" t="s">
        <v>233</v>
      </c>
      <c r="M136" s="5">
        <v>45250.594524409724</v>
      </c>
      <c r="N136" s="5">
        <v>45251.189048819448</v>
      </c>
      <c r="O136" s="5">
        <v>45254.783573229171</v>
      </c>
      <c r="P136">
        <v>10397261234</v>
      </c>
      <c r="Q136">
        <v>981874</v>
      </c>
      <c r="S136">
        <v>25612362</v>
      </c>
      <c r="T136">
        <v>100</v>
      </c>
    </row>
    <row r="137" spans="1:20" x14ac:dyDescent="0.35">
      <c r="A137">
        <v>952000091</v>
      </c>
      <c r="B137">
        <v>2</v>
      </c>
      <c r="C137">
        <f ca="1">IF(A137=A136,PurchaseOrder!C136,INDEX(VendTable!$A$2:$A$109,RANDBETWEEN(1,23)))</f>
        <v>700003</v>
      </c>
      <c r="E137" s="2" t="s">
        <v>883</v>
      </c>
      <c r="F137">
        <v>11330</v>
      </c>
      <c r="G137" s="3">
        <v>8766.2438512762019</v>
      </c>
      <c r="H137">
        <v>99321542.834959373</v>
      </c>
      <c r="I137" s="3">
        <v>1.3885550077997859</v>
      </c>
      <c r="J137">
        <v>76858</v>
      </c>
      <c r="K137">
        <v>76891213608</v>
      </c>
      <c r="L137" t="s">
        <v>233</v>
      </c>
      <c r="M137" s="5">
        <v>45401.594524409724</v>
      </c>
      <c r="N137" s="5">
        <v>45403.189048819448</v>
      </c>
      <c r="O137" s="5">
        <v>45409.783573229171</v>
      </c>
      <c r="P137">
        <v>10397261234</v>
      </c>
      <c r="Q137">
        <v>981942</v>
      </c>
      <c r="S137">
        <v>25612430</v>
      </c>
      <c r="T137">
        <v>300</v>
      </c>
    </row>
    <row r="138" spans="1:20" x14ac:dyDescent="0.35">
      <c r="A138">
        <v>952000091</v>
      </c>
      <c r="B138">
        <v>3</v>
      </c>
      <c r="C138">
        <f ca="1">IF(A138=A137,PurchaseOrder!C137,INDEX(VendTable!$A$2:$A$109,RANDBETWEEN(1,23)))</f>
        <v>700003</v>
      </c>
      <c r="E138" s="2" t="s">
        <v>883</v>
      </c>
      <c r="F138">
        <v>28624</v>
      </c>
      <c r="G138" s="3">
        <v>810.21908983462754</v>
      </c>
      <c r="H138">
        <v>23191711.22742638</v>
      </c>
      <c r="I138" s="3">
        <v>1.4468329155653192</v>
      </c>
      <c r="J138">
        <v>76865</v>
      </c>
      <c r="K138">
        <v>76891213323</v>
      </c>
      <c r="L138" t="s">
        <v>233</v>
      </c>
      <c r="M138" s="5">
        <v>45421.594524409724</v>
      </c>
      <c r="N138" s="5">
        <v>45422.189048819448</v>
      </c>
      <c r="O138" s="5">
        <v>45432.783573229171</v>
      </c>
      <c r="P138">
        <v>10397261234</v>
      </c>
      <c r="Q138">
        <v>981969</v>
      </c>
      <c r="S138">
        <v>25612457</v>
      </c>
      <c r="T138">
        <v>200</v>
      </c>
    </row>
    <row r="139" spans="1:20" x14ac:dyDescent="0.35">
      <c r="A139">
        <v>952000094</v>
      </c>
      <c r="B139">
        <v>1</v>
      </c>
      <c r="C139">
        <f ca="1">IF(A139=A138,PurchaseOrder!C138,INDEX(VendTable!$A$2:$A$109,RANDBETWEEN(1,23)))</f>
        <v>700016</v>
      </c>
      <c r="E139" s="2" t="s">
        <v>883</v>
      </c>
      <c r="F139">
        <v>29111</v>
      </c>
      <c r="G139" s="3">
        <v>9013.7959389861589</v>
      </c>
      <c r="H139">
        <v>262400613.57982609</v>
      </c>
      <c r="I139" s="3">
        <v>1.6573119087863302</v>
      </c>
      <c r="J139">
        <v>76870</v>
      </c>
      <c r="K139">
        <v>76891213535</v>
      </c>
      <c r="L139" t="s">
        <v>233</v>
      </c>
      <c r="M139" s="5">
        <v>44696.594524409724</v>
      </c>
      <c r="N139" s="5">
        <v>44697.189048819448</v>
      </c>
      <c r="O139" s="5">
        <v>44697.783573229171</v>
      </c>
      <c r="P139">
        <v>10397261234</v>
      </c>
      <c r="Q139">
        <v>981938</v>
      </c>
      <c r="S139">
        <v>25612426</v>
      </c>
      <c r="T139">
        <v>500</v>
      </c>
    </row>
    <row r="140" spans="1:20" x14ac:dyDescent="0.35">
      <c r="A140">
        <v>952000097</v>
      </c>
      <c r="B140">
        <v>1</v>
      </c>
      <c r="C140">
        <f ca="1">IF(A140=A139,PurchaseOrder!C139,INDEX(VendTable!$A$2:$A$109,RANDBETWEEN(1,23)))</f>
        <v>700009</v>
      </c>
      <c r="E140" s="2" t="s">
        <v>883</v>
      </c>
      <c r="F140">
        <v>49896</v>
      </c>
      <c r="G140" s="3">
        <v>697.4706452059944</v>
      </c>
      <c r="H140">
        <v>34800995.313198298</v>
      </c>
      <c r="I140" s="3">
        <v>1.1251329614643721</v>
      </c>
      <c r="J140">
        <v>76860</v>
      </c>
      <c r="K140">
        <v>76891213195</v>
      </c>
      <c r="L140" t="s">
        <v>233</v>
      </c>
      <c r="M140" s="5">
        <v>45399.594524409724</v>
      </c>
      <c r="N140" s="5">
        <v>45403.189048819448</v>
      </c>
      <c r="O140" s="5">
        <v>45403.783573229171</v>
      </c>
      <c r="P140">
        <v>10397261234</v>
      </c>
      <c r="Q140">
        <v>981861</v>
      </c>
      <c r="S140">
        <v>25612349</v>
      </c>
      <c r="T140">
        <v>1000</v>
      </c>
    </row>
    <row r="141" spans="1:20" x14ac:dyDescent="0.35">
      <c r="A141">
        <v>952000097</v>
      </c>
      <c r="B141">
        <v>2</v>
      </c>
      <c r="C141">
        <f ca="1">IF(A141=A140,PurchaseOrder!C140,INDEX(VendTable!$A$2:$A$109,RANDBETWEEN(1,23)))</f>
        <v>700009</v>
      </c>
      <c r="E141" s="2" t="s">
        <v>883</v>
      </c>
      <c r="F141">
        <v>22024</v>
      </c>
      <c r="G141" s="3">
        <v>6435.3140347895041</v>
      </c>
      <c r="H141">
        <v>141731356.30220404</v>
      </c>
      <c r="I141" s="3">
        <v>1.9552469124830232</v>
      </c>
      <c r="J141">
        <v>76866</v>
      </c>
      <c r="K141">
        <v>76891213218</v>
      </c>
      <c r="L141" t="s">
        <v>233</v>
      </c>
      <c r="M141" s="5">
        <v>44797.594524409724</v>
      </c>
      <c r="N141" s="5">
        <v>44798.189048819448</v>
      </c>
      <c r="O141" s="5">
        <v>44808.783573229171</v>
      </c>
      <c r="P141">
        <v>10397261234</v>
      </c>
      <c r="Q141">
        <v>981949</v>
      </c>
      <c r="S141">
        <v>25612437</v>
      </c>
      <c r="T141">
        <v>600</v>
      </c>
    </row>
    <row r="142" spans="1:20" x14ac:dyDescent="0.35">
      <c r="A142">
        <v>952000097</v>
      </c>
      <c r="B142">
        <v>3</v>
      </c>
      <c r="C142">
        <f ca="1">IF(A142=A141,PurchaseOrder!C141,INDEX(VendTable!$A$2:$A$109,RANDBETWEEN(1,23)))</f>
        <v>700009</v>
      </c>
      <c r="E142" s="2" t="s">
        <v>883</v>
      </c>
      <c r="F142">
        <v>23944</v>
      </c>
      <c r="G142" s="3">
        <v>8517.2252837541946</v>
      </c>
      <c r="H142">
        <v>203936442.19421044</v>
      </c>
      <c r="I142" s="3">
        <v>1.0357849561788288</v>
      </c>
      <c r="J142">
        <v>76860</v>
      </c>
      <c r="K142">
        <v>76891213476</v>
      </c>
      <c r="L142" t="s">
        <v>233</v>
      </c>
      <c r="M142" s="5">
        <v>44996.594524409724</v>
      </c>
      <c r="N142" s="5">
        <v>44997.189048819448</v>
      </c>
      <c r="O142" s="5">
        <v>44999.783573229171</v>
      </c>
      <c r="P142">
        <v>10397261234</v>
      </c>
      <c r="Q142">
        <v>981962</v>
      </c>
      <c r="S142">
        <v>25612450</v>
      </c>
      <c r="T142">
        <v>200</v>
      </c>
    </row>
    <row r="143" spans="1:20" x14ac:dyDescent="0.35">
      <c r="A143">
        <v>952000098</v>
      </c>
      <c r="B143">
        <v>1</v>
      </c>
      <c r="C143">
        <f ca="1">IF(A143=A142,PurchaseOrder!C142,INDEX(VendTable!$A$2:$A$109,RANDBETWEEN(1,23)))</f>
        <v>700004</v>
      </c>
      <c r="E143" s="2" t="s">
        <v>883</v>
      </c>
      <c r="F143">
        <v>13367</v>
      </c>
      <c r="G143" s="3">
        <v>9991.9725754143092</v>
      </c>
      <c r="H143">
        <v>133562697.41556308</v>
      </c>
      <c r="I143" s="3">
        <v>1.4268760489716581</v>
      </c>
      <c r="J143">
        <v>76869</v>
      </c>
      <c r="K143">
        <v>76891213561</v>
      </c>
      <c r="L143" t="s">
        <v>233</v>
      </c>
      <c r="M143" s="5">
        <v>45566.594524409724</v>
      </c>
      <c r="N143" s="5">
        <v>45568.189048819448</v>
      </c>
      <c r="O143" s="5">
        <v>45573.783573229171</v>
      </c>
      <c r="P143">
        <v>10397261234</v>
      </c>
      <c r="Q143">
        <v>981973</v>
      </c>
      <c r="S143">
        <v>25612461</v>
      </c>
      <c r="T143">
        <v>500</v>
      </c>
    </row>
    <row r="144" spans="1:20" x14ac:dyDescent="0.35">
      <c r="A144">
        <v>952000099</v>
      </c>
      <c r="B144">
        <v>1</v>
      </c>
      <c r="C144">
        <f ca="1">IF(A144=A143,PurchaseOrder!C143,INDEX(VendTable!$A$2:$A$109,RANDBETWEEN(1,23)))</f>
        <v>700020</v>
      </c>
      <c r="E144" s="2" t="s">
        <v>883</v>
      </c>
      <c r="F144">
        <v>22223</v>
      </c>
      <c r="G144" s="3">
        <v>3874.8588961429732</v>
      </c>
      <c r="H144">
        <v>86110989.248985291</v>
      </c>
      <c r="I144" s="3">
        <v>1.7965350379152336</v>
      </c>
      <c r="J144">
        <v>76865</v>
      </c>
      <c r="K144">
        <v>76891213145</v>
      </c>
      <c r="L144" t="s">
        <v>233</v>
      </c>
      <c r="M144" s="5">
        <v>44870.594524409724</v>
      </c>
      <c r="N144" s="5">
        <v>44872.189048819448</v>
      </c>
      <c r="O144" s="5">
        <v>44873.783573229171</v>
      </c>
      <c r="P144">
        <v>10397261234</v>
      </c>
      <c r="Q144">
        <v>981943</v>
      </c>
      <c r="S144">
        <v>25612431</v>
      </c>
      <c r="T144">
        <v>400</v>
      </c>
    </row>
    <row r="145" spans="1:20" x14ac:dyDescent="0.35">
      <c r="A145">
        <v>952000099</v>
      </c>
      <c r="B145">
        <v>2</v>
      </c>
      <c r="C145">
        <f ca="1">IF(A145=A144,PurchaseOrder!C144,INDEX(VendTable!$A$2:$A$109,RANDBETWEEN(1,23)))</f>
        <v>700020</v>
      </c>
      <c r="E145" s="2" t="s">
        <v>883</v>
      </c>
      <c r="F145">
        <v>47295</v>
      </c>
      <c r="G145" s="3">
        <v>9948.7900385512221</v>
      </c>
      <c r="H145">
        <v>470528024.87328005</v>
      </c>
      <c r="I145" s="3">
        <v>1.018834980164081</v>
      </c>
      <c r="J145">
        <v>76865</v>
      </c>
      <c r="K145">
        <v>76891213229</v>
      </c>
      <c r="L145" t="s">
        <v>233</v>
      </c>
      <c r="M145" s="5">
        <v>45483.594524409724</v>
      </c>
      <c r="N145" s="5">
        <v>45486.189048819448</v>
      </c>
      <c r="O145" s="5">
        <v>45494.783573229171</v>
      </c>
      <c r="P145">
        <v>10397261234</v>
      </c>
      <c r="Q145">
        <v>981966</v>
      </c>
      <c r="S145">
        <v>25612454</v>
      </c>
      <c r="T145">
        <v>600</v>
      </c>
    </row>
    <row r="146" spans="1:20" x14ac:dyDescent="0.35">
      <c r="A146">
        <v>952000100</v>
      </c>
      <c r="B146">
        <v>1</v>
      </c>
      <c r="C146">
        <f ca="1">IF(A146=A145,PurchaseOrder!C145,INDEX(VendTable!$A$2:$A$109,RANDBETWEEN(1,23)))</f>
        <v>700021</v>
      </c>
      <c r="E146" s="2" t="s">
        <v>883</v>
      </c>
      <c r="F146">
        <v>36376</v>
      </c>
      <c r="G146" s="3">
        <v>2169.1792696031125</v>
      </c>
      <c r="H146">
        <v>78906065.111082822</v>
      </c>
      <c r="I146" s="3">
        <v>1.6212011885427779</v>
      </c>
      <c r="J146">
        <v>76856</v>
      </c>
      <c r="K146">
        <v>76891213493</v>
      </c>
      <c r="L146" t="s">
        <v>233</v>
      </c>
      <c r="M146" s="5">
        <v>44572.594524409724</v>
      </c>
      <c r="N146" s="5">
        <v>44573.189048819448</v>
      </c>
      <c r="O146" s="5">
        <v>44581.783573229171</v>
      </c>
      <c r="P146">
        <v>10397261234</v>
      </c>
      <c r="Q146">
        <v>981911</v>
      </c>
      <c r="S146">
        <v>25612399</v>
      </c>
      <c r="T146">
        <v>1000</v>
      </c>
    </row>
    <row r="147" spans="1:20" x14ac:dyDescent="0.35">
      <c r="A147">
        <v>952000101</v>
      </c>
      <c r="B147">
        <v>1</v>
      </c>
      <c r="C147">
        <f ca="1">IF(A147=A146,PurchaseOrder!C146,INDEX(VendTable!$A$2:$A$109,RANDBETWEEN(1,23)))</f>
        <v>700005</v>
      </c>
      <c r="E147" s="2" t="s">
        <v>883</v>
      </c>
      <c r="F147">
        <v>27383</v>
      </c>
      <c r="G147" s="3">
        <v>2805.3425484319168</v>
      </c>
      <c r="H147">
        <v>76818695.003711179</v>
      </c>
      <c r="I147" s="3">
        <v>1.2221112796536553</v>
      </c>
      <c r="J147">
        <v>76855</v>
      </c>
      <c r="K147">
        <v>76891213176</v>
      </c>
      <c r="L147" t="s">
        <v>233</v>
      </c>
      <c r="M147" s="5">
        <v>44801.594524409724</v>
      </c>
      <c r="N147" s="5">
        <v>44805.189048819448</v>
      </c>
      <c r="O147" s="5">
        <v>44807.783573229171</v>
      </c>
      <c r="P147">
        <v>10397261234</v>
      </c>
      <c r="Q147">
        <v>981922</v>
      </c>
      <c r="S147">
        <v>25612410</v>
      </c>
      <c r="T147">
        <v>500</v>
      </c>
    </row>
    <row r="148" spans="1:20" x14ac:dyDescent="0.35">
      <c r="A148">
        <v>952000102</v>
      </c>
      <c r="B148">
        <v>1</v>
      </c>
      <c r="C148">
        <f ca="1">IF(A148=A147,PurchaseOrder!C147,INDEX(VendTable!$A$2:$A$109,RANDBETWEEN(1,23)))</f>
        <v>700002</v>
      </c>
      <c r="E148" s="2" t="s">
        <v>883</v>
      </c>
      <c r="F148">
        <v>6876</v>
      </c>
      <c r="G148" s="3">
        <v>6362.9068168653039</v>
      </c>
      <c r="H148">
        <v>43751347.27276583</v>
      </c>
      <c r="I148" s="3">
        <v>1.9691767858236231</v>
      </c>
      <c r="J148">
        <v>76870</v>
      </c>
      <c r="K148">
        <v>76891213578</v>
      </c>
      <c r="L148" t="s">
        <v>233</v>
      </c>
      <c r="M148" s="5">
        <v>44747.594524409724</v>
      </c>
      <c r="N148" s="5">
        <v>44749.189048819448</v>
      </c>
      <c r="O148" s="5">
        <v>44758.783573229171</v>
      </c>
      <c r="P148">
        <v>10397261234</v>
      </c>
      <c r="Q148">
        <v>981932</v>
      </c>
      <c r="S148">
        <v>25612420</v>
      </c>
      <c r="T148">
        <v>400</v>
      </c>
    </row>
    <row r="149" spans="1:20" x14ac:dyDescent="0.35">
      <c r="A149">
        <v>952000103</v>
      </c>
      <c r="B149">
        <v>1</v>
      </c>
      <c r="C149">
        <f ca="1">IF(A149=A148,PurchaseOrder!C148,INDEX(VendTable!$A$2:$A$109,RANDBETWEEN(1,23)))</f>
        <v>700003</v>
      </c>
      <c r="E149" s="2" t="s">
        <v>883</v>
      </c>
      <c r="F149">
        <v>12815</v>
      </c>
      <c r="G149" s="3">
        <v>1412.423389717949</v>
      </c>
      <c r="H149">
        <v>18100205.739235517</v>
      </c>
      <c r="I149" s="3">
        <v>1.0142563441063688</v>
      </c>
      <c r="J149">
        <v>76869</v>
      </c>
      <c r="K149">
        <v>76891213466</v>
      </c>
      <c r="L149" t="s">
        <v>233</v>
      </c>
      <c r="M149" s="5">
        <v>44717.594524409724</v>
      </c>
      <c r="N149" s="5">
        <v>44719.189048819448</v>
      </c>
      <c r="O149" s="5">
        <v>44721.783573229171</v>
      </c>
      <c r="P149">
        <v>10397261234</v>
      </c>
      <c r="Q149">
        <v>981858</v>
      </c>
      <c r="S149">
        <v>25612346</v>
      </c>
      <c r="T149">
        <v>600</v>
      </c>
    </row>
    <row r="150" spans="1:20" x14ac:dyDescent="0.35">
      <c r="A150">
        <v>952000103</v>
      </c>
      <c r="B150">
        <v>2</v>
      </c>
      <c r="C150">
        <f ca="1">IF(A150=A149,PurchaseOrder!C149,INDEX(VendTable!$A$2:$A$109,RANDBETWEEN(1,23)))</f>
        <v>700003</v>
      </c>
      <c r="E150" s="2" t="s">
        <v>883</v>
      </c>
      <c r="F150">
        <v>21992</v>
      </c>
      <c r="G150" s="3">
        <v>2871.6860216897139</v>
      </c>
      <c r="H150">
        <v>63154118.989000186</v>
      </c>
      <c r="I150" s="3">
        <v>1.1815213873658745</v>
      </c>
      <c r="J150">
        <v>76854</v>
      </c>
      <c r="K150">
        <v>76891213247</v>
      </c>
      <c r="L150" t="s">
        <v>233</v>
      </c>
      <c r="M150" s="5">
        <v>45397.594524409724</v>
      </c>
      <c r="N150" s="5">
        <v>45399.189048819448</v>
      </c>
      <c r="O150" s="5">
        <v>45403.783573229171</v>
      </c>
      <c r="P150">
        <v>10397261234</v>
      </c>
      <c r="Q150">
        <v>981944</v>
      </c>
      <c r="S150">
        <v>25612432</v>
      </c>
      <c r="T150">
        <v>1000</v>
      </c>
    </row>
    <row r="151" spans="1:20" x14ac:dyDescent="0.35">
      <c r="A151">
        <v>952000104</v>
      </c>
      <c r="B151">
        <v>1</v>
      </c>
      <c r="C151">
        <f ca="1">IF(A151=A150,PurchaseOrder!C150,INDEX(VendTable!$A$2:$A$109,RANDBETWEEN(1,23)))</f>
        <v>700017</v>
      </c>
      <c r="E151" s="2" t="s">
        <v>883</v>
      </c>
      <c r="F151">
        <v>28367</v>
      </c>
      <c r="G151" s="3">
        <v>9718.2211627842116</v>
      </c>
      <c r="H151">
        <v>275676779.72469974</v>
      </c>
      <c r="I151" s="3">
        <v>1.9959992256265036</v>
      </c>
      <c r="J151">
        <v>76869</v>
      </c>
      <c r="K151">
        <v>76891213544</v>
      </c>
      <c r="L151" t="s">
        <v>233</v>
      </c>
      <c r="M151" s="5">
        <v>45307.594524409724</v>
      </c>
      <c r="N151" s="5">
        <v>45311.189048819448</v>
      </c>
      <c r="O151" s="5">
        <v>45320.783573229171</v>
      </c>
      <c r="P151">
        <v>10397261234</v>
      </c>
      <c r="Q151">
        <v>981883</v>
      </c>
      <c r="S151">
        <v>25612371</v>
      </c>
      <c r="T151">
        <v>800</v>
      </c>
    </row>
    <row r="152" spans="1:20" x14ac:dyDescent="0.35">
      <c r="A152">
        <v>952000104</v>
      </c>
      <c r="B152">
        <v>2</v>
      </c>
      <c r="C152">
        <f ca="1">IF(A152=A151,PurchaseOrder!C151,INDEX(VendTable!$A$2:$A$109,RANDBETWEEN(1,23)))</f>
        <v>700017</v>
      </c>
      <c r="E152" s="2" t="s">
        <v>883</v>
      </c>
      <c r="F152">
        <v>8901</v>
      </c>
      <c r="G152" s="3">
        <v>5306.3690533935396</v>
      </c>
      <c r="H152">
        <v>47231990.944255896</v>
      </c>
      <c r="I152" s="3">
        <v>1.8677923360608535</v>
      </c>
      <c r="J152">
        <v>76856</v>
      </c>
      <c r="K152">
        <v>76891213313</v>
      </c>
      <c r="L152" t="s">
        <v>233</v>
      </c>
      <c r="M152" s="5">
        <v>45305.594524409724</v>
      </c>
      <c r="N152" s="5">
        <v>45309.189048819448</v>
      </c>
      <c r="O152" s="5">
        <v>45311.783573229171</v>
      </c>
      <c r="P152">
        <v>10397261234</v>
      </c>
      <c r="Q152">
        <v>981884</v>
      </c>
      <c r="S152">
        <v>25612372</v>
      </c>
      <c r="T152">
        <v>1000</v>
      </c>
    </row>
    <row r="153" spans="1:20" x14ac:dyDescent="0.35">
      <c r="A153">
        <v>952000104</v>
      </c>
      <c r="B153">
        <v>3</v>
      </c>
      <c r="C153">
        <f ca="1">IF(A153=A152,PurchaseOrder!C152,INDEX(VendTable!$A$2:$A$109,RANDBETWEEN(1,23)))</f>
        <v>700017</v>
      </c>
      <c r="E153" s="2" t="s">
        <v>883</v>
      </c>
      <c r="F153">
        <v>26464</v>
      </c>
      <c r="G153" s="3">
        <v>5983.0966872659747</v>
      </c>
      <c r="H153">
        <v>158336670.73180676</v>
      </c>
      <c r="I153" s="3">
        <v>1.6405464135454113</v>
      </c>
      <c r="J153">
        <v>76858</v>
      </c>
      <c r="K153">
        <v>76891213192</v>
      </c>
      <c r="L153" t="s">
        <v>233</v>
      </c>
      <c r="M153" s="5">
        <v>45132.594524409724</v>
      </c>
      <c r="N153" s="5">
        <v>45134.189048819448</v>
      </c>
      <c r="O153" s="5">
        <v>45134.783573229171</v>
      </c>
      <c r="P153">
        <v>10397261234</v>
      </c>
      <c r="Q153">
        <v>981999</v>
      </c>
      <c r="S153">
        <v>25612487</v>
      </c>
      <c r="T153">
        <v>400</v>
      </c>
    </row>
    <row r="154" spans="1:20" x14ac:dyDescent="0.35">
      <c r="A154">
        <v>952000105</v>
      </c>
      <c r="B154">
        <v>1</v>
      </c>
      <c r="C154">
        <f ca="1">IF(A154=A153,PurchaseOrder!C153,INDEX(VendTable!$A$2:$A$109,RANDBETWEEN(1,23)))</f>
        <v>700001</v>
      </c>
      <c r="E154" s="2" t="s">
        <v>883</v>
      </c>
      <c r="F154">
        <v>6696</v>
      </c>
      <c r="G154" s="3">
        <v>7594.9693758802241</v>
      </c>
      <c r="H154">
        <v>50855914.940893978</v>
      </c>
      <c r="I154" s="3">
        <v>1.9628268007727989</v>
      </c>
      <c r="J154">
        <v>76870</v>
      </c>
      <c r="K154">
        <v>76891213511</v>
      </c>
      <c r="L154" t="s">
        <v>233</v>
      </c>
      <c r="M154" s="5">
        <v>45428.594524409724</v>
      </c>
      <c r="N154" s="5">
        <v>45431.189048819448</v>
      </c>
      <c r="O154" s="5">
        <v>45431.783573229171</v>
      </c>
      <c r="P154">
        <v>10397261214</v>
      </c>
      <c r="Q154">
        <v>981834</v>
      </c>
      <c r="S154">
        <v>25612322</v>
      </c>
      <c r="T154">
        <v>100</v>
      </c>
    </row>
    <row r="155" spans="1:20" x14ac:dyDescent="0.35">
      <c r="A155">
        <v>952000106</v>
      </c>
      <c r="B155">
        <v>1</v>
      </c>
      <c r="C155">
        <f ca="1">IF(A155=A154,PurchaseOrder!C154,INDEX(VendTable!$A$2:$A$109,RANDBETWEEN(1,23)))</f>
        <v>700013</v>
      </c>
      <c r="E155" s="2" t="s">
        <v>883</v>
      </c>
      <c r="F155">
        <v>45884</v>
      </c>
      <c r="G155" s="3">
        <v>5807.2848418373133</v>
      </c>
      <c r="H155">
        <v>266461457.6828633</v>
      </c>
      <c r="I155" s="3">
        <v>1.919981256755932</v>
      </c>
      <c r="J155">
        <v>76857</v>
      </c>
      <c r="K155">
        <v>76891213565</v>
      </c>
      <c r="L155" t="s">
        <v>233</v>
      </c>
      <c r="M155" s="5">
        <v>44831.594524409724</v>
      </c>
      <c r="N155" s="5">
        <v>44833.189048819448</v>
      </c>
      <c r="O155" s="5">
        <v>44836.783573229171</v>
      </c>
      <c r="P155">
        <v>10397261234</v>
      </c>
      <c r="Q155">
        <v>981866</v>
      </c>
      <c r="S155">
        <v>25612354</v>
      </c>
      <c r="T155">
        <v>200</v>
      </c>
    </row>
    <row r="156" spans="1:20" x14ac:dyDescent="0.35">
      <c r="A156">
        <v>952000106</v>
      </c>
      <c r="B156">
        <v>2</v>
      </c>
      <c r="C156">
        <f ca="1">IF(A156=A155,PurchaseOrder!C155,INDEX(VendTable!$A$2:$A$109,RANDBETWEEN(1,23)))</f>
        <v>700013</v>
      </c>
      <c r="E156" s="2" t="s">
        <v>883</v>
      </c>
      <c r="F156">
        <v>24592</v>
      </c>
      <c r="G156" s="3">
        <v>5405.044471655764</v>
      </c>
      <c r="H156">
        <v>132920853.64695854</v>
      </c>
      <c r="I156" s="3">
        <v>1.7005857791662113</v>
      </c>
      <c r="J156">
        <v>76860</v>
      </c>
      <c r="K156">
        <v>76891213237</v>
      </c>
      <c r="L156" t="s">
        <v>233</v>
      </c>
      <c r="M156" s="5">
        <v>44859.594524409724</v>
      </c>
      <c r="N156" s="5">
        <v>44862.189048819448</v>
      </c>
      <c r="O156" s="5">
        <v>44865.783573229171</v>
      </c>
      <c r="P156">
        <v>10397261234</v>
      </c>
      <c r="Q156">
        <v>981929</v>
      </c>
      <c r="S156">
        <v>25612417</v>
      </c>
      <c r="T156">
        <v>600</v>
      </c>
    </row>
    <row r="157" spans="1:20" x14ac:dyDescent="0.35">
      <c r="A157">
        <v>952000106</v>
      </c>
      <c r="B157">
        <v>3</v>
      </c>
      <c r="C157">
        <f ca="1">IF(A157=A156,PurchaseOrder!C156,INDEX(VendTable!$A$2:$A$109,RANDBETWEEN(1,23)))</f>
        <v>700013</v>
      </c>
      <c r="E157" s="2" t="s">
        <v>883</v>
      </c>
      <c r="F157">
        <v>33452</v>
      </c>
      <c r="G157" s="3">
        <v>5988.5572888332017</v>
      </c>
      <c r="H157">
        <v>200329218.42604825</v>
      </c>
      <c r="I157" s="3">
        <v>1.8528379140754143</v>
      </c>
      <c r="J157">
        <v>76852</v>
      </c>
      <c r="K157">
        <v>76891213364</v>
      </c>
      <c r="L157" t="s">
        <v>233</v>
      </c>
      <c r="M157" s="5">
        <v>45579.594524409724</v>
      </c>
      <c r="N157" s="5">
        <v>45581.189048819448</v>
      </c>
      <c r="O157" s="5">
        <v>45582.783573229171</v>
      </c>
      <c r="P157">
        <v>10397261234</v>
      </c>
      <c r="Q157">
        <v>981933</v>
      </c>
      <c r="S157">
        <v>25612421</v>
      </c>
      <c r="T157">
        <v>100</v>
      </c>
    </row>
    <row r="158" spans="1:20" x14ac:dyDescent="0.35">
      <c r="A158">
        <v>952000107</v>
      </c>
      <c r="B158">
        <v>1</v>
      </c>
      <c r="C158">
        <f ca="1">IF(A158=A157,PurchaseOrder!C157,INDEX(VendTable!$A$2:$A$109,RANDBETWEEN(1,23)))</f>
        <v>700004</v>
      </c>
      <c r="E158" s="2" t="s">
        <v>883</v>
      </c>
      <c r="F158">
        <v>25827</v>
      </c>
      <c r="G158" s="3">
        <v>5003.0752518047793</v>
      </c>
      <c r="H158">
        <v>129214424.52836204</v>
      </c>
      <c r="I158" s="3">
        <v>1.428647329101796</v>
      </c>
      <c r="J158">
        <v>76868</v>
      </c>
      <c r="K158">
        <v>76891213462</v>
      </c>
      <c r="L158" t="s">
        <v>233</v>
      </c>
      <c r="M158" s="5">
        <v>45572.594524409724</v>
      </c>
      <c r="N158" s="5">
        <v>45576.189048819448</v>
      </c>
      <c r="O158" s="5">
        <v>45585.783573229171</v>
      </c>
      <c r="P158">
        <v>10397261234</v>
      </c>
      <c r="Q158">
        <v>981865</v>
      </c>
      <c r="S158">
        <v>25612353</v>
      </c>
      <c r="T158">
        <v>300</v>
      </c>
    </row>
    <row r="159" spans="1:20" x14ac:dyDescent="0.35">
      <c r="A159">
        <v>952000107</v>
      </c>
      <c r="B159">
        <v>2</v>
      </c>
      <c r="C159">
        <f ca="1">IF(A159=A158,PurchaseOrder!C158,INDEX(VendTable!$A$2:$A$109,RANDBETWEEN(1,23)))</f>
        <v>700004</v>
      </c>
      <c r="E159" s="2" t="s">
        <v>883</v>
      </c>
      <c r="F159">
        <v>43887</v>
      </c>
      <c r="G159" s="3">
        <v>8033.5980881272089</v>
      </c>
      <c r="H159">
        <v>352570519.29363883</v>
      </c>
      <c r="I159" s="3">
        <v>1.2379761519597712</v>
      </c>
      <c r="J159">
        <v>76866</v>
      </c>
      <c r="K159">
        <v>76891213257</v>
      </c>
      <c r="L159" t="s">
        <v>233</v>
      </c>
      <c r="M159" s="5">
        <v>44912.594524409724</v>
      </c>
      <c r="N159" s="5">
        <v>44913.189048819448</v>
      </c>
      <c r="O159" s="5">
        <v>44917.783573229171</v>
      </c>
      <c r="P159">
        <v>10397261234</v>
      </c>
      <c r="Q159">
        <v>981867</v>
      </c>
      <c r="S159">
        <v>25612355</v>
      </c>
      <c r="T159">
        <v>800</v>
      </c>
    </row>
    <row r="160" spans="1:20" x14ac:dyDescent="0.35">
      <c r="A160">
        <v>952000107</v>
      </c>
      <c r="B160">
        <v>3</v>
      </c>
      <c r="C160">
        <f ca="1">IF(A160=A159,PurchaseOrder!C159,INDEX(VendTable!$A$2:$A$109,RANDBETWEEN(1,23)))</f>
        <v>700004</v>
      </c>
      <c r="E160" s="2" t="s">
        <v>883</v>
      </c>
      <c r="F160">
        <v>27437</v>
      </c>
      <c r="G160" s="3">
        <v>2793.1018333107504</v>
      </c>
      <c r="H160">
        <v>76634335.000547066</v>
      </c>
      <c r="I160" s="3">
        <v>1.9196144124756334</v>
      </c>
      <c r="J160">
        <v>76871</v>
      </c>
      <c r="K160">
        <v>76891213378</v>
      </c>
      <c r="L160" t="s">
        <v>233</v>
      </c>
      <c r="M160" s="5">
        <v>44717.594524409724</v>
      </c>
      <c r="N160" s="5">
        <v>44719.189048819448</v>
      </c>
      <c r="O160" s="5">
        <v>44727.783573229171</v>
      </c>
      <c r="P160">
        <v>10397261234</v>
      </c>
      <c r="Q160">
        <v>981901</v>
      </c>
      <c r="S160">
        <v>25612389</v>
      </c>
      <c r="T160">
        <v>100</v>
      </c>
    </row>
    <row r="161" spans="1:20" x14ac:dyDescent="0.35">
      <c r="A161">
        <v>952000107</v>
      </c>
      <c r="B161">
        <v>4</v>
      </c>
      <c r="C161">
        <f ca="1">IF(A161=A160,PurchaseOrder!C160,INDEX(VendTable!$A$2:$A$109,RANDBETWEEN(1,23)))</f>
        <v>700004</v>
      </c>
      <c r="E161" s="2" t="s">
        <v>883</v>
      </c>
      <c r="F161">
        <v>48842</v>
      </c>
      <c r="G161" s="3">
        <v>6770.321373250983</v>
      </c>
      <c r="H161">
        <v>330676036.51232451</v>
      </c>
      <c r="I161" s="3">
        <v>1.9944658076916182</v>
      </c>
      <c r="J161">
        <v>76863</v>
      </c>
      <c r="K161">
        <v>76891213251</v>
      </c>
      <c r="L161" t="s">
        <v>233</v>
      </c>
      <c r="M161" s="5">
        <v>45150.594524409724</v>
      </c>
      <c r="N161" s="5">
        <v>45152.189048819448</v>
      </c>
      <c r="O161" s="5">
        <v>45158.783573229171</v>
      </c>
      <c r="P161">
        <v>10397261234</v>
      </c>
      <c r="Q161">
        <v>981904</v>
      </c>
      <c r="S161">
        <v>25612392</v>
      </c>
      <c r="T161">
        <v>600</v>
      </c>
    </row>
    <row r="162" spans="1:20" x14ac:dyDescent="0.35">
      <c r="A162">
        <v>952000107</v>
      </c>
      <c r="B162">
        <v>5</v>
      </c>
      <c r="C162">
        <f ca="1">IF(A162=A161,PurchaseOrder!C161,INDEX(VendTable!$A$2:$A$109,RANDBETWEEN(1,23)))</f>
        <v>700004</v>
      </c>
      <c r="E162" s="2" t="s">
        <v>883</v>
      </c>
      <c r="F162">
        <v>32898</v>
      </c>
      <c r="G162" s="3">
        <v>4748.3574506597488</v>
      </c>
      <c r="H162">
        <v>156211463.41180441</v>
      </c>
      <c r="I162" s="3">
        <v>1.7971168859838613</v>
      </c>
      <c r="J162">
        <v>76852</v>
      </c>
      <c r="K162">
        <v>76891213609</v>
      </c>
      <c r="L162" t="s">
        <v>233</v>
      </c>
      <c r="M162" s="5">
        <v>45470.594524409724</v>
      </c>
      <c r="N162" s="5">
        <v>45473.189048819448</v>
      </c>
      <c r="O162" s="5">
        <v>45475.783573229171</v>
      </c>
      <c r="P162">
        <v>10397261234</v>
      </c>
      <c r="Q162">
        <v>981956</v>
      </c>
      <c r="S162">
        <v>25612444</v>
      </c>
      <c r="T162">
        <v>1000</v>
      </c>
    </row>
    <row r="163" spans="1:20" x14ac:dyDescent="0.35">
      <c r="A163">
        <v>952000108</v>
      </c>
      <c r="B163">
        <v>1</v>
      </c>
      <c r="C163">
        <f ca="1">IF(A163=A162,PurchaseOrder!C162,INDEX(VendTable!$A$2:$A$109,RANDBETWEEN(1,23)))</f>
        <v>700005</v>
      </c>
      <c r="E163" s="2" t="s">
        <v>883</v>
      </c>
      <c r="F163">
        <v>19637</v>
      </c>
      <c r="G163" s="3">
        <v>9568.6503441663135</v>
      </c>
      <c r="H163">
        <v>187899586.8083939</v>
      </c>
      <c r="I163" s="3">
        <v>1.200952899438962</v>
      </c>
      <c r="J163">
        <v>76852</v>
      </c>
      <c r="K163">
        <v>76891213548</v>
      </c>
      <c r="L163" t="s">
        <v>233</v>
      </c>
      <c r="M163" s="5">
        <v>45098.594524409724</v>
      </c>
      <c r="N163" s="5">
        <v>45099.189048819448</v>
      </c>
      <c r="O163" s="5">
        <v>45100.783573229171</v>
      </c>
      <c r="P163">
        <v>10397261234</v>
      </c>
      <c r="Q163">
        <v>981954</v>
      </c>
      <c r="S163">
        <v>25612442</v>
      </c>
      <c r="T163">
        <v>500</v>
      </c>
    </row>
    <row r="164" spans="1:20" x14ac:dyDescent="0.35">
      <c r="A164">
        <v>952000109</v>
      </c>
      <c r="B164">
        <v>1</v>
      </c>
      <c r="C164">
        <f ca="1">IF(A164=A163,PurchaseOrder!C163,INDEX(VendTable!$A$2:$A$109,RANDBETWEEN(1,23)))</f>
        <v>700010</v>
      </c>
      <c r="E164" s="2" t="s">
        <v>883</v>
      </c>
      <c r="F164">
        <v>33740</v>
      </c>
      <c r="G164" s="3">
        <v>7881.8453746265923</v>
      </c>
      <c r="H164">
        <v>265933462.93990123</v>
      </c>
      <c r="I164" s="3">
        <v>1.0468668578886504</v>
      </c>
      <c r="J164">
        <v>76853</v>
      </c>
      <c r="K164">
        <v>76891213604</v>
      </c>
      <c r="L164" t="s">
        <v>233</v>
      </c>
      <c r="M164" s="5">
        <v>44589.594524409724</v>
      </c>
      <c r="N164" s="5">
        <v>44590.189048819448</v>
      </c>
      <c r="O164" s="5">
        <v>44596.783573229171</v>
      </c>
      <c r="P164">
        <v>10397261234</v>
      </c>
      <c r="Q164">
        <v>982007</v>
      </c>
      <c r="S164">
        <v>25612495</v>
      </c>
      <c r="T164">
        <v>400</v>
      </c>
    </row>
    <row r="165" spans="1:20" x14ac:dyDescent="0.35">
      <c r="A165">
        <v>952000111</v>
      </c>
      <c r="B165">
        <v>1</v>
      </c>
      <c r="C165">
        <f ca="1">IF(A165=A164,PurchaseOrder!C164,INDEX(VendTable!$A$2:$A$109,RANDBETWEEN(1,23)))</f>
        <v>700023</v>
      </c>
      <c r="E165" s="2" t="s">
        <v>883</v>
      </c>
      <c r="F165">
        <v>26689</v>
      </c>
      <c r="G165" s="3">
        <v>6203.746329812695</v>
      </c>
      <c r="H165">
        <v>165571785.79637101</v>
      </c>
      <c r="I165" s="3">
        <v>1.843100598294483</v>
      </c>
      <c r="J165">
        <v>76854</v>
      </c>
      <c r="K165">
        <v>76891213500</v>
      </c>
      <c r="L165" t="s">
        <v>233</v>
      </c>
      <c r="M165" s="5">
        <v>45258.594524409724</v>
      </c>
      <c r="N165" s="5">
        <v>45262.189048819448</v>
      </c>
      <c r="O165" s="5">
        <v>45264.783573229171</v>
      </c>
      <c r="P165">
        <v>10397261234</v>
      </c>
      <c r="Q165">
        <v>981854</v>
      </c>
      <c r="S165">
        <v>25612342</v>
      </c>
      <c r="T165">
        <v>600</v>
      </c>
    </row>
    <row r="166" spans="1:20" x14ac:dyDescent="0.35">
      <c r="A166">
        <v>952000111</v>
      </c>
      <c r="B166">
        <v>2</v>
      </c>
      <c r="C166">
        <f ca="1">IF(A166=A165,PurchaseOrder!C165,INDEX(VendTable!$A$2:$A$109,RANDBETWEEN(1,23)))</f>
        <v>700023</v>
      </c>
      <c r="E166" s="2" t="s">
        <v>883</v>
      </c>
      <c r="F166">
        <v>37572</v>
      </c>
      <c r="G166" s="3">
        <v>5946.2786744301702</v>
      </c>
      <c r="H166">
        <v>223413582.35569036</v>
      </c>
      <c r="I166" s="3">
        <v>1.2087105467738826</v>
      </c>
      <c r="J166">
        <v>76862</v>
      </c>
      <c r="K166">
        <v>76891213557</v>
      </c>
      <c r="L166" t="s">
        <v>233</v>
      </c>
      <c r="M166" s="5">
        <v>44592.594524409724</v>
      </c>
      <c r="N166" s="5">
        <v>44594.189048819448</v>
      </c>
      <c r="O166" s="5">
        <v>44594.783573229171</v>
      </c>
      <c r="P166">
        <v>10397261234</v>
      </c>
      <c r="Q166">
        <v>981872</v>
      </c>
      <c r="S166">
        <v>25612360</v>
      </c>
      <c r="T166">
        <v>300</v>
      </c>
    </row>
    <row r="167" spans="1:20" x14ac:dyDescent="0.35">
      <c r="A167">
        <v>952000111</v>
      </c>
      <c r="B167">
        <v>3</v>
      </c>
      <c r="C167">
        <f ca="1">IF(A167=A166,PurchaseOrder!C166,INDEX(VendTable!$A$2:$A$109,RANDBETWEEN(1,23)))</f>
        <v>700023</v>
      </c>
      <c r="E167" s="2" t="s">
        <v>883</v>
      </c>
      <c r="F167">
        <v>35338</v>
      </c>
      <c r="G167" s="3">
        <v>2280.7790693763573</v>
      </c>
      <c r="H167">
        <v>80598170.753621712</v>
      </c>
      <c r="I167" s="3">
        <v>1.7244931023253813</v>
      </c>
      <c r="J167">
        <v>76855</v>
      </c>
      <c r="K167">
        <v>76891213346</v>
      </c>
      <c r="L167" t="s">
        <v>233</v>
      </c>
      <c r="M167" s="5">
        <v>44667.594524409724</v>
      </c>
      <c r="N167" s="5">
        <v>44668.189048819448</v>
      </c>
      <c r="O167" s="5">
        <v>44675.783573229171</v>
      </c>
      <c r="P167">
        <v>10397261234</v>
      </c>
      <c r="Q167">
        <v>981926</v>
      </c>
      <c r="S167">
        <v>25612414</v>
      </c>
      <c r="T167">
        <v>1000</v>
      </c>
    </row>
    <row r="168" spans="1:20" x14ac:dyDescent="0.35">
      <c r="A168">
        <v>952000112</v>
      </c>
      <c r="B168">
        <v>1</v>
      </c>
      <c r="C168">
        <f ca="1">IF(A168=A167,PurchaseOrder!C167,INDEX(VendTable!$A$2:$A$109,RANDBETWEEN(1,23)))</f>
        <v>700005</v>
      </c>
      <c r="E168" s="2" t="s">
        <v>883</v>
      </c>
      <c r="F168">
        <v>16513</v>
      </c>
      <c r="G168" s="3">
        <v>1029.0896494190304</v>
      </c>
      <c r="H168">
        <v>16993357.380856447</v>
      </c>
      <c r="I168" s="3">
        <v>1.5891153830418578</v>
      </c>
      <c r="J168">
        <v>76857</v>
      </c>
      <c r="K168">
        <v>76891213447</v>
      </c>
      <c r="L168" t="s">
        <v>233</v>
      </c>
      <c r="M168" s="5">
        <v>44652.594524409724</v>
      </c>
      <c r="N168" s="5">
        <v>44653.189048819448</v>
      </c>
      <c r="O168" s="5">
        <v>44662.783573229171</v>
      </c>
      <c r="P168">
        <v>10397261217</v>
      </c>
      <c r="Q168">
        <v>981837</v>
      </c>
      <c r="S168">
        <v>25612325</v>
      </c>
      <c r="T168">
        <v>900</v>
      </c>
    </row>
    <row r="169" spans="1:20" x14ac:dyDescent="0.35">
      <c r="A169">
        <v>952000113</v>
      </c>
      <c r="B169">
        <v>1</v>
      </c>
      <c r="C169">
        <f ca="1">IF(A169=A168,PurchaseOrder!C168,INDEX(VendTable!$A$2:$A$109,RANDBETWEEN(1,23)))</f>
        <v>700020</v>
      </c>
      <c r="E169" s="2" t="s">
        <v>883</v>
      </c>
      <c r="F169">
        <v>36070</v>
      </c>
      <c r="G169" s="3">
        <v>2895.4701911265306</v>
      </c>
      <c r="H169">
        <v>104439609.79393396</v>
      </c>
      <c r="I169" s="3">
        <v>1.5971066713673787</v>
      </c>
      <c r="J169">
        <v>76864</v>
      </c>
      <c r="K169">
        <v>76891213404</v>
      </c>
      <c r="L169" t="s">
        <v>233</v>
      </c>
      <c r="M169" s="5">
        <v>45293.594524409724</v>
      </c>
      <c r="N169" s="5">
        <v>45295.189048819448</v>
      </c>
      <c r="O169" s="5">
        <v>45296.783573229171</v>
      </c>
      <c r="P169">
        <v>10397261234</v>
      </c>
      <c r="Q169">
        <v>982009</v>
      </c>
      <c r="S169">
        <v>25612497</v>
      </c>
      <c r="T169">
        <v>300</v>
      </c>
    </row>
    <row r="170" spans="1:20" x14ac:dyDescent="0.35">
      <c r="A170">
        <v>952000114</v>
      </c>
      <c r="B170">
        <v>1</v>
      </c>
      <c r="C170">
        <f ca="1">IF(A170=A169,PurchaseOrder!C169,INDEX(VendTable!$A$2:$A$109,RANDBETWEEN(1,23)))</f>
        <v>700006</v>
      </c>
      <c r="E170" s="2" t="s">
        <v>883</v>
      </c>
      <c r="F170">
        <v>40150</v>
      </c>
      <c r="G170" s="3">
        <v>2775.9662582463575</v>
      </c>
      <c r="H170">
        <v>111455045.26859125</v>
      </c>
      <c r="I170" s="3">
        <v>1.0311935485292016</v>
      </c>
      <c r="J170">
        <v>76871</v>
      </c>
      <c r="K170">
        <v>76891213588</v>
      </c>
      <c r="L170" t="s">
        <v>233</v>
      </c>
      <c r="M170" s="5">
        <v>45191.594524409724</v>
      </c>
      <c r="N170" s="5">
        <v>45192.189048819448</v>
      </c>
      <c r="O170" s="5">
        <v>45198.783573229171</v>
      </c>
      <c r="P170">
        <v>10397261234</v>
      </c>
      <c r="Q170">
        <v>981934</v>
      </c>
      <c r="S170">
        <v>25612422</v>
      </c>
      <c r="T170">
        <v>800</v>
      </c>
    </row>
    <row r="171" spans="1:20" x14ac:dyDescent="0.35">
      <c r="A171">
        <v>952000115</v>
      </c>
      <c r="B171">
        <v>1</v>
      </c>
      <c r="C171">
        <f ca="1">IF(A171=A170,PurchaseOrder!C170,INDEX(VendTable!$A$2:$A$109,RANDBETWEEN(1,23)))</f>
        <v>700008</v>
      </c>
      <c r="E171" s="2" t="s">
        <v>883</v>
      </c>
      <c r="F171">
        <v>31940</v>
      </c>
      <c r="G171" s="3">
        <v>7646.9841615031282</v>
      </c>
      <c r="H171">
        <v>244244674.1184099</v>
      </c>
      <c r="I171" s="3">
        <v>1.096836151817066</v>
      </c>
      <c r="J171">
        <v>76861</v>
      </c>
      <c r="K171">
        <v>76891213472</v>
      </c>
      <c r="L171" t="s">
        <v>233</v>
      </c>
      <c r="M171" s="5">
        <v>44673.594524409724</v>
      </c>
      <c r="N171" s="5">
        <v>44677.189048819448</v>
      </c>
      <c r="O171" s="5">
        <v>44683.783573229171</v>
      </c>
      <c r="P171">
        <v>10397261220</v>
      </c>
      <c r="Q171">
        <v>981840</v>
      </c>
      <c r="S171">
        <v>25612328</v>
      </c>
      <c r="T171">
        <v>700</v>
      </c>
    </row>
    <row r="172" spans="1:20" x14ac:dyDescent="0.35">
      <c r="A172">
        <v>952000115</v>
      </c>
      <c r="B172">
        <v>2</v>
      </c>
      <c r="C172">
        <f ca="1">IF(A172=A171,PurchaseOrder!C171,INDEX(VendTable!$A$2:$A$109,RANDBETWEEN(1,23)))</f>
        <v>700008</v>
      </c>
      <c r="E172" s="2" t="s">
        <v>883</v>
      </c>
      <c r="F172">
        <v>23683</v>
      </c>
      <c r="G172" s="3">
        <v>2200.985423033499</v>
      </c>
      <c r="H172">
        <v>52125937.773702361</v>
      </c>
      <c r="I172" s="3">
        <v>1.0548630278172868</v>
      </c>
      <c r="J172">
        <v>76856</v>
      </c>
      <c r="K172">
        <v>76891213630</v>
      </c>
      <c r="L172" t="s">
        <v>233</v>
      </c>
      <c r="M172" s="5">
        <v>45351.594524409724</v>
      </c>
      <c r="N172" s="5">
        <v>45352.189048819448</v>
      </c>
      <c r="O172" s="5">
        <v>45360.783573229171</v>
      </c>
      <c r="P172">
        <v>10397261234</v>
      </c>
      <c r="Q172">
        <v>981886</v>
      </c>
      <c r="S172">
        <v>25612374</v>
      </c>
      <c r="T172">
        <v>700</v>
      </c>
    </row>
    <row r="173" spans="1:20" x14ac:dyDescent="0.35">
      <c r="A173">
        <v>952000115</v>
      </c>
      <c r="B173">
        <v>3</v>
      </c>
      <c r="C173">
        <f ca="1">IF(A173=A172,PurchaseOrder!C172,INDEX(VendTable!$A$2:$A$109,RANDBETWEEN(1,23)))</f>
        <v>700008</v>
      </c>
      <c r="E173" s="2" t="s">
        <v>883</v>
      </c>
      <c r="F173">
        <v>8568</v>
      </c>
      <c r="G173" s="3">
        <v>5309.9125806620605</v>
      </c>
      <c r="H173">
        <v>45495330.991112538</v>
      </c>
      <c r="I173" s="3">
        <v>1.5091787741899652</v>
      </c>
      <c r="J173">
        <v>76859</v>
      </c>
      <c r="K173">
        <v>76891213530</v>
      </c>
      <c r="L173" t="s">
        <v>233</v>
      </c>
      <c r="M173" s="5">
        <v>45267.594524409724</v>
      </c>
      <c r="N173" s="5">
        <v>45268.189048819448</v>
      </c>
      <c r="O173" s="5">
        <v>45272.783573229171</v>
      </c>
      <c r="P173">
        <v>10397261234</v>
      </c>
      <c r="Q173">
        <v>981920</v>
      </c>
      <c r="S173">
        <v>25612408</v>
      </c>
      <c r="T173">
        <v>900</v>
      </c>
    </row>
    <row r="174" spans="1:20" x14ac:dyDescent="0.35">
      <c r="A174">
        <v>952000115</v>
      </c>
      <c r="B174">
        <v>4</v>
      </c>
      <c r="C174">
        <f ca="1">IF(A174=A173,PurchaseOrder!C173,INDEX(VendTable!$A$2:$A$109,RANDBETWEEN(1,23)))</f>
        <v>700008</v>
      </c>
      <c r="E174" s="2" t="s">
        <v>883</v>
      </c>
      <c r="F174">
        <v>40308</v>
      </c>
      <c r="G174" s="3">
        <v>3387.4265452475734</v>
      </c>
      <c r="H174">
        <v>136540389.18583918</v>
      </c>
      <c r="I174" s="3">
        <v>1.3509014034575253</v>
      </c>
      <c r="J174">
        <v>76857</v>
      </c>
      <c r="K174">
        <v>76891213383</v>
      </c>
      <c r="L174" t="s">
        <v>233</v>
      </c>
      <c r="M174" s="5">
        <v>45077.594524409724</v>
      </c>
      <c r="N174" s="5">
        <v>45078.189048819448</v>
      </c>
      <c r="O174" s="5">
        <v>45087.783573229171</v>
      </c>
      <c r="P174">
        <v>10397261234</v>
      </c>
      <c r="Q174">
        <v>981994</v>
      </c>
      <c r="S174">
        <v>25612482</v>
      </c>
      <c r="T174">
        <v>800</v>
      </c>
    </row>
    <row r="175" spans="1:20" x14ac:dyDescent="0.35">
      <c r="A175">
        <v>952000116</v>
      </c>
      <c r="B175">
        <v>1</v>
      </c>
      <c r="C175">
        <f ca="1">IF(A175=A174,PurchaseOrder!C174,INDEX(VendTable!$A$2:$A$109,RANDBETWEEN(1,23)))</f>
        <v>700005</v>
      </c>
      <c r="E175" s="2" t="s">
        <v>883</v>
      </c>
      <c r="F175">
        <v>42286</v>
      </c>
      <c r="G175" s="3">
        <v>3222.3278019748877</v>
      </c>
      <c r="H175">
        <v>136259353.43431011</v>
      </c>
      <c r="I175" s="3">
        <v>1.9747457414563705</v>
      </c>
      <c r="J175">
        <v>76864</v>
      </c>
      <c r="K175">
        <v>76891213433</v>
      </c>
      <c r="L175" t="s">
        <v>233</v>
      </c>
      <c r="M175" s="5">
        <v>45367.594524409724</v>
      </c>
      <c r="N175" s="5">
        <v>45368.189048819448</v>
      </c>
      <c r="O175" s="5">
        <v>45370.783573229171</v>
      </c>
      <c r="P175">
        <v>10397261223</v>
      </c>
      <c r="Q175">
        <v>981843</v>
      </c>
      <c r="S175">
        <v>25612331</v>
      </c>
      <c r="T175">
        <v>1000</v>
      </c>
    </row>
    <row r="176" spans="1:20" x14ac:dyDescent="0.35">
      <c r="A176">
        <v>952000116</v>
      </c>
      <c r="B176">
        <v>2</v>
      </c>
      <c r="C176">
        <f ca="1">IF(A176=A175,PurchaseOrder!C175,INDEX(VendTable!$A$2:$A$109,RANDBETWEEN(1,23)))</f>
        <v>700005</v>
      </c>
      <c r="E176" s="2" t="s">
        <v>883</v>
      </c>
      <c r="F176">
        <v>42871</v>
      </c>
      <c r="G176" s="3">
        <v>2008.823958842396</v>
      </c>
      <c r="H176">
        <v>86120291.939532354</v>
      </c>
      <c r="I176" s="3">
        <v>1.1392447574894269</v>
      </c>
      <c r="J176">
        <v>76855</v>
      </c>
      <c r="K176">
        <v>76891213390</v>
      </c>
      <c r="L176" t="s">
        <v>233</v>
      </c>
      <c r="M176" s="5">
        <v>45234.594524409724</v>
      </c>
      <c r="N176" s="5">
        <v>45237.189048819448</v>
      </c>
      <c r="O176" s="5">
        <v>45244.783573229171</v>
      </c>
      <c r="P176">
        <v>10397261229</v>
      </c>
      <c r="Q176">
        <v>981849</v>
      </c>
      <c r="S176">
        <v>25612337</v>
      </c>
      <c r="T176">
        <v>500</v>
      </c>
    </row>
    <row r="177" spans="1:20" x14ac:dyDescent="0.35">
      <c r="A177">
        <v>952000116</v>
      </c>
      <c r="B177">
        <v>3</v>
      </c>
      <c r="C177">
        <f ca="1">IF(A177=A176,PurchaseOrder!C176,INDEX(VendTable!$A$2:$A$109,RANDBETWEEN(1,23)))</f>
        <v>700005</v>
      </c>
      <c r="E177" s="2" t="s">
        <v>883</v>
      </c>
      <c r="F177">
        <v>10246</v>
      </c>
      <c r="G177" s="3">
        <v>2144.9578604831809</v>
      </c>
      <c r="H177">
        <v>21977238.238510672</v>
      </c>
      <c r="I177" s="3">
        <v>1.3444873683227123</v>
      </c>
      <c r="J177">
        <v>76860</v>
      </c>
      <c r="K177">
        <v>76891213437</v>
      </c>
      <c r="L177" t="s">
        <v>233</v>
      </c>
      <c r="M177" s="5">
        <v>45225.594524409724</v>
      </c>
      <c r="N177" s="5">
        <v>45227.189048819448</v>
      </c>
      <c r="O177" s="5">
        <v>45230.783573229171</v>
      </c>
      <c r="P177">
        <v>10397261234</v>
      </c>
      <c r="Q177">
        <v>981910</v>
      </c>
      <c r="S177">
        <v>25612398</v>
      </c>
      <c r="T177">
        <v>900</v>
      </c>
    </row>
    <row r="178" spans="1:20" x14ac:dyDescent="0.35">
      <c r="A178">
        <v>952000116</v>
      </c>
      <c r="B178">
        <v>4</v>
      </c>
      <c r="C178">
        <f ca="1">IF(A178=A177,PurchaseOrder!C177,INDEX(VendTable!$A$2:$A$109,RANDBETWEEN(1,23)))</f>
        <v>700005</v>
      </c>
      <c r="E178" s="2" t="s">
        <v>883</v>
      </c>
      <c r="F178">
        <v>26494</v>
      </c>
      <c r="G178" s="3">
        <v>330.8941259541453</v>
      </c>
      <c r="H178">
        <v>8766708.9730291255</v>
      </c>
      <c r="I178" s="3">
        <v>1.7584951086220943</v>
      </c>
      <c r="J178">
        <v>76867</v>
      </c>
      <c r="K178">
        <v>76891213610</v>
      </c>
      <c r="L178" t="s">
        <v>233</v>
      </c>
      <c r="M178" s="5">
        <v>44569.594524409724</v>
      </c>
      <c r="N178" s="5">
        <v>44570.189048819448</v>
      </c>
      <c r="O178" s="5">
        <v>44570.783573229171</v>
      </c>
      <c r="P178">
        <v>10397261234</v>
      </c>
      <c r="Q178">
        <v>981976</v>
      </c>
      <c r="S178">
        <v>25612464</v>
      </c>
      <c r="T178">
        <v>100</v>
      </c>
    </row>
    <row r="179" spans="1:20" x14ac:dyDescent="0.35">
      <c r="A179">
        <v>952000116</v>
      </c>
      <c r="B179">
        <v>5</v>
      </c>
      <c r="C179">
        <f ca="1">IF(A179=A178,PurchaseOrder!C178,INDEX(VendTable!$A$2:$A$109,RANDBETWEEN(1,23)))</f>
        <v>700005</v>
      </c>
      <c r="E179" s="2" t="s">
        <v>883</v>
      </c>
      <c r="F179">
        <v>49617</v>
      </c>
      <c r="G179" s="3">
        <v>7187.7216546136378</v>
      </c>
      <c r="H179">
        <v>356633185.33696485</v>
      </c>
      <c r="I179" s="3">
        <v>1.9295496421678267</v>
      </c>
      <c r="J179">
        <v>76862</v>
      </c>
      <c r="K179">
        <v>76891213438</v>
      </c>
      <c r="L179" t="s">
        <v>233</v>
      </c>
      <c r="M179" s="5">
        <v>45334.594524409724</v>
      </c>
      <c r="N179" s="5">
        <v>45335.189048819448</v>
      </c>
      <c r="O179" s="5">
        <v>45344.783573229171</v>
      </c>
      <c r="P179">
        <v>10397261234</v>
      </c>
      <c r="Q179">
        <v>981977</v>
      </c>
      <c r="S179">
        <v>25612465</v>
      </c>
      <c r="T179">
        <v>200</v>
      </c>
    </row>
    <row r="180" spans="1:20" x14ac:dyDescent="0.35">
      <c r="A180">
        <v>952000117</v>
      </c>
      <c r="B180">
        <v>1</v>
      </c>
      <c r="C180">
        <f ca="1">IF(A180=A179,PurchaseOrder!C179,INDEX(VendTable!$A$2:$A$109,RANDBETWEEN(1,23)))</f>
        <v>700019</v>
      </c>
      <c r="E180" s="2" t="s">
        <v>883</v>
      </c>
      <c r="F180">
        <v>28127</v>
      </c>
      <c r="G180" s="3">
        <v>923.48575805795133</v>
      </c>
      <c r="H180">
        <v>25974883.916895997</v>
      </c>
      <c r="I180" s="3">
        <v>1.1988390573042436</v>
      </c>
      <c r="J180">
        <v>76864</v>
      </c>
      <c r="K180">
        <v>76891213560</v>
      </c>
      <c r="L180" t="s">
        <v>233</v>
      </c>
      <c r="M180" s="5">
        <v>44631.594524409724</v>
      </c>
      <c r="N180" s="5">
        <v>44632.189048819448</v>
      </c>
      <c r="O180" s="5">
        <v>44636.783573229171</v>
      </c>
      <c r="P180">
        <v>10397261218</v>
      </c>
      <c r="Q180">
        <v>981838</v>
      </c>
      <c r="S180">
        <v>25612326</v>
      </c>
      <c r="T180">
        <v>400</v>
      </c>
    </row>
    <row r="181" spans="1:20" x14ac:dyDescent="0.35">
      <c r="A181">
        <v>952000117</v>
      </c>
      <c r="B181">
        <v>2</v>
      </c>
      <c r="C181">
        <f ca="1">IF(A181=A180,PurchaseOrder!C180,INDEX(VendTable!$A$2:$A$109,RANDBETWEEN(1,23)))</f>
        <v>700019</v>
      </c>
      <c r="E181" s="2" t="s">
        <v>883</v>
      </c>
      <c r="F181">
        <v>31759</v>
      </c>
      <c r="G181" s="3">
        <v>4748.3574506597488</v>
      </c>
      <c r="H181">
        <v>150803084.27550295</v>
      </c>
      <c r="I181" s="3">
        <v>1.3850818779557825</v>
      </c>
      <c r="J181">
        <v>76861</v>
      </c>
      <c r="K181">
        <v>76891213609</v>
      </c>
      <c r="L181" t="s">
        <v>233</v>
      </c>
      <c r="M181" s="5">
        <v>45575.594524409724</v>
      </c>
      <c r="N181" s="5">
        <v>45578.189048819448</v>
      </c>
      <c r="O181" s="5">
        <v>45586.783573229171</v>
      </c>
      <c r="P181">
        <v>10397261221</v>
      </c>
      <c r="Q181">
        <v>981841</v>
      </c>
      <c r="S181">
        <v>25612329</v>
      </c>
      <c r="T181">
        <v>1000</v>
      </c>
    </row>
    <row r="182" spans="1:20" x14ac:dyDescent="0.35">
      <c r="A182">
        <v>952000117</v>
      </c>
      <c r="B182">
        <v>3</v>
      </c>
      <c r="C182">
        <f ca="1">IF(A182=A181,PurchaseOrder!C181,INDEX(VendTable!$A$2:$A$109,RANDBETWEEN(1,23)))</f>
        <v>700019</v>
      </c>
      <c r="E182" s="2" t="s">
        <v>883</v>
      </c>
      <c r="F182">
        <v>49204</v>
      </c>
      <c r="G182" s="3">
        <v>710.94561716214866</v>
      </c>
      <c r="H182">
        <v>34981368.146846361</v>
      </c>
      <c r="I182" s="3">
        <v>1.4328279493093024</v>
      </c>
      <c r="J182">
        <v>76861</v>
      </c>
      <c r="K182">
        <v>76891213203</v>
      </c>
      <c r="L182" t="s">
        <v>233</v>
      </c>
      <c r="M182" s="5">
        <v>44984.594524409724</v>
      </c>
      <c r="N182" s="5">
        <v>44986.189048819448</v>
      </c>
      <c r="O182" s="5">
        <v>44994.783573229171</v>
      </c>
      <c r="P182">
        <v>10397261234</v>
      </c>
      <c r="Q182">
        <v>981916</v>
      </c>
      <c r="S182">
        <v>25612404</v>
      </c>
      <c r="T182">
        <v>100</v>
      </c>
    </row>
    <row r="183" spans="1:20" x14ac:dyDescent="0.35">
      <c r="A183">
        <v>952000119</v>
      </c>
      <c r="B183">
        <v>1</v>
      </c>
      <c r="C183">
        <f ca="1">IF(A183=A182,PurchaseOrder!C182,INDEX(VendTable!$A$2:$A$109,RANDBETWEEN(1,23)))</f>
        <v>700004</v>
      </c>
      <c r="E183" s="2" t="s">
        <v>883</v>
      </c>
      <c r="F183">
        <v>33470</v>
      </c>
      <c r="G183" s="3">
        <v>434.51763722463238</v>
      </c>
      <c r="H183">
        <v>14543305.317908445</v>
      </c>
      <c r="I183" s="3">
        <v>1.2568321226758215</v>
      </c>
      <c r="J183">
        <v>76853</v>
      </c>
      <c r="K183">
        <v>76891213154</v>
      </c>
      <c r="L183" t="s">
        <v>233</v>
      </c>
      <c r="M183" s="5">
        <v>45056.594524409724</v>
      </c>
      <c r="N183" s="5">
        <v>45058.189048819448</v>
      </c>
      <c r="O183" s="5">
        <v>45061.783573229171</v>
      </c>
      <c r="P183">
        <v>10397261234</v>
      </c>
      <c r="Q183">
        <v>981863</v>
      </c>
      <c r="S183">
        <v>25612351</v>
      </c>
      <c r="T183">
        <v>900</v>
      </c>
    </row>
    <row r="184" spans="1:20" x14ac:dyDescent="0.35">
      <c r="A184">
        <v>952000119</v>
      </c>
      <c r="B184">
        <v>2</v>
      </c>
      <c r="C184">
        <f ca="1">IF(A184=A183,PurchaseOrder!C183,INDEX(VendTable!$A$2:$A$109,RANDBETWEEN(1,23)))</f>
        <v>700004</v>
      </c>
      <c r="E184" s="2" t="s">
        <v>883</v>
      </c>
      <c r="F184">
        <v>12144</v>
      </c>
      <c r="G184" s="3">
        <v>410.79521515512869</v>
      </c>
      <c r="H184">
        <v>4988697.0928438827</v>
      </c>
      <c r="I184" s="3">
        <v>1.793942143983448</v>
      </c>
      <c r="J184">
        <v>76859</v>
      </c>
      <c r="K184">
        <v>76891213371</v>
      </c>
      <c r="L184" t="s">
        <v>233</v>
      </c>
      <c r="M184" s="5">
        <v>44807.594524409724</v>
      </c>
      <c r="N184" s="5">
        <v>44808.189048819448</v>
      </c>
      <c r="O184" s="5">
        <v>44817.783573229171</v>
      </c>
      <c r="P184">
        <v>10397261234</v>
      </c>
      <c r="Q184">
        <v>981894</v>
      </c>
      <c r="S184">
        <v>25612382</v>
      </c>
      <c r="T184">
        <v>500</v>
      </c>
    </row>
    <row r="185" spans="1:20" x14ac:dyDescent="0.35">
      <c r="A185">
        <v>952000119</v>
      </c>
      <c r="B185">
        <v>3</v>
      </c>
      <c r="C185">
        <f ca="1">IF(A185=A184,PurchaseOrder!C184,INDEX(VendTable!$A$2:$A$109,RANDBETWEEN(1,23)))</f>
        <v>700004</v>
      </c>
      <c r="E185" s="2" t="s">
        <v>883</v>
      </c>
      <c r="F185">
        <v>37387</v>
      </c>
      <c r="G185" s="3">
        <v>9428.9700933967288</v>
      </c>
      <c r="H185">
        <v>352520904.88182348</v>
      </c>
      <c r="I185" s="3">
        <v>1.0905107496568958</v>
      </c>
      <c r="J185">
        <v>76852</v>
      </c>
      <c r="K185">
        <v>76891213330</v>
      </c>
      <c r="L185" t="s">
        <v>233</v>
      </c>
      <c r="M185" s="5">
        <v>44624.594524409724</v>
      </c>
      <c r="N185" s="5">
        <v>44628.189048819448</v>
      </c>
      <c r="O185" s="5">
        <v>44635.783573229171</v>
      </c>
      <c r="P185">
        <v>10397261234</v>
      </c>
      <c r="Q185">
        <v>981961</v>
      </c>
      <c r="S185">
        <v>25612449</v>
      </c>
      <c r="T185">
        <v>100</v>
      </c>
    </row>
    <row r="186" spans="1:20" x14ac:dyDescent="0.35">
      <c r="A186">
        <v>952000119</v>
      </c>
      <c r="B186">
        <v>4</v>
      </c>
      <c r="C186">
        <f ca="1">IF(A186=A185,PurchaseOrder!C185,INDEX(VendTable!$A$2:$A$109,RANDBETWEEN(1,23)))</f>
        <v>700004</v>
      </c>
      <c r="E186" s="2" t="s">
        <v>883</v>
      </c>
      <c r="F186">
        <v>22594</v>
      </c>
      <c r="G186" s="3">
        <v>6219.3941686570142</v>
      </c>
      <c r="H186">
        <v>140520991.84663659</v>
      </c>
      <c r="I186" s="3">
        <v>1.2127630200409483</v>
      </c>
      <c r="J186">
        <v>76854</v>
      </c>
      <c r="K186">
        <v>76891213634</v>
      </c>
      <c r="L186" t="s">
        <v>233</v>
      </c>
      <c r="M186" s="5">
        <v>44562.594524409724</v>
      </c>
      <c r="N186" s="5">
        <v>44565.189048819448</v>
      </c>
      <c r="O186" s="5">
        <v>44565.783573229171</v>
      </c>
      <c r="P186">
        <v>10397261234</v>
      </c>
      <c r="Q186">
        <v>981993</v>
      </c>
      <c r="S186">
        <v>25612481</v>
      </c>
      <c r="T186">
        <v>400</v>
      </c>
    </row>
    <row r="187" spans="1:20" x14ac:dyDescent="0.35">
      <c r="A187">
        <v>952000119</v>
      </c>
      <c r="B187">
        <v>5</v>
      </c>
      <c r="C187">
        <f ca="1">IF(A187=A186,PurchaseOrder!C186,INDEX(VendTable!$A$2:$A$109,RANDBETWEEN(1,23)))</f>
        <v>700004</v>
      </c>
      <c r="E187" s="2" t="s">
        <v>883</v>
      </c>
      <c r="F187">
        <v>14842</v>
      </c>
      <c r="G187" s="3">
        <v>9803.9707708438164</v>
      </c>
      <c r="H187">
        <v>145510534.18086392</v>
      </c>
      <c r="I187" s="3">
        <v>1.115587582659292</v>
      </c>
      <c r="J187">
        <v>76863</v>
      </c>
      <c r="K187">
        <v>76891213521</v>
      </c>
      <c r="L187" t="s">
        <v>233</v>
      </c>
      <c r="M187" s="5">
        <v>45285.594524409724</v>
      </c>
      <c r="N187" s="5">
        <v>45289.189048819448</v>
      </c>
      <c r="O187" s="5">
        <v>45296.783573229171</v>
      </c>
      <c r="P187">
        <v>10397261234</v>
      </c>
      <c r="Q187">
        <v>982005</v>
      </c>
      <c r="S187">
        <v>25612493</v>
      </c>
      <c r="T187">
        <v>200</v>
      </c>
    </row>
    <row r="188" spans="1:20" x14ac:dyDescent="0.35">
      <c r="A188">
        <v>952000120</v>
      </c>
      <c r="B188">
        <v>1</v>
      </c>
      <c r="C188">
        <f ca="1">IF(A188=A187,PurchaseOrder!C187,INDEX(VendTable!$A$2:$A$109,RANDBETWEEN(1,23)))</f>
        <v>700011</v>
      </c>
      <c r="E188" s="2" t="s">
        <v>883</v>
      </c>
      <c r="F188">
        <v>11571</v>
      </c>
      <c r="G188" s="3">
        <v>8806.9323284716829</v>
      </c>
      <c r="H188">
        <v>101905013.97274584</v>
      </c>
      <c r="I188" s="3">
        <v>1.1243655869661735</v>
      </c>
      <c r="J188">
        <v>76867</v>
      </c>
      <c r="K188">
        <v>76891213326</v>
      </c>
      <c r="L188" t="s">
        <v>233</v>
      </c>
      <c r="M188" s="5">
        <v>44810.594524409724</v>
      </c>
      <c r="N188" s="5">
        <v>44813.189048819448</v>
      </c>
      <c r="O188" s="5">
        <v>44821.783573229171</v>
      </c>
      <c r="P188">
        <v>10397261234</v>
      </c>
      <c r="Q188">
        <v>981855</v>
      </c>
      <c r="S188">
        <v>25612343</v>
      </c>
      <c r="T188">
        <v>900</v>
      </c>
    </row>
    <row r="189" spans="1:20" x14ac:dyDescent="0.35">
      <c r="A189">
        <v>952000120</v>
      </c>
      <c r="B189">
        <v>2</v>
      </c>
      <c r="C189">
        <f ca="1">IF(A189=A188,PurchaseOrder!C188,INDEX(VendTable!$A$2:$A$109,RANDBETWEEN(1,23)))</f>
        <v>700011</v>
      </c>
      <c r="E189" s="2" t="s">
        <v>883</v>
      </c>
      <c r="F189">
        <v>48779</v>
      </c>
      <c r="G189" s="3">
        <v>8262.4794811966622</v>
      </c>
      <c r="H189">
        <v>403035486.61329198</v>
      </c>
      <c r="I189" s="3">
        <v>1.5171046885191517</v>
      </c>
      <c r="J189">
        <v>76858</v>
      </c>
      <c r="K189">
        <v>76891213352</v>
      </c>
      <c r="L189" t="s">
        <v>233</v>
      </c>
      <c r="M189" s="5">
        <v>45538.594524409724</v>
      </c>
      <c r="N189" s="5">
        <v>45541.189048819448</v>
      </c>
      <c r="O189" s="5">
        <v>45550.783573229171</v>
      </c>
      <c r="P189">
        <v>10397261234</v>
      </c>
      <c r="Q189">
        <v>981945</v>
      </c>
      <c r="S189">
        <v>25612433</v>
      </c>
      <c r="T189">
        <v>500</v>
      </c>
    </row>
    <row r="190" spans="1:20" x14ac:dyDescent="0.35">
      <c r="A190">
        <v>952000121</v>
      </c>
      <c r="B190">
        <v>1</v>
      </c>
      <c r="C190">
        <f ca="1">IF(A190=A189,PurchaseOrder!C189,INDEX(VendTable!$A$2:$A$109,RANDBETWEEN(1,23)))</f>
        <v>700006</v>
      </c>
      <c r="E190" s="2" t="s">
        <v>883</v>
      </c>
      <c r="F190">
        <v>38805</v>
      </c>
      <c r="G190" s="3">
        <v>8199.8305364004354</v>
      </c>
      <c r="H190">
        <v>318194423.96501887</v>
      </c>
      <c r="I190" s="3">
        <v>1.6348018888260578</v>
      </c>
      <c r="J190">
        <v>76861</v>
      </c>
      <c r="K190">
        <v>76891213295</v>
      </c>
      <c r="L190" t="s">
        <v>233</v>
      </c>
      <c r="M190" s="5">
        <v>44634.594524409724</v>
      </c>
      <c r="N190" s="5">
        <v>44638.189048819448</v>
      </c>
      <c r="O190" s="5">
        <v>44640.783573229171</v>
      </c>
      <c r="P190">
        <v>10397261226</v>
      </c>
      <c r="Q190">
        <v>981846</v>
      </c>
      <c r="S190">
        <v>25612334</v>
      </c>
      <c r="T190">
        <v>800</v>
      </c>
    </row>
    <row r="191" spans="1:20" x14ac:dyDescent="0.35">
      <c r="A191">
        <v>952000121</v>
      </c>
      <c r="B191">
        <v>2</v>
      </c>
      <c r="C191">
        <f ca="1">IF(A191=A190,PurchaseOrder!C190,INDEX(VendTable!$A$2:$A$109,RANDBETWEEN(1,23)))</f>
        <v>700006</v>
      </c>
      <c r="E191" s="2" t="s">
        <v>883</v>
      </c>
      <c r="F191">
        <v>44426</v>
      </c>
      <c r="G191" s="3">
        <v>5349.4724805915603</v>
      </c>
      <c r="H191">
        <v>237655664.42276067</v>
      </c>
      <c r="I191" s="3">
        <v>1.8563286035383861</v>
      </c>
      <c r="J191">
        <v>76862</v>
      </c>
      <c r="K191">
        <v>76891213569</v>
      </c>
      <c r="L191" t="s">
        <v>233</v>
      </c>
      <c r="M191" s="5">
        <v>44593.594524409724</v>
      </c>
      <c r="N191" s="5">
        <v>44594.189048819448</v>
      </c>
      <c r="O191" s="5">
        <v>44601.783573229171</v>
      </c>
      <c r="P191">
        <v>10397261234</v>
      </c>
      <c r="Q191">
        <v>981981</v>
      </c>
      <c r="S191">
        <v>25612469</v>
      </c>
      <c r="T191">
        <v>700</v>
      </c>
    </row>
    <row r="192" spans="1:20" x14ac:dyDescent="0.35">
      <c r="A192">
        <v>952000122</v>
      </c>
      <c r="B192">
        <v>1</v>
      </c>
      <c r="C192">
        <f ca="1">IF(A192=A191,PurchaseOrder!C191,INDEX(VendTable!$A$2:$A$109,RANDBETWEEN(1,23)))</f>
        <v>700009</v>
      </c>
      <c r="E192" s="2" t="s">
        <v>883</v>
      </c>
      <c r="F192">
        <v>34715</v>
      </c>
      <c r="G192" s="3">
        <v>4347.5333306923458</v>
      </c>
      <c r="H192">
        <v>150924619.57498479</v>
      </c>
      <c r="I192" s="3">
        <v>1.641753861576041</v>
      </c>
      <c r="J192">
        <v>76863</v>
      </c>
      <c r="K192">
        <v>76891213269</v>
      </c>
      <c r="L192" t="s">
        <v>233</v>
      </c>
      <c r="M192" s="5">
        <v>44619.594524409724</v>
      </c>
      <c r="N192" s="5">
        <v>44621.189048819448</v>
      </c>
      <c r="O192" s="5">
        <v>44626.783573229171</v>
      </c>
      <c r="P192">
        <v>10397261233</v>
      </c>
      <c r="Q192">
        <v>981853</v>
      </c>
      <c r="S192">
        <v>25612341</v>
      </c>
      <c r="T192">
        <v>200</v>
      </c>
    </row>
    <row r="193" spans="1:20" x14ac:dyDescent="0.35">
      <c r="A193">
        <v>952000123</v>
      </c>
      <c r="B193">
        <v>1</v>
      </c>
      <c r="C193">
        <f ca="1">IF(A193=A192,PurchaseOrder!C192,INDEX(VendTable!$A$2:$A$109,RANDBETWEEN(1,23)))</f>
        <v>700003</v>
      </c>
      <c r="E193" s="2" t="s">
        <v>883</v>
      </c>
      <c r="F193">
        <v>20053</v>
      </c>
      <c r="G193" s="3">
        <v>9907.7776254368146</v>
      </c>
      <c r="H193">
        <v>198680664.72288445</v>
      </c>
      <c r="I193" s="3">
        <v>1.3042145539457222</v>
      </c>
      <c r="J193">
        <v>76857</v>
      </c>
      <c r="K193">
        <v>76891213589</v>
      </c>
      <c r="L193" t="s">
        <v>233</v>
      </c>
      <c r="M193" s="5">
        <v>45030.594524409724</v>
      </c>
      <c r="N193" s="5">
        <v>45034.189048819448</v>
      </c>
      <c r="O193" s="5">
        <v>45034.783573229171</v>
      </c>
      <c r="P193">
        <v>10397261234</v>
      </c>
      <c r="Q193">
        <v>981870</v>
      </c>
      <c r="S193">
        <v>25612358</v>
      </c>
      <c r="T193">
        <v>700</v>
      </c>
    </row>
    <row r="194" spans="1:20" x14ac:dyDescent="0.35">
      <c r="A194">
        <v>952000124</v>
      </c>
      <c r="B194">
        <v>1</v>
      </c>
      <c r="C194">
        <f ca="1">IF(A194=A193,PurchaseOrder!C193,INDEX(VendTable!$A$2:$A$109,RANDBETWEEN(1,23)))</f>
        <v>700014</v>
      </c>
      <c r="E194" s="2" t="s">
        <v>883</v>
      </c>
      <c r="F194">
        <v>18534</v>
      </c>
      <c r="G194" s="3">
        <v>434.51763722463238</v>
      </c>
      <c r="H194">
        <v>8053349.8883213364</v>
      </c>
      <c r="I194" s="3">
        <v>1.3497397670911648</v>
      </c>
      <c r="J194">
        <v>76855</v>
      </c>
      <c r="K194">
        <v>76891213154</v>
      </c>
      <c r="L194" t="s">
        <v>233</v>
      </c>
      <c r="M194" s="5">
        <v>45115.594524409724</v>
      </c>
      <c r="N194" s="5">
        <v>45118.189048819448</v>
      </c>
      <c r="O194" s="5">
        <v>45127.783573229171</v>
      </c>
      <c r="P194">
        <v>10397261234</v>
      </c>
      <c r="Q194">
        <v>981915</v>
      </c>
      <c r="S194">
        <v>25612403</v>
      </c>
      <c r="T194">
        <v>900</v>
      </c>
    </row>
    <row r="195" spans="1:20" x14ac:dyDescent="0.35">
      <c r="A195">
        <v>952000124</v>
      </c>
      <c r="B195">
        <v>2</v>
      </c>
      <c r="C195">
        <f ca="1">IF(A195=A194,PurchaseOrder!C194,INDEX(VendTable!$A$2:$A$109,RANDBETWEEN(1,23)))</f>
        <v>700014</v>
      </c>
      <c r="E195" s="2" t="s">
        <v>883</v>
      </c>
      <c r="F195">
        <v>20145</v>
      </c>
      <c r="G195" s="3">
        <v>2008.823958842396</v>
      </c>
      <c r="H195">
        <v>40467758.650880069</v>
      </c>
      <c r="I195" s="3">
        <v>1.3216775313801854</v>
      </c>
      <c r="J195">
        <v>76852</v>
      </c>
      <c r="K195">
        <v>76891213390</v>
      </c>
      <c r="L195" t="s">
        <v>233</v>
      </c>
      <c r="M195" s="5">
        <v>44870.594524409724</v>
      </c>
      <c r="N195" s="5">
        <v>44873.189048819448</v>
      </c>
      <c r="O195" s="5">
        <v>44883.783573229171</v>
      </c>
      <c r="P195">
        <v>10397261234</v>
      </c>
      <c r="Q195">
        <v>981979</v>
      </c>
      <c r="S195">
        <v>25612467</v>
      </c>
      <c r="T195">
        <v>500</v>
      </c>
    </row>
  </sheetData>
  <autoFilter ref="A1:U195"/>
  <sortState ref="A2:S195">
    <sortCondition ref="A1"/>
  </sortState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S609"/>
  <sheetViews>
    <sheetView topLeftCell="A488" workbookViewId="0">
      <selection activeCell="H488" sqref="A488:H488"/>
    </sheetView>
  </sheetViews>
  <sheetFormatPr defaultRowHeight="14.5" x14ac:dyDescent="0.35"/>
  <cols>
    <col min="1" max="1" width="11.81640625" bestFit="1" customWidth="1"/>
    <col min="2" max="2" width="32.1796875" bestFit="1" customWidth="1"/>
    <col min="3" max="3" width="28" bestFit="1" customWidth="1"/>
    <col min="4" max="4" width="25.36328125" bestFit="1" customWidth="1"/>
    <col min="5" max="5" width="10.08984375" bestFit="1" customWidth="1"/>
    <col min="10" max="10" width="10" bestFit="1" customWidth="1"/>
    <col min="18" max="18" width="29.54296875" bestFit="1" customWidth="1"/>
  </cols>
  <sheetData>
    <row r="1" spans="1:19" x14ac:dyDescent="0.35">
      <c r="A1" t="s">
        <v>43</v>
      </c>
      <c r="B1" t="s">
        <v>44</v>
      </c>
      <c r="C1" t="s">
        <v>96</v>
      </c>
      <c r="D1" t="s">
        <v>97</v>
      </c>
      <c r="E1" t="s">
        <v>25</v>
      </c>
      <c r="F1" t="s">
        <v>26</v>
      </c>
      <c r="G1" t="s">
        <v>31</v>
      </c>
      <c r="H1" t="s">
        <v>47</v>
      </c>
      <c r="I1" t="s">
        <v>16</v>
      </c>
      <c r="J1" t="s">
        <v>48</v>
      </c>
    </row>
    <row r="2" spans="1:19" x14ac:dyDescent="0.35">
      <c r="A2">
        <v>76891213142</v>
      </c>
      <c r="B2" t="str">
        <f t="shared" ref="B2:B65" ca="1" si="0">INDEX($R$4:$R$609,RANDBETWEEN(1,606))&amp;"-"&amp;INDEX($S$4:$S$10,RANDBETWEEN(1,7))</f>
        <v>Lock Nut 3-3T</v>
      </c>
      <c r="D2" s="2" t="s">
        <v>883</v>
      </c>
      <c r="E2" s="2" t="s">
        <v>884</v>
      </c>
      <c r="G2">
        <v>1</v>
      </c>
      <c r="H2">
        <f ca="1">RANDBETWEEN(100,10000)+RAND()</f>
        <v>5034.8662105835983</v>
      </c>
      <c r="I2">
        <v>34521256</v>
      </c>
      <c r="J2">
        <f ca="1">INDEX($O$3:$O$12,RANDBETWEEN(1,10))</f>
        <v>400</v>
      </c>
    </row>
    <row r="3" spans="1:19" x14ac:dyDescent="0.35">
      <c r="A3">
        <v>76891213143</v>
      </c>
      <c r="B3" t="str">
        <f t="shared" ca="1" si="0"/>
        <v>Lock Nut 6-8S</v>
      </c>
      <c r="D3" s="2" t="s">
        <v>883</v>
      </c>
      <c r="E3" s="2" t="s">
        <v>884</v>
      </c>
      <c r="G3">
        <v>1</v>
      </c>
      <c r="H3">
        <f t="shared" ref="H3:H66" ca="1" si="1">RANDBETWEEN(100,10000)+RAND()</f>
        <v>2099.5083062652393</v>
      </c>
      <c r="I3">
        <v>34521257</v>
      </c>
      <c r="J3">
        <f t="shared" ref="J3:J66" ca="1" si="2">INDEX($O$3:$O$12,RANDBETWEEN(1,10))</f>
        <v>600</v>
      </c>
      <c r="O3">
        <v>100</v>
      </c>
    </row>
    <row r="4" spans="1:19" x14ac:dyDescent="0.35">
      <c r="A4">
        <v>76891213144</v>
      </c>
      <c r="B4" t="str">
        <f t="shared" ca="1" si="0"/>
        <v>Mountain-400-W Silver, 38-8S</v>
      </c>
      <c r="D4" s="2" t="s">
        <v>883</v>
      </c>
      <c r="E4" s="2" t="s">
        <v>884</v>
      </c>
      <c r="G4">
        <v>1</v>
      </c>
      <c r="H4">
        <f t="shared" ca="1" si="1"/>
        <v>4043.801529669609</v>
      </c>
      <c r="I4">
        <v>34521258</v>
      </c>
      <c r="J4">
        <f t="shared" ca="1" si="2"/>
        <v>700</v>
      </c>
      <c r="O4">
        <v>200</v>
      </c>
      <c r="R4" t="s">
        <v>372</v>
      </c>
      <c r="S4" t="s">
        <v>876</v>
      </c>
    </row>
    <row r="5" spans="1:19" x14ac:dyDescent="0.35">
      <c r="A5">
        <v>76891213145</v>
      </c>
      <c r="B5" t="str">
        <f t="shared" ca="1" si="0"/>
        <v>Guide Pulley-6S</v>
      </c>
      <c r="D5" s="2" t="s">
        <v>883</v>
      </c>
      <c r="E5" s="2" t="s">
        <v>884</v>
      </c>
      <c r="G5">
        <v>1</v>
      </c>
      <c r="H5">
        <f t="shared" ca="1" si="1"/>
        <v>9273.3061751805526</v>
      </c>
      <c r="I5">
        <v>34521259</v>
      </c>
      <c r="J5">
        <f t="shared" ca="1" si="2"/>
        <v>700</v>
      </c>
      <c r="O5">
        <v>300</v>
      </c>
      <c r="R5" t="s">
        <v>373</v>
      </c>
      <c r="S5" t="s">
        <v>877</v>
      </c>
    </row>
    <row r="6" spans="1:19" x14ac:dyDescent="0.35">
      <c r="A6">
        <v>76891213146</v>
      </c>
      <c r="B6" t="str">
        <f t="shared" ca="1" si="0"/>
        <v>Mountain-500 Silver, 52-8S</v>
      </c>
      <c r="D6" s="2" t="s">
        <v>883</v>
      </c>
      <c r="E6" s="2" t="s">
        <v>884</v>
      </c>
      <c r="G6">
        <v>1</v>
      </c>
      <c r="H6">
        <f t="shared" ca="1" si="1"/>
        <v>5461.8260857472496</v>
      </c>
      <c r="I6">
        <v>34521260</v>
      </c>
      <c r="J6">
        <f t="shared" ca="1" si="2"/>
        <v>600</v>
      </c>
      <c r="O6">
        <v>400</v>
      </c>
      <c r="R6" t="s">
        <v>374</v>
      </c>
      <c r="S6" t="s">
        <v>878</v>
      </c>
    </row>
    <row r="7" spans="1:19" x14ac:dyDescent="0.35">
      <c r="A7">
        <v>76891213147</v>
      </c>
      <c r="B7" t="str">
        <f t="shared" ca="1" si="0"/>
        <v>HL Crankarm-9Z</v>
      </c>
      <c r="D7" s="2" t="s">
        <v>883</v>
      </c>
      <c r="E7" s="2" t="s">
        <v>884</v>
      </c>
      <c r="G7">
        <v>1</v>
      </c>
      <c r="H7">
        <f t="shared" ca="1" si="1"/>
        <v>2264.3353543042599</v>
      </c>
      <c r="I7">
        <v>34521261</v>
      </c>
      <c r="J7">
        <f t="shared" ca="1" si="2"/>
        <v>300</v>
      </c>
      <c r="O7">
        <v>500</v>
      </c>
      <c r="R7" t="s">
        <v>375</v>
      </c>
      <c r="S7" t="s">
        <v>879</v>
      </c>
    </row>
    <row r="8" spans="1:19" x14ac:dyDescent="0.35">
      <c r="A8">
        <v>76891213148</v>
      </c>
      <c r="B8" t="str">
        <f t="shared" ca="1" si="0"/>
        <v>Road-650 Red, 48-3T</v>
      </c>
      <c r="D8" s="2" t="s">
        <v>883</v>
      </c>
      <c r="E8" s="2" t="s">
        <v>884</v>
      </c>
      <c r="G8">
        <v>1</v>
      </c>
      <c r="H8">
        <f t="shared" ca="1" si="1"/>
        <v>1059.7105318061322</v>
      </c>
      <c r="I8">
        <v>34521262</v>
      </c>
      <c r="J8">
        <f t="shared" ca="1" si="2"/>
        <v>900</v>
      </c>
      <c r="O8">
        <v>600</v>
      </c>
      <c r="R8" t="s">
        <v>376</v>
      </c>
      <c r="S8" t="s">
        <v>880</v>
      </c>
    </row>
    <row r="9" spans="1:19" x14ac:dyDescent="0.35">
      <c r="A9">
        <v>76891213149</v>
      </c>
      <c r="B9" t="str">
        <f t="shared" ca="1" si="0"/>
        <v>Road-150 Red, 62-2T</v>
      </c>
      <c r="D9" s="2" t="s">
        <v>883</v>
      </c>
      <c r="E9" s="2" t="s">
        <v>884</v>
      </c>
      <c r="G9">
        <v>1</v>
      </c>
      <c r="H9">
        <f t="shared" ca="1" si="1"/>
        <v>1501.6371834269539</v>
      </c>
      <c r="I9">
        <v>34521263</v>
      </c>
      <c r="J9">
        <f t="shared" ca="1" si="2"/>
        <v>400</v>
      </c>
      <c r="O9">
        <v>700</v>
      </c>
      <c r="R9" t="s">
        <v>377</v>
      </c>
      <c r="S9" t="s">
        <v>881</v>
      </c>
    </row>
    <row r="10" spans="1:19" x14ac:dyDescent="0.35">
      <c r="A10">
        <v>76891213150</v>
      </c>
      <c r="B10" t="str">
        <f t="shared" ca="1" si="0"/>
        <v>Thin-Jam Lock Nut 11-8S</v>
      </c>
      <c r="D10" s="2" t="s">
        <v>883</v>
      </c>
      <c r="E10" s="2" t="s">
        <v>884</v>
      </c>
      <c r="G10">
        <v>1</v>
      </c>
      <c r="H10">
        <f t="shared" ca="1" si="1"/>
        <v>4841.3945699159722</v>
      </c>
      <c r="I10">
        <v>34521264</v>
      </c>
      <c r="J10">
        <f t="shared" ca="1" si="2"/>
        <v>300</v>
      </c>
      <c r="O10">
        <v>800</v>
      </c>
      <c r="R10" t="s">
        <v>378</v>
      </c>
      <c r="S10" t="s">
        <v>882</v>
      </c>
    </row>
    <row r="11" spans="1:19" x14ac:dyDescent="0.35">
      <c r="A11">
        <v>76891213151</v>
      </c>
      <c r="B11" t="str">
        <f t="shared" ca="1" si="0"/>
        <v>HL Road Frame - Red, 62-6S</v>
      </c>
      <c r="D11" s="2" t="s">
        <v>883</v>
      </c>
      <c r="E11" s="2" t="s">
        <v>884</v>
      </c>
      <c r="G11">
        <v>1</v>
      </c>
      <c r="H11">
        <f t="shared" ca="1" si="1"/>
        <v>6578.9489505152096</v>
      </c>
      <c r="I11">
        <v>34521265</v>
      </c>
      <c r="J11">
        <f t="shared" ca="1" si="2"/>
        <v>900</v>
      </c>
      <c r="O11">
        <v>900</v>
      </c>
      <c r="R11" t="s">
        <v>379</v>
      </c>
    </row>
    <row r="12" spans="1:19" x14ac:dyDescent="0.35">
      <c r="A12">
        <v>76891213152</v>
      </c>
      <c r="B12" t="str">
        <f t="shared" ca="1" si="0"/>
        <v>Reflector-8S</v>
      </c>
      <c r="D12" s="2" t="s">
        <v>883</v>
      </c>
      <c r="E12" s="2" t="s">
        <v>884</v>
      </c>
      <c r="G12">
        <v>1</v>
      </c>
      <c r="H12">
        <f t="shared" ca="1" si="1"/>
        <v>169.38211785270536</v>
      </c>
      <c r="I12">
        <v>34521266</v>
      </c>
      <c r="J12">
        <f t="shared" ca="1" si="2"/>
        <v>400</v>
      </c>
      <c r="O12">
        <v>1000</v>
      </c>
      <c r="R12" t="s">
        <v>380</v>
      </c>
    </row>
    <row r="13" spans="1:19" x14ac:dyDescent="0.35">
      <c r="A13">
        <v>76891213153</v>
      </c>
      <c r="B13" t="str">
        <f t="shared" ca="1" si="0"/>
        <v>LL Road Frame - Red, 44-3T</v>
      </c>
      <c r="D13" s="2" t="s">
        <v>883</v>
      </c>
      <c r="E13" s="2" t="s">
        <v>884</v>
      </c>
      <c r="G13">
        <v>1</v>
      </c>
      <c r="H13">
        <f t="shared" ca="1" si="1"/>
        <v>9849.9949858218879</v>
      </c>
      <c r="I13">
        <v>34521267</v>
      </c>
      <c r="J13">
        <f t="shared" ca="1" si="2"/>
        <v>1000</v>
      </c>
      <c r="R13" t="s">
        <v>381</v>
      </c>
    </row>
    <row r="14" spans="1:19" x14ac:dyDescent="0.35">
      <c r="A14">
        <v>76891213154</v>
      </c>
      <c r="B14" t="str">
        <f t="shared" ca="1" si="0"/>
        <v>Lock Nut 13-6S</v>
      </c>
      <c r="D14" s="2" t="s">
        <v>883</v>
      </c>
      <c r="E14" s="2" t="s">
        <v>884</v>
      </c>
      <c r="G14">
        <v>1</v>
      </c>
      <c r="H14">
        <f t="shared" ca="1" si="1"/>
        <v>5837.3435594720122</v>
      </c>
      <c r="I14">
        <v>34521268</v>
      </c>
      <c r="J14">
        <f t="shared" ca="1" si="2"/>
        <v>400</v>
      </c>
      <c r="R14" t="s">
        <v>382</v>
      </c>
    </row>
    <row r="15" spans="1:19" x14ac:dyDescent="0.35">
      <c r="A15">
        <v>76891213155</v>
      </c>
      <c r="B15" t="str">
        <f t="shared" ca="1" si="0"/>
        <v>HL Road Front Wheel-3T</v>
      </c>
      <c r="D15" s="2" t="s">
        <v>883</v>
      </c>
      <c r="E15" s="2" t="s">
        <v>884</v>
      </c>
      <c r="G15">
        <v>1</v>
      </c>
      <c r="H15">
        <f t="shared" ca="1" si="1"/>
        <v>3627.1918809763515</v>
      </c>
      <c r="I15">
        <v>34521269</v>
      </c>
      <c r="J15">
        <f t="shared" ca="1" si="2"/>
        <v>200</v>
      </c>
      <c r="R15" t="s">
        <v>383</v>
      </c>
    </row>
    <row r="16" spans="1:19" x14ac:dyDescent="0.35">
      <c r="A16">
        <v>76891213156</v>
      </c>
      <c r="B16" t="str">
        <f t="shared" ca="1" si="0"/>
        <v>ML Mountain Handlebars-2T</v>
      </c>
      <c r="D16" s="2" t="s">
        <v>883</v>
      </c>
      <c r="E16" s="2" t="s">
        <v>884</v>
      </c>
      <c r="G16">
        <v>1</v>
      </c>
      <c r="H16">
        <f t="shared" ca="1" si="1"/>
        <v>9558.6946346003115</v>
      </c>
      <c r="I16">
        <v>34521270</v>
      </c>
      <c r="J16">
        <f t="shared" ca="1" si="2"/>
        <v>700</v>
      </c>
      <c r="R16" t="s">
        <v>384</v>
      </c>
    </row>
    <row r="17" spans="1:18" x14ac:dyDescent="0.35">
      <c r="A17">
        <v>76891213157</v>
      </c>
      <c r="B17" t="str">
        <f t="shared" ca="1" si="0"/>
        <v>Lock Washer 2-3T</v>
      </c>
      <c r="D17" s="2" t="s">
        <v>883</v>
      </c>
      <c r="E17" s="2" t="s">
        <v>884</v>
      </c>
      <c r="G17">
        <v>1</v>
      </c>
      <c r="H17">
        <f t="shared" ca="1" si="1"/>
        <v>8322.4899114284071</v>
      </c>
      <c r="I17">
        <v>34521271</v>
      </c>
      <c r="J17">
        <f t="shared" ca="1" si="2"/>
        <v>100</v>
      </c>
      <c r="R17" t="s">
        <v>385</v>
      </c>
    </row>
    <row r="18" spans="1:18" x14ac:dyDescent="0.35">
      <c r="A18">
        <v>76891213158</v>
      </c>
      <c r="B18" t="str">
        <f t="shared" ca="1" si="0"/>
        <v>Cone-Shaped Race-3T</v>
      </c>
      <c r="D18" s="2" t="s">
        <v>883</v>
      </c>
      <c r="E18" s="2" t="s">
        <v>884</v>
      </c>
      <c r="G18">
        <v>1</v>
      </c>
      <c r="H18">
        <f t="shared" ca="1" si="1"/>
        <v>7429.0948943964459</v>
      </c>
      <c r="I18">
        <v>34521272</v>
      </c>
      <c r="J18">
        <f t="shared" ca="1" si="2"/>
        <v>600</v>
      </c>
      <c r="R18" t="s">
        <v>386</v>
      </c>
    </row>
    <row r="19" spans="1:18" x14ac:dyDescent="0.35">
      <c r="A19">
        <v>76891213159</v>
      </c>
      <c r="B19" t="str">
        <f t="shared" ca="1" si="0"/>
        <v>HL Road Frame - Red, 56-1T</v>
      </c>
      <c r="D19" s="2" t="s">
        <v>883</v>
      </c>
      <c r="E19" s="2" t="s">
        <v>884</v>
      </c>
      <c r="G19">
        <v>1</v>
      </c>
      <c r="H19">
        <f t="shared" ca="1" si="1"/>
        <v>1020.1296091286805</v>
      </c>
      <c r="I19">
        <v>34521273</v>
      </c>
      <c r="J19">
        <f t="shared" ca="1" si="2"/>
        <v>400</v>
      </c>
      <c r="R19" t="s">
        <v>387</v>
      </c>
    </row>
    <row r="20" spans="1:18" x14ac:dyDescent="0.35">
      <c r="A20">
        <v>76891213160</v>
      </c>
      <c r="B20" t="str">
        <f t="shared" ca="1" si="0"/>
        <v>Lock Washer 12-8S</v>
      </c>
      <c r="D20" s="2" t="s">
        <v>883</v>
      </c>
      <c r="E20" s="2" t="s">
        <v>884</v>
      </c>
      <c r="G20">
        <v>1</v>
      </c>
      <c r="H20">
        <f t="shared" ca="1" si="1"/>
        <v>8462.9770245013115</v>
      </c>
      <c r="I20">
        <v>34521274</v>
      </c>
      <c r="J20">
        <f t="shared" ca="1" si="2"/>
        <v>700</v>
      </c>
      <c r="R20" t="s">
        <v>388</v>
      </c>
    </row>
    <row r="21" spans="1:18" x14ac:dyDescent="0.35">
      <c r="A21">
        <v>76891213161</v>
      </c>
      <c r="B21" t="str">
        <f t="shared" ca="1" si="0"/>
        <v>Metal Angle-1T</v>
      </c>
      <c r="D21" s="2" t="s">
        <v>883</v>
      </c>
      <c r="E21" s="2" t="s">
        <v>884</v>
      </c>
      <c r="G21">
        <v>1</v>
      </c>
      <c r="H21">
        <f t="shared" ca="1" si="1"/>
        <v>4626.4082630215826</v>
      </c>
      <c r="I21">
        <v>34521275</v>
      </c>
      <c r="J21">
        <f t="shared" ca="1" si="2"/>
        <v>500</v>
      </c>
      <c r="R21" t="s">
        <v>389</v>
      </c>
    </row>
    <row r="22" spans="1:18" x14ac:dyDescent="0.35">
      <c r="A22">
        <v>76891213162</v>
      </c>
      <c r="B22" t="str">
        <f t="shared" ca="1" si="0"/>
        <v>Road-650 Red, 60-10Z</v>
      </c>
      <c r="D22" s="2" t="s">
        <v>883</v>
      </c>
      <c r="E22" s="2" t="s">
        <v>884</v>
      </c>
      <c r="G22">
        <v>1</v>
      </c>
      <c r="H22">
        <f t="shared" ca="1" si="1"/>
        <v>4691.9230552298568</v>
      </c>
      <c r="I22">
        <v>34521276</v>
      </c>
      <c r="J22">
        <f t="shared" ca="1" si="2"/>
        <v>600</v>
      </c>
      <c r="R22" t="s">
        <v>390</v>
      </c>
    </row>
    <row r="23" spans="1:18" x14ac:dyDescent="0.35">
      <c r="A23">
        <v>76891213163</v>
      </c>
      <c r="B23" t="str">
        <f t="shared" ca="1" si="0"/>
        <v>Paint - Blue-2T</v>
      </c>
      <c r="D23" s="2" t="s">
        <v>883</v>
      </c>
      <c r="E23" s="2" t="s">
        <v>884</v>
      </c>
      <c r="G23">
        <v>1</v>
      </c>
      <c r="H23">
        <f t="shared" ca="1" si="1"/>
        <v>8353.8076232434159</v>
      </c>
      <c r="I23">
        <v>34521277</v>
      </c>
      <c r="J23">
        <f t="shared" ca="1" si="2"/>
        <v>700</v>
      </c>
      <c r="R23" t="s">
        <v>391</v>
      </c>
    </row>
    <row r="24" spans="1:18" x14ac:dyDescent="0.35">
      <c r="A24">
        <v>76891213164</v>
      </c>
      <c r="B24" t="str">
        <f t="shared" ca="1" si="0"/>
        <v>HL Mountain Frame - Black, 42-1T</v>
      </c>
      <c r="D24" s="2" t="s">
        <v>883</v>
      </c>
      <c r="E24" s="2" t="s">
        <v>884</v>
      </c>
      <c r="G24">
        <v>1</v>
      </c>
      <c r="H24">
        <f t="shared" ca="1" si="1"/>
        <v>7433.8159765817927</v>
      </c>
      <c r="I24">
        <v>34521278</v>
      </c>
      <c r="J24">
        <f t="shared" ca="1" si="2"/>
        <v>100</v>
      </c>
      <c r="R24" t="s">
        <v>392</v>
      </c>
    </row>
    <row r="25" spans="1:18" x14ac:dyDescent="0.35">
      <c r="A25">
        <v>76891213165</v>
      </c>
      <c r="B25" t="str">
        <f t="shared" ca="1" si="0"/>
        <v>Road Bottle Cage-8S</v>
      </c>
      <c r="D25" s="2" t="s">
        <v>883</v>
      </c>
      <c r="E25" s="2" t="s">
        <v>884</v>
      </c>
      <c r="G25">
        <v>1</v>
      </c>
      <c r="H25">
        <f t="shared" ca="1" si="1"/>
        <v>782.28839874338189</v>
      </c>
      <c r="I25">
        <v>34521279</v>
      </c>
      <c r="J25">
        <f t="shared" ca="1" si="2"/>
        <v>1000</v>
      </c>
      <c r="R25" t="s">
        <v>393</v>
      </c>
    </row>
    <row r="26" spans="1:18" x14ac:dyDescent="0.35">
      <c r="A26">
        <v>76891213166</v>
      </c>
      <c r="B26" t="str">
        <f t="shared" ca="1" si="0"/>
        <v>Mountain-300 Black, 40-10Z</v>
      </c>
      <c r="D26" s="2" t="s">
        <v>883</v>
      </c>
      <c r="E26" s="2" t="s">
        <v>884</v>
      </c>
      <c r="G26">
        <v>1</v>
      </c>
      <c r="H26">
        <f t="shared" ca="1" si="1"/>
        <v>8772.6347437385975</v>
      </c>
      <c r="I26">
        <v>34521280</v>
      </c>
      <c r="J26">
        <f t="shared" ca="1" si="2"/>
        <v>100</v>
      </c>
      <c r="R26" t="s">
        <v>394</v>
      </c>
    </row>
    <row r="27" spans="1:18" x14ac:dyDescent="0.35">
      <c r="A27">
        <v>76891213167</v>
      </c>
      <c r="B27" t="str">
        <f t="shared" ca="1" si="0"/>
        <v>Pinch Bolt-10Z</v>
      </c>
      <c r="D27" s="2" t="s">
        <v>883</v>
      </c>
      <c r="E27" s="2" t="s">
        <v>884</v>
      </c>
      <c r="G27">
        <v>1</v>
      </c>
      <c r="H27">
        <f t="shared" ca="1" si="1"/>
        <v>6078.0406975240512</v>
      </c>
      <c r="I27">
        <v>34521281</v>
      </c>
      <c r="J27">
        <f t="shared" ca="1" si="2"/>
        <v>200</v>
      </c>
      <c r="R27" t="s">
        <v>395</v>
      </c>
    </row>
    <row r="28" spans="1:18" x14ac:dyDescent="0.35">
      <c r="A28">
        <v>76891213168</v>
      </c>
      <c r="B28" t="str">
        <f t="shared" ca="1" si="0"/>
        <v>Fork Crown-8S</v>
      </c>
      <c r="D28" s="2" t="s">
        <v>883</v>
      </c>
      <c r="E28" s="2" t="s">
        <v>884</v>
      </c>
      <c r="G28">
        <v>1</v>
      </c>
      <c r="H28">
        <f t="shared" ca="1" si="1"/>
        <v>1428.4461535663661</v>
      </c>
      <c r="I28">
        <v>34521282</v>
      </c>
      <c r="J28">
        <f t="shared" ca="1" si="2"/>
        <v>600</v>
      </c>
      <c r="R28" t="s">
        <v>396</v>
      </c>
    </row>
    <row r="29" spans="1:18" x14ac:dyDescent="0.35">
      <c r="A29">
        <v>76891213169</v>
      </c>
      <c r="B29" t="str">
        <f t="shared" ca="1" si="0"/>
        <v>Seat Post-6S</v>
      </c>
      <c r="D29" s="2" t="s">
        <v>883</v>
      </c>
      <c r="E29" s="2" t="s">
        <v>884</v>
      </c>
      <c r="G29">
        <v>1</v>
      </c>
      <c r="H29">
        <f t="shared" ca="1" si="1"/>
        <v>1750.9223085517885</v>
      </c>
      <c r="I29">
        <v>34521283</v>
      </c>
      <c r="J29">
        <f t="shared" ca="1" si="2"/>
        <v>400</v>
      </c>
      <c r="R29" t="s">
        <v>397</v>
      </c>
    </row>
    <row r="30" spans="1:18" x14ac:dyDescent="0.35">
      <c r="A30">
        <v>76891213170</v>
      </c>
      <c r="B30" t="str">
        <f t="shared" ca="1" si="0"/>
        <v>Half-Finger Gloves, M-9Z</v>
      </c>
      <c r="D30" s="2" t="s">
        <v>883</v>
      </c>
      <c r="E30" s="2" t="s">
        <v>884</v>
      </c>
      <c r="G30">
        <v>1</v>
      </c>
      <c r="H30">
        <f t="shared" ca="1" si="1"/>
        <v>1489.3829055012839</v>
      </c>
      <c r="I30">
        <v>34521284</v>
      </c>
      <c r="J30">
        <f t="shared" ca="1" si="2"/>
        <v>900</v>
      </c>
      <c r="R30" t="s">
        <v>398</v>
      </c>
    </row>
    <row r="31" spans="1:18" x14ac:dyDescent="0.35">
      <c r="A31">
        <v>76891213171</v>
      </c>
      <c r="B31" t="str">
        <f t="shared" ca="1" si="0"/>
        <v>Road-250 Black, 44-1T</v>
      </c>
      <c r="D31" s="2" t="s">
        <v>883</v>
      </c>
      <c r="E31" s="2" t="s">
        <v>884</v>
      </c>
      <c r="G31">
        <v>1</v>
      </c>
      <c r="H31">
        <f t="shared" ca="1" si="1"/>
        <v>2108.5600192484262</v>
      </c>
      <c r="I31">
        <v>34521285</v>
      </c>
      <c r="J31">
        <f t="shared" ca="1" si="2"/>
        <v>700</v>
      </c>
      <c r="R31" t="s">
        <v>399</v>
      </c>
    </row>
    <row r="32" spans="1:18" x14ac:dyDescent="0.35">
      <c r="A32">
        <v>76891213172</v>
      </c>
      <c r="B32" t="str">
        <f t="shared" ca="1" si="0"/>
        <v>HL Mountain Frame - Black, 48-6S</v>
      </c>
      <c r="D32" s="2" t="s">
        <v>883</v>
      </c>
      <c r="E32" s="2" t="s">
        <v>884</v>
      </c>
      <c r="G32">
        <v>1</v>
      </c>
      <c r="H32">
        <f t="shared" ca="1" si="1"/>
        <v>942.3837622618131</v>
      </c>
      <c r="I32">
        <v>34521286</v>
      </c>
      <c r="J32">
        <f t="shared" ca="1" si="2"/>
        <v>800</v>
      </c>
      <c r="R32" t="s">
        <v>400</v>
      </c>
    </row>
    <row r="33" spans="1:18" x14ac:dyDescent="0.35">
      <c r="A33">
        <v>76891213173</v>
      </c>
      <c r="B33" t="str">
        <f t="shared" ca="1" si="0"/>
        <v>ML Mountain Frame-W - Silver, 40-8S</v>
      </c>
      <c r="D33" s="2" t="s">
        <v>883</v>
      </c>
      <c r="E33" s="2" t="s">
        <v>884</v>
      </c>
      <c r="G33">
        <v>1</v>
      </c>
      <c r="H33">
        <f t="shared" ca="1" si="1"/>
        <v>5579.6735499506967</v>
      </c>
      <c r="I33">
        <v>34521287</v>
      </c>
      <c r="J33">
        <f t="shared" ca="1" si="2"/>
        <v>700</v>
      </c>
      <c r="R33" t="s">
        <v>401</v>
      </c>
    </row>
    <row r="34" spans="1:18" x14ac:dyDescent="0.35">
      <c r="A34">
        <v>76891213174</v>
      </c>
      <c r="B34" t="str">
        <f t="shared" ca="1" si="0"/>
        <v>Internal Lock Washer 6-3T</v>
      </c>
      <c r="D34" s="2" t="s">
        <v>883</v>
      </c>
      <c r="E34" s="2" t="s">
        <v>884</v>
      </c>
      <c r="G34">
        <v>1</v>
      </c>
      <c r="H34">
        <f t="shared" ca="1" si="1"/>
        <v>3971.755790241577</v>
      </c>
      <c r="I34">
        <v>34521288</v>
      </c>
      <c r="J34">
        <f t="shared" ca="1" si="2"/>
        <v>600</v>
      </c>
      <c r="R34" t="s">
        <v>402</v>
      </c>
    </row>
    <row r="35" spans="1:18" x14ac:dyDescent="0.35">
      <c r="A35">
        <v>76891213175</v>
      </c>
      <c r="B35" t="str">
        <f t="shared" ca="1" si="0"/>
        <v>LL Road Frame - Black, 62-6S</v>
      </c>
      <c r="D35" s="2" t="s">
        <v>883</v>
      </c>
      <c r="E35" s="2" t="s">
        <v>884</v>
      </c>
      <c r="G35">
        <v>1</v>
      </c>
      <c r="H35">
        <f t="shared" ca="1" si="1"/>
        <v>8239.6279667406998</v>
      </c>
      <c r="I35">
        <v>34521289</v>
      </c>
      <c r="J35">
        <f t="shared" ca="1" si="2"/>
        <v>800</v>
      </c>
      <c r="R35" t="s">
        <v>403</v>
      </c>
    </row>
    <row r="36" spans="1:18" x14ac:dyDescent="0.35">
      <c r="A36">
        <v>76891213176</v>
      </c>
      <c r="B36" t="str">
        <f t="shared" ca="1" si="0"/>
        <v>HL Road Frame - Red, 56-9Z</v>
      </c>
      <c r="D36" s="2" t="s">
        <v>883</v>
      </c>
      <c r="E36" s="2" t="s">
        <v>884</v>
      </c>
      <c r="G36">
        <v>1</v>
      </c>
      <c r="H36">
        <f t="shared" ca="1" si="1"/>
        <v>7307.4100843756351</v>
      </c>
      <c r="I36">
        <v>34521290</v>
      </c>
      <c r="J36">
        <f t="shared" ca="1" si="2"/>
        <v>900</v>
      </c>
      <c r="R36" t="s">
        <v>404</v>
      </c>
    </row>
    <row r="37" spans="1:18" x14ac:dyDescent="0.35">
      <c r="A37">
        <v>76891213177</v>
      </c>
      <c r="B37" t="str">
        <f t="shared" ca="1" si="0"/>
        <v>HL Road Frame - Red, 62-8S</v>
      </c>
      <c r="D37" s="2" t="s">
        <v>883</v>
      </c>
      <c r="E37" s="2" t="s">
        <v>884</v>
      </c>
      <c r="G37">
        <v>1</v>
      </c>
      <c r="H37">
        <f t="shared" ca="1" si="1"/>
        <v>8523.4521661003673</v>
      </c>
      <c r="I37">
        <v>34521291</v>
      </c>
      <c r="J37">
        <f t="shared" ca="1" si="2"/>
        <v>500</v>
      </c>
      <c r="R37" t="s">
        <v>405</v>
      </c>
    </row>
    <row r="38" spans="1:18" x14ac:dyDescent="0.35">
      <c r="A38">
        <v>76891213178</v>
      </c>
      <c r="B38" t="str">
        <f t="shared" ca="1" si="0"/>
        <v>Mountain-400-W Silver, 46-8S</v>
      </c>
      <c r="D38" s="2" t="s">
        <v>883</v>
      </c>
      <c r="E38" s="2" t="s">
        <v>884</v>
      </c>
      <c r="G38">
        <v>1</v>
      </c>
      <c r="H38">
        <f t="shared" ca="1" si="1"/>
        <v>2256.6727435914268</v>
      </c>
      <c r="I38">
        <v>34521292</v>
      </c>
      <c r="J38">
        <f t="shared" ca="1" si="2"/>
        <v>100</v>
      </c>
      <c r="R38" t="s">
        <v>406</v>
      </c>
    </row>
    <row r="39" spans="1:18" x14ac:dyDescent="0.35">
      <c r="A39">
        <v>76891213179</v>
      </c>
      <c r="B39" t="str">
        <f t="shared" ca="1" si="0"/>
        <v>HL Mountain Frame - Silver, 46-8S</v>
      </c>
      <c r="D39" s="2" t="s">
        <v>883</v>
      </c>
      <c r="E39" s="2" t="s">
        <v>884</v>
      </c>
      <c r="G39">
        <v>1</v>
      </c>
      <c r="H39">
        <f t="shared" ca="1" si="1"/>
        <v>6832.2348521988297</v>
      </c>
      <c r="I39">
        <v>34521293</v>
      </c>
      <c r="J39">
        <f t="shared" ca="1" si="2"/>
        <v>500</v>
      </c>
      <c r="R39" t="s">
        <v>407</v>
      </c>
    </row>
    <row r="40" spans="1:18" x14ac:dyDescent="0.35">
      <c r="A40">
        <v>76891213180</v>
      </c>
      <c r="B40" t="str">
        <f t="shared" ca="1" si="0"/>
        <v>LL Bottom Bracket-10Z</v>
      </c>
      <c r="D40" s="2" t="s">
        <v>883</v>
      </c>
      <c r="E40" s="2" t="s">
        <v>884</v>
      </c>
      <c r="G40">
        <v>1</v>
      </c>
      <c r="H40">
        <f t="shared" ca="1" si="1"/>
        <v>3521.2371052414392</v>
      </c>
      <c r="I40">
        <v>34521294</v>
      </c>
      <c r="J40">
        <f t="shared" ca="1" si="2"/>
        <v>900</v>
      </c>
      <c r="R40" t="s">
        <v>408</v>
      </c>
    </row>
    <row r="41" spans="1:18" x14ac:dyDescent="0.35">
      <c r="A41">
        <v>76891213181</v>
      </c>
      <c r="B41" t="str">
        <f t="shared" ca="1" si="0"/>
        <v>LL Road Frame - Black, 48-1T</v>
      </c>
      <c r="D41" s="2" t="s">
        <v>883</v>
      </c>
      <c r="E41" s="2" t="s">
        <v>884</v>
      </c>
      <c r="G41">
        <v>1</v>
      </c>
      <c r="H41">
        <f t="shared" ca="1" si="1"/>
        <v>9557.507025574856</v>
      </c>
      <c r="I41">
        <v>34521295</v>
      </c>
      <c r="J41">
        <f t="shared" ca="1" si="2"/>
        <v>300</v>
      </c>
      <c r="R41" t="s">
        <v>409</v>
      </c>
    </row>
    <row r="42" spans="1:18" x14ac:dyDescent="0.35">
      <c r="A42">
        <v>76891213182</v>
      </c>
      <c r="B42" t="str">
        <f t="shared" ca="1" si="0"/>
        <v>Touring-Panniers, Large-2T</v>
      </c>
      <c r="D42" s="2" t="s">
        <v>883</v>
      </c>
      <c r="E42" s="2" t="s">
        <v>884</v>
      </c>
      <c r="G42">
        <v>1</v>
      </c>
      <c r="H42">
        <f t="shared" ca="1" si="1"/>
        <v>6993.4676440309404</v>
      </c>
      <c r="I42">
        <v>34521296</v>
      </c>
      <c r="J42">
        <f t="shared" ca="1" si="2"/>
        <v>100</v>
      </c>
      <c r="R42" t="s">
        <v>410</v>
      </c>
    </row>
    <row r="43" spans="1:18" x14ac:dyDescent="0.35">
      <c r="A43">
        <v>76891213183</v>
      </c>
      <c r="B43" t="str">
        <f t="shared" ca="1" si="0"/>
        <v>Seat Stays-6S</v>
      </c>
      <c r="D43" s="2" t="s">
        <v>883</v>
      </c>
      <c r="E43" s="2" t="s">
        <v>884</v>
      </c>
      <c r="G43">
        <v>1</v>
      </c>
      <c r="H43">
        <f t="shared" ca="1" si="1"/>
        <v>4515.1780100847882</v>
      </c>
      <c r="I43">
        <v>34521297</v>
      </c>
      <c r="J43">
        <f t="shared" ca="1" si="2"/>
        <v>500</v>
      </c>
      <c r="R43" t="s">
        <v>411</v>
      </c>
    </row>
    <row r="44" spans="1:18" x14ac:dyDescent="0.35">
      <c r="A44">
        <v>76891213184</v>
      </c>
      <c r="B44" t="str">
        <f t="shared" ca="1" si="0"/>
        <v>Thin-Jam Lock Nut 14-3T</v>
      </c>
      <c r="D44" s="2" t="s">
        <v>883</v>
      </c>
      <c r="E44" s="2" t="s">
        <v>884</v>
      </c>
      <c r="G44">
        <v>1</v>
      </c>
      <c r="H44">
        <f t="shared" ca="1" si="1"/>
        <v>5805.1190284202921</v>
      </c>
      <c r="I44">
        <v>34521298</v>
      </c>
      <c r="J44">
        <f t="shared" ca="1" si="2"/>
        <v>700</v>
      </c>
      <c r="R44" t="s">
        <v>412</v>
      </c>
    </row>
    <row r="45" spans="1:18" x14ac:dyDescent="0.35">
      <c r="A45">
        <v>76891213185</v>
      </c>
      <c r="B45" t="str">
        <f t="shared" ca="1" si="0"/>
        <v>Mountain-200 Black, 46-8S</v>
      </c>
      <c r="D45" s="2" t="s">
        <v>883</v>
      </c>
      <c r="E45" s="2" t="s">
        <v>884</v>
      </c>
      <c r="G45">
        <v>1</v>
      </c>
      <c r="H45">
        <f t="shared" ca="1" si="1"/>
        <v>3505.4054103103044</v>
      </c>
      <c r="I45">
        <v>34521299</v>
      </c>
      <c r="J45">
        <f t="shared" ca="1" si="2"/>
        <v>600</v>
      </c>
      <c r="R45" t="s">
        <v>413</v>
      </c>
    </row>
    <row r="46" spans="1:18" x14ac:dyDescent="0.35">
      <c r="A46">
        <v>76891213186</v>
      </c>
      <c r="B46" t="str">
        <f t="shared" ca="1" si="0"/>
        <v>Lock Nut 4-10Z</v>
      </c>
      <c r="D46" s="2" t="s">
        <v>883</v>
      </c>
      <c r="E46" s="2" t="s">
        <v>884</v>
      </c>
      <c r="G46">
        <v>1</v>
      </c>
      <c r="H46">
        <f t="shared" ca="1" si="1"/>
        <v>9814.0624540391254</v>
      </c>
      <c r="I46">
        <v>34521300</v>
      </c>
      <c r="J46">
        <f t="shared" ca="1" si="2"/>
        <v>300</v>
      </c>
      <c r="R46" t="s">
        <v>414</v>
      </c>
    </row>
    <row r="47" spans="1:18" x14ac:dyDescent="0.35">
      <c r="A47">
        <v>76891213187</v>
      </c>
      <c r="B47" t="str">
        <f t="shared" ca="1" si="0"/>
        <v>Road-450 Red, 48-1T</v>
      </c>
      <c r="D47" s="2" t="s">
        <v>883</v>
      </c>
      <c r="E47" s="2" t="s">
        <v>884</v>
      </c>
      <c r="G47">
        <v>1</v>
      </c>
      <c r="H47">
        <f t="shared" ca="1" si="1"/>
        <v>9230.4715911830135</v>
      </c>
      <c r="I47">
        <v>34521301</v>
      </c>
      <c r="J47">
        <f t="shared" ca="1" si="2"/>
        <v>400</v>
      </c>
      <c r="R47" t="s">
        <v>415</v>
      </c>
    </row>
    <row r="48" spans="1:18" x14ac:dyDescent="0.35">
      <c r="A48">
        <v>76891213188</v>
      </c>
      <c r="B48" t="str">
        <f t="shared" ca="1" si="0"/>
        <v>LL Road Frame - Red, 62-8S</v>
      </c>
      <c r="D48" s="2" t="s">
        <v>883</v>
      </c>
      <c r="E48" s="2" t="s">
        <v>884</v>
      </c>
      <c r="G48">
        <v>1</v>
      </c>
      <c r="H48">
        <f t="shared" ca="1" si="1"/>
        <v>4560.9730201131779</v>
      </c>
      <c r="I48">
        <v>34521302</v>
      </c>
      <c r="J48">
        <f t="shared" ca="1" si="2"/>
        <v>400</v>
      </c>
      <c r="R48" t="s">
        <v>416</v>
      </c>
    </row>
    <row r="49" spans="1:18" x14ac:dyDescent="0.35">
      <c r="A49">
        <v>76891213189</v>
      </c>
      <c r="B49" t="str">
        <f t="shared" ca="1" si="0"/>
        <v>Touring Tire-1T</v>
      </c>
      <c r="D49" s="2" t="s">
        <v>883</v>
      </c>
      <c r="E49" s="2" t="s">
        <v>884</v>
      </c>
      <c r="G49">
        <v>1</v>
      </c>
      <c r="H49">
        <f t="shared" ca="1" si="1"/>
        <v>5776.9207620859061</v>
      </c>
      <c r="I49">
        <v>34521303</v>
      </c>
      <c r="J49">
        <f t="shared" ca="1" si="2"/>
        <v>1000</v>
      </c>
      <c r="R49" t="s">
        <v>417</v>
      </c>
    </row>
    <row r="50" spans="1:18" x14ac:dyDescent="0.35">
      <c r="A50">
        <v>76891213190</v>
      </c>
      <c r="B50" t="str">
        <f t="shared" ca="1" si="0"/>
        <v>Short-Sleeve Classic Jersey, XL-3T</v>
      </c>
      <c r="D50" s="2" t="s">
        <v>883</v>
      </c>
      <c r="E50" s="2" t="s">
        <v>884</v>
      </c>
      <c r="G50">
        <v>1</v>
      </c>
      <c r="H50">
        <f t="shared" ca="1" si="1"/>
        <v>2487.2197753691553</v>
      </c>
      <c r="I50">
        <v>34521304</v>
      </c>
      <c r="J50">
        <f t="shared" ca="1" si="2"/>
        <v>300</v>
      </c>
      <c r="R50" t="s">
        <v>418</v>
      </c>
    </row>
    <row r="51" spans="1:18" x14ac:dyDescent="0.35">
      <c r="A51">
        <v>76891213191</v>
      </c>
      <c r="B51" t="str">
        <f t="shared" ca="1" si="0"/>
        <v>Thin-Jam Hex Nut 9-8S</v>
      </c>
      <c r="D51" s="2" t="s">
        <v>883</v>
      </c>
      <c r="E51" s="2" t="s">
        <v>884</v>
      </c>
      <c r="G51">
        <v>1</v>
      </c>
      <c r="H51">
        <f t="shared" ca="1" si="1"/>
        <v>6690.2041643424755</v>
      </c>
      <c r="I51">
        <v>34521305</v>
      </c>
      <c r="J51">
        <f t="shared" ca="1" si="2"/>
        <v>600</v>
      </c>
      <c r="R51" t="s">
        <v>419</v>
      </c>
    </row>
    <row r="52" spans="1:18" x14ac:dyDescent="0.35">
      <c r="A52">
        <v>76891213192</v>
      </c>
      <c r="B52" t="str">
        <f t="shared" ca="1" si="0"/>
        <v>Patch Kit/8 Patches-8S</v>
      </c>
      <c r="D52" s="2" t="s">
        <v>883</v>
      </c>
      <c r="E52" s="2" t="s">
        <v>884</v>
      </c>
      <c r="G52">
        <v>1</v>
      </c>
      <c r="H52">
        <f t="shared" ca="1" si="1"/>
        <v>6234.1103190362737</v>
      </c>
      <c r="I52">
        <v>34521306</v>
      </c>
      <c r="J52">
        <f t="shared" ca="1" si="2"/>
        <v>700</v>
      </c>
      <c r="R52" t="s">
        <v>420</v>
      </c>
    </row>
    <row r="53" spans="1:18" x14ac:dyDescent="0.35">
      <c r="A53">
        <v>76891213193</v>
      </c>
      <c r="B53" t="str">
        <f t="shared" ca="1" si="0"/>
        <v>Lock Nut 11-10Z</v>
      </c>
      <c r="D53" s="2" t="s">
        <v>883</v>
      </c>
      <c r="E53" s="2" t="s">
        <v>884</v>
      </c>
      <c r="G53">
        <v>1</v>
      </c>
      <c r="H53">
        <f t="shared" ca="1" si="1"/>
        <v>6207.5236658812264</v>
      </c>
      <c r="I53">
        <v>34521307</v>
      </c>
      <c r="J53">
        <f t="shared" ca="1" si="2"/>
        <v>900</v>
      </c>
      <c r="R53" t="s">
        <v>421</v>
      </c>
    </row>
    <row r="54" spans="1:18" x14ac:dyDescent="0.35">
      <c r="A54">
        <v>76891213194</v>
      </c>
      <c r="B54" t="str">
        <f t="shared" ca="1" si="0"/>
        <v>Road-550-W Yellow, 42-3T</v>
      </c>
      <c r="D54" s="2" t="s">
        <v>883</v>
      </c>
      <c r="E54" s="2" t="s">
        <v>884</v>
      </c>
      <c r="G54">
        <v>1</v>
      </c>
      <c r="H54">
        <f t="shared" ca="1" si="1"/>
        <v>5025.963820946351</v>
      </c>
      <c r="I54">
        <v>34521308</v>
      </c>
      <c r="J54">
        <f t="shared" ca="1" si="2"/>
        <v>1000</v>
      </c>
      <c r="R54" t="s">
        <v>422</v>
      </c>
    </row>
    <row r="55" spans="1:18" x14ac:dyDescent="0.35">
      <c r="A55">
        <v>76891213195</v>
      </c>
      <c r="B55" t="str">
        <f t="shared" ca="1" si="0"/>
        <v>LL Road Frame - Black, 58-10Z</v>
      </c>
      <c r="D55" s="2" t="s">
        <v>883</v>
      </c>
      <c r="E55" s="2" t="s">
        <v>884</v>
      </c>
      <c r="G55">
        <v>1</v>
      </c>
      <c r="H55">
        <f t="shared" ca="1" si="1"/>
        <v>2949.5166215472982</v>
      </c>
      <c r="I55">
        <v>34521309</v>
      </c>
      <c r="J55">
        <f t="shared" ca="1" si="2"/>
        <v>1000</v>
      </c>
      <c r="R55" t="s">
        <v>423</v>
      </c>
    </row>
    <row r="56" spans="1:18" x14ac:dyDescent="0.35">
      <c r="A56">
        <v>76891213196</v>
      </c>
      <c r="B56" t="str">
        <f t="shared" ca="1" si="0"/>
        <v>Mountain-100 Black, 48-10Z</v>
      </c>
      <c r="D56" s="2" t="s">
        <v>883</v>
      </c>
      <c r="E56" s="2" t="s">
        <v>884</v>
      </c>
      <c r="G56">
        <v>1</v>
      </c>
      <c r="H56">
        <f t="shared" ca="1" si="1"/>
        <v>7032.7904576117289</v>
      </c>
      <c r="I56">
        <v>34521310</v>
      </c>
      <c r="J56">
        <f t="shared" ca="1" si="2"/>
        <v>500</v>
      </c>
      <c r="R56" t="s">
        <v>424</v>
      </c>
    </row>
    <row r="57" spans="1:18" x14ac:dyDescent="0.35">
      <c r="A57">
        <v>76891213197</v>
      </c>
      <c r="B57" t="str">
        <f t="shared" ca="1" si="0"/>
        <v>Mountain-200 Silver, 46-8S</v>
      </c>
      <c r="D57" s="2" t="s">
        <v>883</v>
      </c>
      <c r="E57" s="2" t="s">
        <v>884</v>
      </c>
      <c r="G57">
        <v>1</v>
      </c>
      <c r="H57">
        <f t="shared" ca="1" si="1"/>
        <v>2158.1221622330891</v>
      </c>
      <c r="I57">
        <v>34521311</v>
      </c>
      <c r="J57">
        <f t="shared" ca="1" si="2"/>
        <v>800</v>
      </c>
      <c r="R57" t="s">
        <v>425</v>
      </c>
    </row>
    <row r="58" spans="1:18" x14ac:dyDescent="0.35">
      <c r="A58">
        <v>76891213198</v>
      </c>
      <c r="B58" t="str">
        <f t="shared" ca="1" si="0"/>
        <v>LL Mountain Frame - Black, 40-10Z</v>
      </c>
      <c r="D58" s="2" t="s">
        <v>883</v>
      </c>
      <c r="E58" s="2" t="s">
        <v>884</v>
      </c>
      <c r="G58">
        <v>1</v>
      </c>
      <c r="H58">
        <f t="shared" ca="1" si="1"/>
        <v>137.73349163160216</v>
      </c>
      <c r="I58">
        <v>34521312</v>
      </c>
      <c r="J58">
        <f t="shared" ca="1" si="2"/>
        <v>200</v>
      </c>
      <c r="R58" t="s">
        <v>426</v>
      </c>
    </row>
    <row r="59" spans="1:18" x14ac:dyDescent="0.35">
      <c r="A59">
        <v>76891213199</v>
      </c>
      <c r="B59" t="str">
        <f t="shared" ca="1" si="0"/>
        <v>Decal 2-8S</v>
      </c>
      <c r="D59" s="2" t="s">
        <v>883</v>
      </c>
      <c r="E59" s="2" t="s">
        <v>884</v>
      </c>
      <c r="G59">
        <v>1</v>
      </c>
      <c r="H59">
        <f t="shared" ca="1" si="1"/>
        <v>9847.8601789486402</v>
      </c>
      <c r="I59">
        <v>34521313</v>
      </c>
      <c r="J59">
        <f t="shared" ca="1" si="2"/>
        <v>200</v>
      </c>
      <c r="R59" t="s">
        <v>427</v>
      </c>
    </row>
    <row r="60" spans="1:18" x14ac:dyDescent="0.35">
      <c r="A60">
        <v>76891213200</v>
      </c>
      <c r="B60" t="str">
        <f t="shared" ca="1" si="0"/>
        <v>Thin-Jam Lock Nut 2-8S</v>
      </c>
      <c r="D60" s="2" t="s">
        <v>883</v>
      </c>
      <c r="E60" s="2" t="s">
        <v>884</v>
      </c>
      <c r="G60">
        <v>1</v>
      </c>
      <c r="H60">
        <f t="shared" ca="1" si="1"/>
        <v>6550.2153182368647</v>
      </c>
      <c r="I60">
        <v>34521314</v>
      </c>
      <c r="J60">
        <f t="shared" ca="1" si="2"/>
        <v>600</v>
      </c>
      <c r="R60" t="s">
        <v>428</v>
      </c>
    </row>
    <row r="61" spans="1:18" x14ac:dyDescent="0.35">
      <c r="A61">
        <v>76891213201</v>
      </c>
      <c r="B61" t="str">
        <f t="shared" ca="1" si="0"/>
        <v>HL Road Frame - Black, 48-9Z</v>
      </c>
      <c r="D61" s="2" t="s">
        <v>883</v>
      </c>
      <c r="E61" s="2" t="s">
        <v>884</v>
      </c>
      <c r="G61">
        <v>1</v>
      </c>
      <c r="H61">
        <f t="shared" ca="1" si="1"/>
        <v>6682.2142517924858</v>
      </c>
      <c r="I61">
        <v>34521315</v>
      </c>
      <c r="J61">
        <f t="shared" ca="1" si="2"/>
        <v>200</v>
      </c>
      <c r="R61" t="s">
        <v>429</v>
      </c>
    </row>
    <row r="62" spans="1:18" x14ac:dyDescent="0.35">
      <c r="A62">
        <v>76891213202</v>
      </c>
      <c r="B62" t="str">
        <f t="shared" ca="1" si="0"/>
        <v>LL Bottom Bracket-6S</v>
      </c>
      <c r="D62" s="2" t="s">
        <v>883</v>
      </c>
      <c r="E62" s="2" t="s">
        <v>884</v>
      </c>
      <c r="G62">
        <v>1</v>
      </c>
      <c r="H62">
        <f t="shared" ca="1" si="1"/>
        <v>2347.1157697369686</v>
      </c>
      <c r="I62">
        <v>34521316</v>
      </c>
      <c r="J62">
        <f t="shared" ca="1" si="2"/>
        <v>400</v>
      </c>
      <c r="R62" t="s">
        <v>430</v>
      </c>
    </row>
    <row r="63" spans="1:18" x14ac:dyDescent="0.35">
      <c r="A63">
        <v>76891213203</v>
      </c>
      <c r="B63" t="str">
        <f t="shared" ca="1" si="0"/>
        <v>Mountain-100 Black, 44-9Z</v>
      </c>
      <c r="D63" s="2" t="s">
        <v>883</v>
      </c>
      <c r="E63" s="2" t="s">
        <v>884</v>
      </c>
      <c r="G63">
        <v>1</v>
      </c>
      <c r="H63">
        <f t="shared" ca="1" si="1"/>
        <v>9569.6271266199019</v>
      </c>
      <c r="I63">
        <v>34521317</v>
      </c>
      <c r="J63">
        <f t="shared" ca="1" si="2"/>
        <v>800</v>
      </c>
      <c r="R63" t="s">
        <v>431</v>
      </c>
    </row>
    <row r="64" spans="1:18" x14ac:dyDescent="0.35">
      <c r="A64">
        <v>76891213204</v>
      </c>
      <c r="B64" t="str">
        <f t="shared" ca="1" si="0"/>
        <v>Sport-100 Helmet, Black-8S</v>
      </c>
      <c r="D64" s="2" t="s">
        <v>883</v>
      </c>
      <c r="E64" s="2" t="s">
        <v>884</v>
      </c>
      <c r="G64">
        <v>1</v>
      </c>
      <c r="H64">
        <f t="shared" ca="1" si="1"/>
        <v>463.02454813375948</v>
      </c>
      <c r="I64">
        <v>34521318</v>
      </c>
      <c r="J64">
        <f t="shared" ca="1" si="2"/>
        <v>300</v>
      </c>
      <c r="R64" t="s">
        <v>432</v>
      </c>
    </row>
    <row r="65" spans="1:18" x14ac:dyDescent="0.35">
      <c r="A65">
        <v>76891213205</v>
      </c>
      <c r="B65" t="str">
        <f t="shared" ca="1" si="0"/>
        <v>HL Touring Frame - Yellow, 46-8S</v>
      </c>
      <c r="D65" s="2" t="s">
        <v>883</v>
      </c>
      <c r="E65" s="2" t="s">
        <v>884</v>
      </c>
      <c r="G65">
        <v>1</v>
      </c>
      <c r="H65">
        <f t="shared" ca="1" si="1"/>
        <v>1670.4985770976355</v>
      </c>
      <c r="I65">
        <v>34521319</v>
      </c>
      <c r="J65">
        <f t="shared" ca="1" si="2"/>
        <v>700</v>
      </c>
      <c r="R65" t="s">
        <v>433</v>
      </c>
    </row>
    <row r="66" spans="1:18" x14ac:dyDescent="0.35">
      <c r="A66">
        <v>76891213206</v>
      </c>
      <c r="B66" t="str">
        <f t="shared" ref="B66:B129" ca="1" si="3">INDEX($R$4:$R$609,RANDBETWEEN(1,606))&amp;"-"&amp;INDEX($S$4:$S$10,RANDBETWEEN(1,7))</f>
        <v>HL Road Frame - Red, 52-8S</v>
      </c>
      <c r="D66" s="2" t="s">
        <v>883</v>
      </c>
      <c r="E66" s="2" t="s">
        <v>884</v>
      </c>
      <c r="G66">
        <v>1</v>
      </c>
      <c r="H66">
        <f t="shared" ca="1" si="1"/>
        <v>9040.8644747112157</v>
      </c>
      <c r="I66">
        <v>34521320</v>
      </c>
      <c r="J66">
        <f t="shared" ca="1" si="2"/>
        <v>500</v>
      </c>
      <c r="R66" t="s">
        <v>434</v>
      </c>
    </row>
    <row r="67" spans="1:18" x14ac:dyDescent="0.35">
      <c r="A67">
        <v>76891213207</v>
      </c>
      <c r="B67" t="str">
        <f t="shared" ca="1" si="3"/>
        <v>Seat Lug-2T</v>
      </c>
      <c r="D67" s="2" t="s">
        <v>883</v>
      </c>
      <c r="E67" s="2" t="s">
        <v>884</v>
      </c>
      <c r="G67">
        <v>1</v>
      </c>
      <c r="H67">
        <f t="shared" ref="H67:H130" ca="1" si="4">RANDBETWEEN(100,10000)+RAND()</f>
        <v>7360.5773727524474</v>
      </c>
      <c r="I67">
        <v>34521321</v>
      </c>
      <c r="J67">
        <f t="shared" ref="J67:J130" ca="1" si="5">INDEX($O$3:$O$12,RANDBETWEEN(1,10))</f>
        <v>1000</v>
      </c>
      <c r="R67" t="s">
        <v>435</v>
      </c>
    </row>
    <row r="68" spans="1:18" x14ac:dyDescent="0.35">
      <c r="A68">
        <v>76891213208</v>
      </c>
      <c r="B68" t="str">
        <f t="shared" ca="1" si="3"/>
        <v>ML Mountain Frame-W - Silver, 40-2T</v>
      </c>
      <c r="D68" s="2" t="s">
        <v>883</v>
      </c>
      <c r="E68" s="2" t="s">
        <v>884</v>
      </c>
      <c r="G68">
        <v>1</v>
      </c>
      <c r="H68">
        <f t="shared" ca="1" si="4"/>
        <v>657.49966460879534</v>
      </c>
      <c r="I68">
        <v>34521322</v>
      </c>
      <c r="J68">
        <f t="shared" ca="1" si="5"/>
        <v>500</v>
      </c>
      <c r="R68" t="s">
        <v>436</v>
      </c>
    </row>
    <row r="69" spans="1:18" x14ac:dyDescent="0.35">
      <c r="A69">
        <v>76891213209</v>
      </c>
      <c r="B69" t="str">
        <f t="shared" ca="1" si="3"/>
        <v>Thin-Jam Hex Nut 8-1T</v>
      </c>
      <c r="D69" s="2" t="s">
        <v>883</v>
      </c>
      <c r="E69" s="2" t="s">
        <v>884</v>
      </c>
      <c r="G69">
        <v>1</v>
      </c>
      <c r="H69">
        <f t="shared" ca="1" si="4"/>
        <v>6018.1993043939055</v>
      </c>
      <c r="I69">
        <v>34521323</v>
      </c>
      <c r="J69">
        <f t="shared" ca="1" si="5"/>
        <v>800</v>
      </c>
      <c r="R69" t="s">
        <v>437</v>
      </c>
    </row>
    <row r="70" spans="1:18" x14ac:dyDescent="0.35">
      <c r="A70">
        <v>76891213210</v>
      </c>
      <c r="B70" t="str">
        <f t="shared" ca="1" si="3"/>
        <v>HL Touring Frame - Blue, 54-6S</v>
      </c>
      <c r="D70" s="2" t="s">
        <v>883</v>
      </c>
      <c r="E70" s="2" t="s">
        <v>884</v>
      </c>
      <c r="G70">
        <v>1</v>
      </c>
      <c r="H70">
        <f t="shared" ca="1" si="4"/>
        <v>2049.2315909139547</v>
      </c>
      <c r="I70">
        <v>34521324</v>
      </c>
      <c r="J70">
        <f t="shared" ca="1" si="5"/>
        <v>700</v>
      </c>
      <c r="R70" t="s">
        <v>438</v>
      </c>
    </row>
    <row r="71" spans="1:18" x14ac:dyDescent="0.35">
      <c r="A71">
        <v>76891213211</v>
      </c>
      <c r="B71" t="str">
        <f t="shared" ca="1" si="3"/>
        <v>Lock Nut 23-1T</v>
      </c>
      <c r="D71" s="2" t="s">
        <v>883</v>
      </c>
      <c r="E71" s="2" t="s">
        <v>884</v>
      </c>
      <c r="G71">
        <v>1</v>
      </c>
      <c r="H71">
        <f t="shared" ca="1" si="4"/>
        <v>3046.1627384518633</v>
      </c>
      <c r="I71">
        <v>34521325</v>
      </c>
      <c r="J71">
        <f t="shared" ca="1" si="5"/>
        <v>900</v>
      </c>
      <c r="R71" t="s">
        <v>439</v>
      </c>
    </row>
    <row r="72" spans="1:18" x14ac:dyDescent="0.35">
      <c r="A72">
        <v>76891213212</v>
      </c>
      <c r="B72" t="str">
        <f t="shared" ca="1" si="3"/>
        <v>Road-650 Black, 58-8S</v>
      </c>
      <c r="D72" s="2" t="s">
        <v>883</v>
      </c>
      <c r="E72" s="2" t="s">
        <v>884</v>
      </c>
      <c r="G72">
        <v>1</v>
      </c>
      <c r="H72">
        <f t="shared" ca="1" si="4"/>
        <v>2083.2723648365518</v>
      </c>
      <c r="I72">
        <v>34521326</v>
      </c>
      <c r="J72">
        <f t="shared" ca="1" si="5"/>
        <v>200</v>
      </c>
      <c r="R72" t="s">
        <v>440</v>
      </c>
    </row>
    <row r="73" spans="1:18" x14ac:dyDescent="0.35">
      <c r="A73">
        <v>76891213213</v>
      </c>
      <c r="B73" t="str">
        <f t="shared" ca="1" si="3"/>
        <v>Mountain-300 Black, 40-8S</v>
      </c>
      <c r="D73" s="2" t="s">
        <v>883</v>
      </c>
      <c r="E73" s="2" t="s">
        <v>884</v>
      </c>
      <c r="G73">
        <v>1</v>
      </c>
      <c r="H73">
        <f t="shared" ca="1" si="4"/>
        <v>1235.2952885490945</v>
      </c>
      <c r="I73">
        <v>34521327</v>
      </c>
      <c r="J73">
        <f t="shared" ca="1" si="5"/>
        <v>100</v>
      </c>
      <c r="R73" t="s">
        <v>441</v>
      </c>
    </row>
    <row r="74" spans="1:18" x14ac:dyDescent="0.35">
      <c r="A74">
        <v>76891213214</v>
      </c>
      <c r="B74" t="str">
        <f t="shared" ca="1" si="3"/>
        <v>Lock Washer 1-10Z</v>
      </c>
      <c r="D74" s="2" t="s">
        <v>883</v>
      </c>
      <c r="E74" s="2" t="s">
        <v>884</v>
      </c>
      <c r="G74">
        <v>1</v>
      </c>
      <c r="H74">
        <f t="shared" ca="1" si="4"/>
        <v>3862.299244354836</v>
      </c>
      <c r="I74">
        <v>34521328</v>
      </c>
      <c r="J74">
        <f t="shared" ca="1" si="5"/>
        <v>100</v>
      </c>
      <c r="R74" t="s">
        <v>442</v>
      </c>
    </row>
    <row r="75" spans="1:18" x14ac:dyDescent="0.35">
      <c r="A75">
        <v>76891213215</v>
      </c>
      <c r="B75" t="str">
        <f t="shared" ca="1" si="3"/>
        <v>Road-550-W Yellow, 44-8S</v>
      </c>
      <c r="D75" s="2" t="s">
        <v>883</v>
      </c>
      <c r="E75" s="2" t="s">
        <v>884</v>
      </c>
      <c r="G75">
        <v>1</v>
      </c>
      <c r="H75">
        <f t="shared" ca="1" si="4"/>
        <v>2142.1644782232815</v>
      </c>
      <c r="I75">
        <v>34521329</v>
      </c>
      <c r="J75">
        <f t="shared" ca="1" si="5"/>
        <v>100</v>
      </c>
      <c r="R75" t="s">
        <v>443</v>
      </c>
    </row>
    <row r="76" spans="1:18" x14ac:dyDescent="0.35">
      <c r="A76">
        <v>76891213216</v>
      </c>
      <c r="B76" t="str">
        <f t="shared" ca="1" si="3"/>
        <v>ML Mountain Handlebars-2T</v>
      </c>
      <c r="D76" s="2" t="s">
        <v>883</v>
      </c>
      <c r="E76" s="2" t="s">
        <v>884</v>
      </c>
      <c r="G76">
        <v>1</v>
      </c>
      <c r="H76">
        <f t="shared" ca="1" si="4"/>
        <v>8641.0792627268274</v>
      </c>
      <c r="I76">
        <v>34521330</v>
      </c>
      <c r="J76">
        <f t="shared" ca="1" si="5"/>
        <v>900</v>
      </c>
      <c r="R76" t="s">
        <v>444</v>
      </c>
    </row>
    <row r="77" spans="1:18" x14ac:dyDescent="0.35">
      <c r="A77">
        <v>76891213217</v>
      </c>
      <c r="B77" t="str">
        <f t="shared" ca="1" si="3"/>
        <v>Headset Ball Bearings-10Z</v>
      </c>
      <c r="D77" s="2" t="s">
        <v>883</v>
      </c>
      <c r="E77" s="2" t="s">
        <v>884</v>
      </c>
      <c r="G77">
        <v>1</v>
      </c>
      <c r="H77">
        <f t="shared" ca="1" si="4"/>
        <v>352.68898151898452</v>
      </c>
      <c r="I77">
        <v>34521331</v>
      </c>
      <c r="J77">
        <f t="shared" ca="1" si="5"/>
        <v>400</v>
      </c>
      <c r="R77" t="s">
        <v>445</v>
      </c>
    </row>
    <row r="78" spans="1:18" x14ac:dyDescent="0.35">
      <c r="A78">
        <v>76891213218</v>
      </c>
      <c r="B78" t="str">
        <f t="shared" ca="1" si="3"/>
        <v>Lock Nut 3-3T</v>
      </c>
      <c r="D78" s="2" t="s">
        <v>883</v>
      </c>
      <c r="E78" s="2" t="s">
        <v>884</v>
      </c>
      <c r="G78">
        <v>1</v>
      </c>
      <c r="H78">
        <f t="shared" ca="1" si="4"/>
        <v>3349.9530911254865</v>
      </c>
      <c r="I78">
        <v>34521332</v>
      </c>
      <c r="J78">
        <f t="shared" ca="1" si="5"/>
        <v>400</v>
      </c>
      <c r="R78" t="s">
        <v>446</v>
      </c>
    </row>
    <row r="79" spans="1:18" x14ac:dyDescent="0.35">
      <c r="A79">
        <v>76891213219</v>
      </c>
      <c r="B79" t="str">
        <f t="shared" ca="1" si="3"/>
        <v>Paint - Blue-2T</v>
      </c>
      <c r="D79" s="2" t="s">
        <v>883</v>
      </c>
      <c r="E79" s="2" t="s">
        <v>884</v>
      </c>
      <c r="G79">
        <v>1</v>
      </c>
      <c r="H79">
        <f t="shared" ca="1" si="4"/>
        <v>660.79398870229625</v>
      </c>
      <c r="I79">
        <v>34521333</v>
      </c>
      <c r="J79">
        <f t="shared" ca="1" si="5"/>
        <v>500</v>
      </c>
      <c r="R79" t="s">
        <v>447</v>
      </c>
    </row>
    <row r="80" spans="1:18" x14ac:dyDescent="0.35">
      <c r="A80">
        <v>76891213220</v>
      </c>
      <c r="B80" t="str">
        <f t="shared" ca="1" si="3"/>
        <v>Road-550-W Yellow, 48-1T</v>
      </c>
      <c r="D80" s="2" t="s">
        <v>883</v>
      </c>
      <c r="E80" s="2" t="s">
        <v>884</v>
      </c>
      <c r="G80">
        <v>1</v>
      </c>
      <c r="H80">
        <f t="shared" ca="1" si="4"/>
        <v>2008.1764337227496</v>
      </c>
      <c r="I80">
        <v>34521334</v>
      </c>
      <c r="J80">
        <f t="shared" ca="1" si="5"/>
        <v>800</v>
      </c>
      <c r="R80" t="s">
        <v>448</v>
      </c>
    </row>
    <row r="81" spans="1:18" x14ac:dyDescent="0.35">
      <c r="A81">
        <v>76891213221</v>
      </c>
      <c r="B81" t="str">
        <f t="shared" ca="1" si="3"/>
        <v>Road-150 Red, 44-2T</v>
      </c>
      <c r="D81" s="2" t="s">
        <v>883</v>
      </c>
      <c r="E81" s="2" t="s">
        <v>884</v>
      </c>
      <c r="G81">
        <v>1</v>
      </c>
      <c r="H81">
        <f t="shared" ca="1" si="4"/>
        <v>5240.774053510655</v>
      </c>
      <c r="I81">
        <v>34521335</v>
      </c>
      <c r="J81">
        <f t="shared" ca="1" si="5"/>
        <v>200</v>
      </c>
      <c r="R81" t="s">
        <v>449</v>
      </c>
    </row>
    <row r="82" spans="1:18" x14ac:dyDescent="0.35">
      <c r="A82">
        <v>76891213222</v>
      </c>
      <c r="B82" t="str">
        <f t="shared" ca="1" si="3"/>
        <v>LL Crankarm-8S</v>
      </c>
      <c r="D82" s="2" t="s">
        <v>883</v>
      </c>
      <c r="E82" s="2" t="s">
        <v>884</v>
      </c>
      <c r="G82">
        <v>1</v>
      </c>
      <c r="H82">
        <f t="shared" ca="1" si="4"/>
        <v>1665.2112570616277</v>
      </c>
      <c r="I82">
        <v>34521336</v>
      </c>
      <c r="J82">
        <f t="shared" ca="1" si="5"/>
        <v>600</v>
      </c>
      <c r="R82" t="s">
        <v>450</v>
      </c>
    </row>
    <row r="83" spans="1:18" x14ac:dyDescent="0.35">
      <c r="A83">
        <v>76891213223</v>
      </c>
      <c r="B83" t="str">
        <f t="shared" ca="1" si="3"/>
        <v>LL Road Frame - Black, 62-10Z</v>
      </c>
      <c r="D83" s="2" t="s">
        <v>883</v>
      </c>
      <c r="E83" s="2" t="s">
        <v>884</v>
      </c>
      <c r="G83">
        <v>1</v>
      </c>
      <c r="H83">
        <f t="shared" ca="1" si="4"/>
        <v>9143.6020748149404</v>
      </c>
      <c r="I83">
        <v>34521337</v>
      </c>
      <c r="J83">
        <f t="shared" ca="1" si="5"/>
        <v>400</v>
      </c>
      <c r="R83" t="s">
        <v>451</v>
      </c>
    </row>
    <row r="84" spans="1:18" x14ac:dyDescent="0.35">
      <c r="A84">
        <v>76891213224</v>
      </c>
      <c r="B84" t="str">
        <f t="shared" ca="1" si="3"/>
        <v>Touring-1000 Yellow, 54-9Z</v>
      </c>
      <c r="D84" s="2" t="s">
        <v>883</v>
      </c>
      <c r="E84" s="2" t="s">
        <v>884</v>
      </c>
      <c r="G84">
        <v>1</v>
      </c>
      <c r="H84">
        <f t="shared" ca="1" si="4"/>
        <v>8420.1187959003801</v>
      </c>
      <c r="I84">
        <v>34521338</v>
      </c>
      <c r="J84">
        <f t="shared" ca="1" si="5"/>
        <v>1000</v>
      </c>
      <c r="R84" t="s">
        <v>452</v>
      </c>
    </row>
    <row r="85" spans="1:18" x14ac:dyDescent="0.35">
      <c r="A85">
        <v>76891213225</v>
      </c>
      <c r="B85" t="str">
        <f t="shared" ca="1" si="3"/>
        <v>Lock Washer 4-6S</v>
      </c>
      <c r="D85" s="2" t="s">
        <v>883</v>
      </c>
      <c r="E85" s="2" t="s">
        <v>884</v>
      </c>
      <c r="G85">
        <v>1</v>
      </c>
      <c r="H85">
        <f t="shared" ca="1" si="4"/>
        <v>8536.5473217392282</v>
      </c>
      <c r="I85">
        <v>34521339</v>
      </c>
      <c r="J85">
        <f t="shared" ca="1" si="5"/>
        <v>600</v>
      </c>
      <c r="R85" t="s">
        <v>453</v>
      </c>
    </row>
    <row r="86" spans="1:18" x14ac:dyDescent="0.35">
      <c r="A86">
        <v>76891213226</v>
      </c>
      <c r="B86" t="str">
        <f t="shared" ca="1" si="3"/>
        <v>HL Road Frame - Red, 52-6S</v>
      </c>
      <c r="D86" s="2" t="s">
        <v>883</v>
      </c>
      <c r="E86" s="2" t="s">
        <v>884</v>
      </c>
      <c r="G86">
        <v>1</v>
      </c>
      <c r="H86">
        <f t="shared" ca="1" si="4"/>
        <v>7035.6498118842592</v>
      </c>
      <c r="I86">
        <v>34521340</v>
      </c>
      <c r="J86">
        <f t="shared" ca="1" si="5"/>
        <v>500</v>
      </c>
      <c r="R86" t="s">
        <v>454</v>
      </c>
    </row>
    <row r="87" spans="1:18" x14ac:dyDescent="0.35">
      <c r="A87">
        <v>76891213227</v>
      </c>
      <c r="B87" t="str">
        <f t="shared" ca="1" si="3"/>
        <v>Lock Nut 8-6S</v>
      </c>
      <c r="D87" s="2" t="s">
        <v>883</v>
      </c>
      <c r="E87" s="2" t="s">
        <v>884</v>
      </c>
      <c r="G87">
        <v>1</v>
      </c>
      <c r="H87">
        <f t="shared" ca="1" si="4"/>
        <v>2491.1474363656821</v>
      </c>
      <c r="I87">
        <v>34521341</v>
      </c>
      <c r="J87">
        <f t="shared" ca="1" si="5"/>
        <v>800</v>
      </c>
      <c r="R87" t="s">
        <v>455</v>
      </c>
    </row>
    <row r="88" spans="1:18" x14ac:dyDescent="0.35">
      <c r="A88">
        <v>76891213228</v>
      </c>
      <c r="B88" t="str">
        <f t="shared" ca="1" si="3"/>
        <v>Mountain-200 Silver, 46-9Z</v>
      </c>
      <c r="D88" s="2" t="s">
        <v>883</v>
      </c>
      <c r="E88" s="2" t="s">
        <v>884</v>
      </c>
      <c r="G88">
        <v>1</v>
      </c>
      <c r="H88">
        <f t="shared" ca="1" si="4"/>
        <v>2204.5147768831243</v>
      </c>
      <c r="I88">
        <v>34521342</v>
      </c>
      <c r="J88">
        <f t="shared" ca="1" si="5"/>
        <v>1000</v>
      </c>
      <c r="R88" t="s">
        <v>456</v>
      </c>
    </row>
    <row r="89" spans="1:18" x14ac:dyDescent="0.35">
      <c r="A89">
        <v>76891213229</v>
      </c>
      <c r="B89" t="str">
        <f t="shared" ca="1" si="3"/>
        <v>Hex Nut 1-9Z</v>
      </c>
      <c r="D89" s="2" t="s">
        <v>883</v>
      </c>
      <c r="E89" s="2" t="s">
        <v>884</v>
      </c>
      <c r="G89">
        <v>1</v>
      </c>
      <c r="H89">
        <f t="shared" ca="1" si="4"/>
        <v>3150.6874887833542</v>
      </c>
      <c r="I89">
        <v>34521343</v>
      </c>
      <c r="J89">
        <f t="shared" ca="1" si="5"/>
        <v>1000</v>
      </c>
      <c r="R89" t="s">
        <v>457</v>
      </c>
    </row>
    <row r="90" spans="1:18" x14ac:dyDescent="0.35">
      <c r="A90">
        <v>76891213230</v>
      </c>
      <c r="B90" t="str">
        <f t="shared" ca="1" si="3"/>
        <v>ML Mountain Frame-W - Silver, 46-10Z</v>
      </c>
      <c r="D90" s="2" t="s">
        <v>883</v>
      </c>
      <c r="E90" s="2" t="s">
        <v>884</v>
      </c>
      <c r="G90">
        <v>1</v>
      </c>
      <c r="H90">
        <f t="shared" ca="1" si="4"/>
        <v>3755.1895040007321</v>
      </c>
      <c r="I90">
        <v>34521344</v>
      </c>
      <c r="J90">
        <f t="shared" ca="1" si="5"/>
        <v>200</v>
      </c>
      <c r="R90" t="s">
        <v>458</v>
      </c>
    </row>
    <row r="91" spans="1:18" x14ac:dyDescent="0.35">
      <c r="A91">
        <v>76891213231</v>
      </c>
      <c r="B91" t="str">
        <f t="shared" ca="1" si="3"/>
        <v>HL Mountain Frame - Silver, 42-2T</v>
      </c>
      <c r="D91" s="2" t="s">
        <v>883</v>
      </c>
      <c r="E91" s="2" t="s">
        <v>884</v>
      </c>
      <c r="G91">
        <v>1</v>
      </c>
      <c r="H91">
        <f t="shared" ca="1" si="4"/>
        <v>4023.7904944851043</v>
      </c>
      <c r="I91">
        <v>34521345</v>
      </c>
      <c r="J91">
        <f t="shared" ca="1" si="5"/>
        <v>800</v>
      </c>
      <c r="R91" t="s">
        <v>459</v>
      </c>
    </row>
    <row r="92" spans="1:18" x14ac:dyDescent="0.35">
      <c r="A92">
        <v>76891213232</v>
      </c>
      <c r="B92" t="str">
        <f t="shared" ca="1" si="3"/>
        <v>HL Road Frame - Black, 58-2T</v>
      </c>
      <c r="D92" s="2" t="s">
        <v>883</v>
      </c>
      <c r="E92" s="2" t="s">
        <v>884</v>
      </c>
      <c r="G92">
        <v>1</v>
      </c>
      <c r="H92">
        <f t="shared" ca="1" si="4"/>
        <v>8714.7937057341314</v>
      </c>
      <c r="I92">
        <v>34521346</v>
      </c>
      <c r="J92">
        <f t="shared" ca="1" si="5"/>
        <v>600</v>
      </c>
      <c r="R92" t="s">
        <v>460</v>
      </c>
    </row>
    <row r="93" spans="1:18" x14ac:dyDescent="0.35">
      <c r="A93">
        <v>76891213233</v>
      </c>
      <c r="B93" t="str">
        <f t="shared" ca="1" si="3"/>
        <v>Mountain-100 Silver, 42-6S</v>
      </c>
      <c r="D93" s="2" t="s">
        <v>883</v>
      </c>
      <c r="E93" s="2" t="s">
        <v>884</v>
      </c>
      <c r="G93">
        <v>1</v>
      </c>
      <c r="H93">
        <f t="shared" ca="1" si="4"/>
        <v>9181.2256991220602</v>
      </c>
      <c r="I93">
        <v>34521347</v>
      </c>
      <c r="J93">
        <f t="shared" ca="1" si="5"/>
        <v>500</v>
      </c>
      <c r="R93" t="s">
        <v>461</v>
      </c>
    </row>
    <row r="94" spans="1:18" x14ac:dyDescent="0.35">
      <c r="A94">
        <v>76891213234</v>
      </c>
      <c r="B94" t="str">
        <f t="shared" ca="1" si="3"/>
        <v>LL Fork-1T</v>
      </c>
      <c r="D94" s="2" t="s">
        <v>883</v>
      </c>
      <c r="E94" s="2" t="s">
        <v>884</v>
      </c>
      <c r="G94">
        <v>1</v>
      </c>
      <c r="H94">
        <f t="shared" ca="1" si="4"/>
        <v>9195.4232848562242</v>
      </c>
      <c r="I94">
        <v>34521348</v>
      </c>
      <c r="J94">
        <f t="shared" ca="1" si="5"/>
        <v>1000</v>
      </c>
      <c r="R94" t="s">
        <v>462</v>
      </c>
    </row>
    <row r="95" spans="1:18" x14ac:dyDescent="0.35">
      <c r="A95">
        <v>76891213235</v>
      </c>
      <c r="B95" t="str">
        <f t="shared" ca="1" si="3"/>
        <v>Classic Vest, S-6S</v>
      </c>
      <c r="D95" s="2" t="s">
        <v>883</v>
      </c>
      <c r="E95" s="2" t="s">
        <v>884</v>
      </c>
      <c r="G95">
        <v>1</v>
      </c>
      <c r="H95">
        <f t="shared" ca="1" si="4"/>
        <v>383.4257319234585</v>
      </c>
      <c r="I95">
        <v>34521349</v>
      </c>
      <c r="J95">
        <f t="shared" ca="1" si="5"/>
        <v>400</v>
      </c>
      <c r="R95" t="s">
        <v>463</v>
      </c>
    </row>
    <row r="96" spans="1:18" x14ac:dyDescent="0.35">
      <c r="A96">
        <v>76891213236</v>
      </c>
      <c r="B96" t="str">
        <f t="shared" ca="1" si="3"/>
        <v>HL Road Frame - Black, 52-8S</v>
      </c>
      <c r="D96" s="2" t="s">
        <v>883</v>
      </c>
      <c r="E96" s="2" t="s">
        <v>884</v>
      </c>
      <c r="G96">
        <v>1</v>
      </c>
      <c r="H96">
        <f t="shared" ca="1" si="4"/>
        <v>7957.9636559697883</v>
      </c>
      <c r="I96">
        <v>34521350</v>
      </c>
      <c r="J96">
        <f t="shared" ca="1" si="5"/>
        <v>500</v>
      </c>
      <c r="R96" t="s">
        <v>464</v>
      </c>
    </row>
    <row r="97" spans="1:18" x14ac:dyDescent="0.35">
      <c r="A97">
        <v>76891213237</v>
      </c>
      <c r="B97" t="str">
        <f t="shared" ca="1" si="3"/>
        <v>Lock Nut 6-8S</v>
      </c>
      <c r="D97" s="2" t="s">
        <v>883</v>
      </c>
      <c r="E97" s="2" t="s">
        <v>884</v>
      </c>
      <c r="G97">
        <v>1</v>
      </c>
      <c r="H97">
        <f t="shared" ca="1" si="4"/>
        <v>1912.5089900234684</v>
      </c>
      <c r="I97">
        <v>34521351</v>
      </c>
      <c r="J97">
        <f t="shared" ca="1" si="5"/>
        <v>900</v>
      </c>
      <c r="R97" t="s">
        <v>465</v>
      </c>
    </row>
    <row r="98" spans="1:18" x14ac:dyDescent="0.35">
      <c r="A98">
        <v>76891213238</v>
      </c>
      <c r="B98" t="str">
        <f t="shared" ca="1" si="3"/>
        <v>LL Nipple-2T</v>
      </c>
      <c r="D98" s="2" t="s">
        <v>883</v>
      </c>
      <c r="E98" s="2" t="s">
        <v>884</v>
      </c>
      <c r="G98">
        <v>1</v>
      </c>
      <c r="H98">
        <f t="shared" ca="1" si="4"/>
        <v>1532.7056343143986</v>
      </c>
      <c r="I98">
        <v>34521352</v>
      </c>
      <c r="J98">
        <f t="shared" ca="1" si="5"/>
        <v>900</v>
      </c>
      <c r="R98" t="s">
        <v>466</v>
      </c>
    </row>
    <row r="99" spans="1:18" x14ac:dyDescent="0.35">
      <c r="A99">
        <v>76891213239</v>
      </c>
      <c r="B99" t="str">
        <f t="shared" ca="1" si="3"/>
        <v>Tension Pulley-6S</v>
      </c>
      <c r="D99" s="2" t="s">
        <v>883</v>
      </c>
      <c r="E99" s="2" t="s">
        <v>884</v>
      </c>
      <c r="G99">
        <v>1</v>
      </c>
      <c r="H99">
        <f t="shared" ca="1" si="4"/>
        <v>1189.2744241627706</v>
      </c>
      <c r="I99">
        <v>34521353</v>
      </c>
      <c r="J99">
        <f t="shared" ca="1" si="5"/>
        <v>700</v>
      </c>
      <c r="R99" t="s">
        <v>467</v>
      </c>
    </row>
    <row r="100" spans="1:18" x14ac:dyDescent="0.35">
      <c r="A100">
        <v>76891213240</v>
      </c>
      <c r="B100" t="str">
        <f t="shared" ca="1" si="3"/>
        <v>Road-150 Red, 48-8S</v>
      </c>
      <c r="D100" s="2" t="s">
        <v>883</v>
      </c>
      <c r="E100" s="2" t="s">
        <v>884</v>
      </c>
      <c r="G100">
        <v>1</v>
      </c>
      <c r="H100">
        <f t="shared" ca="1" si="4"/>
        <v>4596.1547691769447</v>
      </c>
      <c r="I100">
        <v>34521354</v>
      </c>
      <c r="J100">
        <f t="shared" ca="1" si="5"/>
        <v>100</v>
      </c>
      <c r="R100" t="s">
        <v>468</v>
      </c>
    </row>
    <row r="101" spans="1:18" x14ac:dyDescent="0.35">
      <c r="A101">
        <v>76891213241</v>
      </c>
      <c r="B101" t="str">
        <f t="shared" ca="1" si="3"/>
        <v>Touring-1000 Yellow, 60-3T</v>
      </c>
      <c r="D101" s="2" t="s">
        <v>883</v>
      </c>
      <c r="E101" s="2" t="s">
        <v>884</v>
      </c>
      <c r="G101">
        <v>1</v>
      </c>
      <c r="H101">
        <f t="shared" ca="1" si="4"/>
        <v>3049.755941552879</v>
      </c>
      <c r="I101">
        <v>34521355</v>
      </c>
      <c r="J101">
        <f t="shared" ca="1" si="5"/>
        <v>100</v>
      </c>
      <c r="R101" t="s">
        <v>469</v>
      </c>
    </row>
    <row r="102" spans="1:18" x14ac:dyDescent="0.35">
      <c r="A102">
        <v>76891213242</v>
      </c>
      <c r="B102" t="str">
        <f t="shared" ca="1" si="3"/>
        <v>LL Mountain Handlebars-9Z</v>
      </c>
      <c r="D102" s="2" t="s">
        <v>883</v>
      </c>
      <c r="E102" s="2" t="s">
        <v>884</v>
      </c>
      <c r="G102">
        <v>1</v>
      </c>
      <c r="H102">
        <f t="shared" ca="1" si="4"/>
        <v>4903.8156344587151</v>
      </c>
      <c r="I102">
        <v>34521356</v>
      </c>
      <c r="J102">
        <f t="shared" ca="1" si="5"/>
        <v>100</v>
      </c>
      <c r="R102" t="s">
        <v>470</v>
      </c>
    </row>
    <row r="103" spans="1:18" x14ac:dyDescent="0.35">
      <c r="A103">
        <v>76891213243</v>
      </c>
      <c r="B103" t="str">
        <f t="shared" ca="1" si="3"/>
        <v>Seat Stays-6S</v>
      </c>
      <c r="D103" s="2" t="s">
        <v>883</v>
      </c>
      <c r="E103" s="2" t="s">
        <v>884</v>
      </c>
      <c r="G103">
        <v>1</v>
      </c>
      <c r="H103">
        <f t="shared" ca="1" si="4"/>
        <v>3527.3626929070761</v>
      </c>
      <c r="I103">
        <v>34521357</v>
      </c>
      <c r="J103">
        <f t="shared" ca="1" si="5"/>
        <v>600</v>
      </c>
      <c r="R103" t="s">
        <v>471</v>
      </c>
    </row>
    <row r="104" spans="1:18" x14ac:dyDescent="0.35">
      <c r="A104">
        <v>76891213244</v>
      </c>
      <c r="B104" t="str">
        <f t="shared" ca="1" si="3"/>
        <v>Headlights - Weatherproof-9Z</v>
      </c>
      <c r="D104" s="2" t="s">
        <v>883</v>
      </c>
      <c r="E104" s="2" t="s">
        <v>884</v>
      </c>
      <c r="G104">
        <v>1</v>
      </c>
      <c r="H104">
        <f t="shared" ca="1" si="4"/>
        <v>888.41330492322379</v>
      </c>
      <c r="I104">
        <v>34521358</v>
      </c>
      <c r="J104">
        <f t="shared" ca="1" si="5"/>
        <v>800</v>
      </c>
      <c r="R104" t="s">
        <v>472</v>
      </c>
    </row>
    <row r="105" spans="1:18" x14ac:dyDescent="0.35">
      <c r="A105">
        <v>76891213245</v>
      </c>
      <c r="B105" t="str">
        <f t="shared" ca="1" si="3"/>
        <v>HL Touring Frame - Yellow, 54-3T</v>
      </c>
      <c r="D105" s="2" t="s">
        <v>883</v>
      </c>
      <c r="E105" s="2" t="s">
        <v>884</v>
      </c>
      <c r="G105">
        <v>1</v>
      </c>
      <c r="H105">
        <f t="shared" ca="1" si="4"/>
        <v>4529.342003374114</v>
      </c>
      <c r="I105">
        <v>34521359</v>
      </c>
      <c r="J105">
        <f t="shared" ca="1" si="5"/>
        <v>900</v>
      </c>
      <c r="R105" t="s">
        <v>473</v>
      </c>
    </row>
    <row r="106" spans="1:18" x14ac:dyDescent="0.35">
      <c r="A106">
        <v>76891213246</v>
      </c>
      <c r="B106" t="str">
        <f t="shared" ca="1" si="3"/>
        <v>Touring Rim-9Z</v>
      </c>
      <c r="D106" s="2" t="s">
        <v>883</v>
      </c>
      <c r="E106" s="2" t="s">
        <v>884</v>
      </c>
      <c r="G106">
        <v>1</v>
      </c>
      <c r="H106">
        <f t="shared" ca="1" si="4"/>
        <v>2892.1791857409398</v>
      </c>
      <c r="I106">
        <v>34521360</v>
      </c>
      <c r="J106">
        <f t="shared" ca="1" si="5"/>
        <v>300</v>
      </c>
      <c r="R106" t="s">
        <v>474</v>
      </c>
    </row>
    <row r="107" spans="1:18" x14ac:dyDescent="0.35">
      <c r="A107">
        <v>76891213247</v>
      </c>
      <c r="B107" t="str">
        <f t="shared" ca="1" si="3"/>
        <v>Metal Sheet 3-9Z</v>
      </c>
      <c r="D107" s="2" t="s">
        <v>883</v>
      </c>
      <c r="E107" s="2" t="s">
        <v>884</v>
      </c>
      <c r="G107">
        <v>1</v>
      </c>
      <c r="H107">
        <f t="shared" ca="1" si="4"/>
        <v>6755.835133399748</v>
      </c>
      <c r="I107">
        <v>34521361</v>
      </c>
      <c r="J107">
        <f t="shared" ca="1" si="5"/>
        <v>400</v>
      </c>
      <c r="R107" t="s">
        <v>475</v>
      </c>
    </row>
    <row r="108" spans="1:18" x14ac:dyDescent="0.35">
      <c r="A108">
        <v>76891213248</v>
      </c>
      <c r="B108" t="str">
        <f t="shared" ca="1" si="3"/>
        <v>Long-Sleeve Logo Jersey, M-6S</v>
      </c>
      <c r="D108" s="2" t="s">
        <v>883</v>
      </c>
      <c r="E108" s="2" t="s">
        <v>884</v>
      </c>
      <c r="G108">
        <v>1</v>
      </c>
      <c r="H108">
        <f t="shared" ca="1" si="4"/>
        <v>7373.7414077764288</v>
      </c>
      <c r="I108">
        <v>34521362</v>
      </c>
      <c r="J108">
        <f t="shared" ca="1" si="5"/>
        <v>900</v>
      </c>
      <c r="R108" t="s">
        <v>476</v>
      </c>
    </row>
    <row r="109" spans="1:18" x14ac:dyDescent="0.35">
      <c r="A109">
        <v>76891213249</v>
      </c>
      <c r="B109" t="str">
        <f t="shared" ca="1" si="3"/>
        <v>ML Crankset-2T</v>
      </c>
      <c r="D109" s="2" t="s">
        <v>883</v>
      </c>
      <c r="E109" s="2" t="s">
        <v>884</v>
      </c>
      <c r="G109">
        <v>1</v>
      </c>
      <c r="H109">
        <f t="shared" ca="1" si="4"/>
        <v>8086.2832587876792</v>
      </c>
      <c r="I109">
        <v>34521363</v>
      </c>
      <c r="J109">
        <f t="shared" ca="1" si="5"/>
        <v>300</v>
      </c>
      <c r="R109" t="s">
        <v>477</v>
      </c>
    </row>
    <row r="110" spans="1:18" x14ac:dyDescent="0.35">
      <c r="A110">
        <v>76891213250</v>
      </c>
      <c r="B110" t="str">
        <f t="shared" ca="1" si="3"/>
        <v>Mountain-200 Black, 42-10Z</v>
      </c>
      <c r="D110" s="2" t="s">
        <v>883</v>
      </c>
      <c r="E110" s="2" t="s">
        <v>884</v>
      </c>
      <c r="G110">
        <v>1</v>
      </c>
      <c r="H110">
        <f t="shared" ca="1" si="4"/>
        <v>9876.1119229636606</v>
      </c>
      <c r="I110">
        <v>34521364</v>
      </c>
      <c r="J110">
        <f t="shared" ca="1" si="5"/>
        <v>600</v>
      </c>
      <c r="R110" t="s">
        <v>478</v>
      </c>
    </row>
    <row r="111" spans="1:18" x14ac:dyDescent="0.35">
      <c r="A111">
        <v>76891213251</v>
      </c>
      <c r="B111" t="str">
        <f t="shared" ca="1" si="3"/>
        <v>HL Road Pedal-10Z</v>
      </c>
      <c r="D111" s="2" t="s">
        <v>883</v>
      </c>
      <c r="E111" s="2" t="s">
        <v>884</v>
      </c>
      <c r="G111">
        <v>1</v>
      </c>
      <c r="H111">
        <f t="shared" ca="1" si="4"/>
        <v>1404.0728362642287</v>
      </c>
      <c r="I111">
        <v>34521365</v>
      </c>
      <c r="J111">
        <f t="shared" ca="1" si="5"/>
        <v>300</v>
      </c>
      <c r="R111" t="s">
        <v>479</v>
      </c>
    </row>
    <row r="112" spans="1:18" x14ac:dyDescent="0.35">
      <c r="A112">
        <v>76891213252</v>
      </c>
      <c r="B112" t="str">
        <f t="shared" ca="1" si="3"/>
        <v>HL Mountain Tire-9Z</v>
      </c>
      <c r="D112" s="2" t="s">
        <v>883</v>
      </c>
      <c r="E112" s="2" t="s">
        <v>884</v>
      </c>
      <c r="G112">
        <v>1</v>
      </c>
      <c r="H112">
        <f t="shared" ca="1" si="4"/>
        <v>6293.3933446140873</v>
      </c>
      <c r="I112">
        <v>34521366</v>
      </c>
      <c r="J112">
        <f t="shared" ca="1" si="5"/>
        <v>900</v>
      </c>
      <c r="R112" t="s">
        <v>480</v>
      </c>
    </row>
    <row r="113" spans="1:18" x14ac:dyDescent="0.35">
      <c r="A113">
        <v>76891213253</v>
      </c>
      <c r="B113" t="str">
        <f t="shared" ca="1" si="3"/>
        <v>LL Mountain Frame - Silver, 40-10Z</v>
      </c>
      <c r="D113" s="2" t="s">
        <v>883</v>
      </c>
      <c r="E113" s="2" t="s">
        <v>884</v>
      </c>
      <c r="G113">
        <v>1</v>
      </c>
      <c r="H113">
        <f t="shared" ca="1" si="4"/>
        <v>2205.8632252448356</v>
      </c>
      <c r="I113">
        <v>34521367</v>
      </c>
      <c r="J113">
        <f t="shared" ca="1" si="5"/>
        <v>400</v>
      </c>
      <c r="R113" t="s">
        <v>481</v>
      </c>
    </row>
    <row r="114" spans="1:18" x14ac:dyDescent="0.35">
      <c r="A114">
        <v>76891213254</v>
      </c>
      <c r="B114" t="str">
        <f t="shared" ca="1" si="3"/>
        <v>ML Mountain Frame - Black, 40-6S</v>
      </c>
      <c r="D114" s="2" t="s">
        <v>883</v>
      </c>
      <c r="E114" s="2" t="s">
        <v>884</v>
      </c>
      <c r="G114">
        <v>1</v>
      </c>
      <c r="H114">
        <f t="shared" ca="1" si="4"/>
        <v>8238.8569065705833</v>
      </c>
      <c r="I114">
        <v>34521368</v>
      </c>
      <c r="J114">
        <f t="shared" ca="1" si="5"/>
        <v>700</v>
      </c>
      <c r="R114" t="s">
        <v>482</v>
      </c>
    </row>
    <row r="115" spans="1:18" x14ac:dyDescent="0.35">
      <c r="A115">
        <v>76891213255</v>
      </c>
      <c r="B115" t="str">
        <f t="shared" ca="1" si="3"/>
        <v>ML Mountain Seat Assembly-10Z</v>
      </c>
      <c r="D115" s="2" t="s">
        <v>883</v>
      </c>
      <c r="E115" s="2" t="s">
        <v>884</v>
      </c>
      <c r="G115">
        <v>1</v>
      </c>
      <c r="H115">
        <f t="shared" ca="1" si="4"/>
        <v>8364.121881281746</v>
      </c>
      <c r="I115">
        <v>34521369</v>
      </c>
      <c r="J115">
        <f t="shared" ca="1" si="5"/>
        <v>100</v>
      </c>
      <c r="R115" t="s">
        <v>483</v>
      </c>
    </row>
    <row r="116" spans="1:18" x14ac:dyDescent="0.35">
      <c r="A116">
        <v>76891213256</v>
      </c>
      <c r="B116" t="str">
        <f t="shared" ca="1" si="3"/>
        <v>Blade-2T</v>
      </c>
      <c r="D116" s="2" t="s">
        <v>883</v>
      </c>
      <c r="E116" s="2" t="s">
        <v>884</v>
      </c>
      <c r="G116">
        <v>1</v>
      </c>
      <c r="H116">
        <f t="shared" ca="1" si="4"/>
        <v>3555.2525062722539</v>
      </c>
      <c r="I116">
        <v>34521370</v>
      </c>
      <c r="J116">
        <f t="shared" ca="1" si="5"/>
        <v>300</v>
      </c>
      <c r="R116" t="s">
        <v>484</v>
      </c>
    </row>
    <row r="117" spans="1:18" x14ac:dyDescent="0.35">
      <c r="A117">
        <v>76891213257</v>
      </c>
      <c r="B117" t="str">
        <f t="shared" ca="1" si="3"/>
        <v>Touring-3000 Blue, 58-1T</v>
      </c>
      <c r="D117" s="2" t="s">
        <v>883</v>
      </c>
      <c r="E117" s="2" t="s">
        <v>884</v>
      </c>
      <c r="G117">
        <v>1</v>
      </c>
      <c r="H117">
        <f t="shared" ca="1" si="4"/>
        <v>4673.0581351845212</v>
      </c>
      <c r="I117">
        <v>34521371</v>
      </c>
      <c r="J117">
        <f t="shared" ca="1" si="5"/>
        <v>1000</v>
      </c>
      <c r="R117" t="s">
        <v>485</v>
      </c>
    </row>
    <row r="118" spans="1:18" x14ac:dyDescent="0.35">
      <c r="A118">
        <v>76891213258</v>
      </c>
      <c r="B118" t="str">
        <f t="shared" ca="1" si="3"/>
        <v>Road-250 Black, 58-9Z</v>
      </c>
      <c r="D118" s="2" t="s">
        <v>883</v>
      </c>
      <c r="E118" s="2" t="s">
        <v>884</v>
      </c>
      <c r="G118">
        <v>1</v>
      </c>
      <c r="H118">
        <f t="shared" ca="1" si="4"/>
        <v>9972.7799020097536</v>
      </c>
      <c r="I118">
        <v>34521372</v>
      </c>
      <c r="J118">
        <f t="shared" ca="1" si="5"/>
        <v>200</v>
      </c>
      <c r="R118" t="s">
        <v>486</v>
      </c>
    </row>
    <row r="119" spans="1:18" x14ac:dyDescent="0.35">
      <c r="A119">
        <v>76891213259</v>
      </c>
      <c r="B119" t="str">
        <f t="shared" ca="1" si="3"/>
        <v>Cup-Shaped Race-10Z</v>
      </c>
      <c r="D119" s="2" t="s">
        <v>883</v>
      </c>
      <c r="E119" s="2" t="s">
        <v>884</v>
      </c>
      <c r="G119">
        <v>1</v>
      </c>
      <c r="H119">
        <f t="shared" ca="1" si="4"/>
        <v>2690.2809923861096</v>
      </c>
      <c r="I119">
        <v>34521373</v>
      </c>
      <c r="J119">
        <f t="shared" ca="1" si="5"/>
        <v>400</v>
      </c>
      <c r="R119" t="s">
        <v>487</v>
      </c>
    </row>
    <row r="120" spans="1:18" x14ac:dyDescent="0.35">
      <c r="A120">
        <v>76891213260</v>
      </c>
      <c r="B120" t="str">
        <f t="shared" ca="1" si="3"/>
        <v>Hitch Rack - 4-Bike-3T</v>
      </c>
      <c r="D120" s="2" t="s">
        <v>883</v>
      </c>
      <c r="E120" s="2" t="s">
        <v>884</v>
      </c>
      <c r="G120">
        <v>1</v>
      </c>
      <c r="H120">
        <f t="shared" ca="1" si="4"/>
        <v>6861.119743288933</v>
      </c>
      <c r="I120">
        <v>34521374</v>
      </c>
      <c r="J120">
        <f t="shared" ca="1" si="5"/>
        <v>400</v>
      </c>
      <c r="R120" t="s">
        <v>488</v>
      </c>
    </row>
    <row r="121" spans="1:18" x14ac:dyDescent="0.35">
      <c r="A121">
        <v>76891213261</v>
      </c>
      <c r="B121" t="str">
        <f t="shared" ca="1" si="3"/>
        <v>Mountain-200 Black, 46-6S</v>
      </c>
      <c r="D121" s="2" t="s">
        <v>883</v>
      </c>
      <c r="E121" s="2" t="s">
        <v>884</v>
      </c>
      <c r="G121">
        <v>1</v>
      </c>
      <c r="H121">
        <f t="shared" ca="1" si="4"/>
        <v>5282.7591288903441</v>
      </c>
      <c r="I121">
        <v>34521375</v>
      </c>
      <c r="J121">
        <f t="shared" ca="1" si="5"/>
        <v>1000</v>
      </c>
      <c r="R121" t="s">
        <v>489</v>
      </c>
    </row>
    <row r="122" spans="1:18" x14ac:dyDescent="0.35">
      <c r="A122">
        <v>76891213262</v>
      </c>
      <c r="B122" t="str">
        <f t="shared" ca="1" si="3"/>
        <v>Mountain Bike Socks, M-3T</v>
      </c>
      <c r="D122" s="2" t="s">
        <v>883</v>
      </c>
      <c r="E122" s="2" t="s">
        <v>884</v>
      </c>
      <c r="G122">
        <v>1</v>
      </c>
      <c r="H122">
        <f t="shared" ca="1" si="4"/>
        <v>3130.141280264294</v>
      </c>
      <c r="I122">
        <v>34521376</v>
      </c>
      <c r="J122">
        <f t="shared" ca="1" si="5"/>
        <v>900</v>
      </c>
      <c r="R122" t="s">
        <v>490</v>
      </c>
    </row>
    <row r="123" spans="1:18" x14ac:dyDescent="0.35">
      <c r="A123">
        <v>76891213263</v>
      </c>
      <c r="B123" t="str">
        <f t="shared" ca="1" si="3"/>
        <v>ML Mountain Pedal-3T</v>
      </c>
      <c r="D123" s="2" t="s">
        <v>883</v>
      </c>
      <c r="E123" s="2" t="s">
        <v>884</v>
      </c>
      <c r="G123">
        <v>1</v>
      </c>
      <c r="H123">
        <f t="shared" ca="1" si="4"/>
        <v>7259.5126296854596</v>
      </c>
      <c r="I123">
        <v>34521377</v>
      </c>
      <c r="J123">
        <f t="shared" ca="1" si="5"/>
        <v>1000</v>
      </c>
      <c r="R123" t="s">
        <v>491</v>
      </c>
    </row>
    <row r="124" spans="1:18" x14ac:dyDescent="0.35">
      <c r="A124">
        <v>76891213264</v>
      </c>
      <c r="B124" t="str">
        <f t="shared" ca="1" si="3"/>
        <v>Hex Nut 10-6S</v>
      </c>
      <c r="D124" s="2" t="s">
        <v>883</v>
      </c>
      <c r="E124" s="2" t="s">
        <v>884</v>
      </c>
      <c r="G124">
        <v>1</v>
      </c>
      <c r="H124">
        <f t="shared" ca="1" si="4"/>
        <v>3913.070746797428</v>
      </c>
      <c r="I124">
        <v>34521378</v>
      </c>
      <c r="J124">
        <f t="shared" ca="1" si="5"/>
        <v>100</v>
      </c>
      <c r="R124" t="s">
        <v>492</v>
      </c>
    </row>
    <row r="125" spans="1:18" x14ac:dyDescent="0.35">
      <c r="A125">
        <v>76891213265</v>
      </c>
      <c r="B125" t="str">
        <f t="shared" ca="1" si="3"/>
        <v>ML Mountain Handlebars-9Z</v>
      </c>
      <c r="D125" s="2" t="s">
        <v>883</v>
      </c>
      <c r="E125" s="2" t="s">
        <v>884</v>
      </c>
      <c r="G125">
        <v>1</v>
      </c>
      <c r="H125">
        <f t="shared" ca="1" si="4"/>
        <v>9730.9255508959868</v>
      </c>
      <c r="I125">
        <v>34521379</v>
      </c>
      <c r="J125">
        <f t="shared" ca="1" si="5"/>
        <v>400</v>
      </c>
      <c r="R125" t="s">
        <v>493</v>
      </c>
    </row>
    <row r="126" spans="1:18" x14ac:dyDescent="0.35">
      <c r="A126">
        <v>76891213266</v>
      </c>
      <c r="B126" t="str">
        <f t="shared" ca="1" si="3"/>
        <v>Mountain-200 Silver, 42-1T</v>
      </c>
      <c r="D126" s="2" t="s">
        <v>883</v>
      </c>
      <c r="E126" s="2" t="s">
        <v>884</v>
      </c>
      <c r="G126">
        <v>1</v>
      </c>
      <c r="H126">
        <f t="shared" ca="1" si="4"/>
        <v>1275.2501267518942</v>
      </c>
      <c r="I126">
        <v>34521380</v>
      </c>
      <c r="J126">
        <f t="shared" ca="1" si="5"/>
        <v>900</v>
      </c>
      <c r="R126" t="s">
        <v>494</v>
      </c>
    </row>
    <row r="127" spans="1:18" x14ac:dyDescent="0.35">
      <c r="A127">
        <v>76891213267</v>
      </c>
      <c r="B127" t="str">
        <f t="shared" ca="1" si="3"/>
        <v>Internal Lock Washer 10-10Z</v>
      </c>
      <c r="D127" s="2" t="s">
        <v>883</v>
      </c>
      <c r="E127" s="2" t="s">
        <v>884</v>
      </c>
      <c r="G127">
        <v>1</v>
      </c>
      <c r="H127">
        <f t="shared" ca="1" si="4"/>
        <v>3858.4369581321821</v>
      </c>
      <c r="I127">
        <v>34521381</v>
      </c>
      <c r="J127">
        <f t="shared" ca="1" si="5"/>
        <v>400</v>
      </c>
      <c r="R127" t="s">
        <v>495</v>
      </c>
    </row>
    <row r="128" spans="1:18" x14ac:dyDescent="0.35">
      <c r="A128">
        <v>76891213268</v>
      </c>
      <c r="B128" t="str">
        <f t="shared" ca="1" si="3"/>
        <v>Lock Nut 14-9Z</v>
      </c>
      <c r="D128" s="2" t="s">
        <v>883</v>
      </c>
      <c r="E128" s="2" t="s">
        <v>884</v>
      </c>
      <c r="G128">
        <v>1</v>
      </c>
      <c r="H128">
        <f t="shared" ca="1" si="4"/>
        <v>3438.1492682800576</v>
      </c>
      <c r="I128">
        <v>34521382</v>
      </c>
      <c r="J128">
        <f t="shared" ca="1" si="5"/>
        <v>200</v>
      </c>
      <c r="R128" t="s">
        <v>496</v>
      </c>
    </row>
    <row r="129" spans="1:18" x14ac:dyDescent="0.35">
      <c r="A129">
        <v>76891213269</v>
      </c>
      <c r="B129" t="str">
        <f t="shared" ca="1" si="3"/>
        <v>Road-650 Black, 60-6S</v>
      </c>
      <c r="D129" s="2" t="s">
        <v>883</v>
      </c>
      <c r="E129" s="2" t="s">
        <v>884</v>
      </c>
      <c r="G129">
        <v>1</v>
      </c>
      <c r="H129">
        <f t="shared" ca="1" si="4"/>
        <v>599.79475417392064</v>
      </c>
      <c r="I129">
        <v>34521383</v>
      </c>
      <c r="J129">
        <f t="shared" ca="1" si="5"/>
        <v>500</v>
      </c>
      <c r="R129" t="s">
        <v>497</v>
      </c>
    </row>
    <row r="130" spans="1:18" x14ac:dyDescent="0.35">
      <c r="A130">
        <v>76891213270</v>
      </c>
      <c r="B130" t="str">
        <f t="shared" ref="B130:B193" ca="1" si="6">INDEX($R$4:$R$609,RANDBETWEEN(1,606))&amp;"-"&amp;INDEX($S$4:$S$10,RANDBETWEEN(1,7))</f>
        <v>Seat Stays-10Z</v>
      </c>
      <c r="D130" s="2" t="s">
        <v>883</v>
      </c>
      <c r="E130" s="2" t="s">
        <v>884</v>
      </c>
      <c r="G130">
        <v>1</v>
      </c>
      <c r="H130">
        <f t="shared" ca="1" si="4"/>
        <v>990.28757034259388</v>
      </c>
      <c r="I130">
        <v>34521384</v>
      </c>
      <c r="J130">
        <f t="shared" ca="1" si="5"/>
        <v>800</v>
      </c>
      <c r="R130" t="s">
        <v>498</v>
      </c>
    </row>
    <row r="131" spans="1:18" x14ac:dyDescent="0.35">
      <c r="A131">
        <v>76891213271</v>
      </c>
      <c r="B131" t="str">
        <f t="shared" ca="1" si="6"/>
        <v>Long-Sleeve Logo Jersey, M-10Z</v>
      </c>
      <c r="D131" s="2" t="s">
        <v>883</v>
      </c>
      <c r="E131" s="2" t="s">
        <v>884</v>
      </c>
      <c r="G131">
        <v>1</v>
      </c>
      <c r="H131">
        <f t="shared" ref="H131:H194" ca="1" si="7">RANDBETWEEN(100,10000)+RAND()</f>
        <v>2763.8336375941471</v>
      </c>
      <c r="I131">
        <v>34521385</v>
      </c>
      <c r="J131">
        <f t="shared" ref="J131:J194" ca="1" si="8">INDEX($O$3:$O$12,RANDBETWEEN(1,10))</f>
        <v>100</v>
      </c>
      <c r="R131" t="s">
        <v>499</v>
      </c>
    </row>
    <row r="132" spans="1:18" x14ac:dyDescent="0.35">
      <c r="A132">
        <v>76891213272</v>
      </c>
      <c r="B132" t="str">
        <f t="shared" ca="1" si="6"/>
        <v>LL Mountain Frame - Silver, 52-6S</v>
      </c>
      <c r="D132" s="2" t="s">
        <v>883</v>
      </c>
      <c r="E132" s="2" t="s">
        <v>884</v>
      </c>
      <c r="G132">
        <v>1</v>
      </c>
      <c r="H132">
        <f t="shared" ca="1" si="7"/>
        <v>2311.4492610885359</v>
      </c>
      <c r="I132">
        <v>34521386</v>
      </c>
      <c r="J132">
        <f t="shared" ca="1" si="8"/>
        <v>300</v>
      </c>
      <c r="R132" t="s">
        <v>500</v>
      </c>
    </row>
    <row r="133" spans="1:18" x14ac:dyDescent="0.35">
      <c r="A133">
        <v>76891213273</v>
      </c>
      <c r="B133" t="str">
        <f t="shared" ca="1" si="6"/>
        <v>Lock Nut 21-10Z</v>
      </c>
      <c r="D133" s="2" t="s">
        <v>883</v>
      </c>
      <c r="E133" s="2" t="s">
        <v>884</v>
      </c>
      <c r="G133">
        <v>1</v>
      </c>
      <c r="H133">
        <f t="shared" ca="1" si="7"/>
        <v>3906.5910334641267</v>
      </c>
      <c r="I133">
        <v>34521387</v>
      </c>
      <c r="J133">
        <f t="shared" ca="1" si="8"/>
        <v>400</v>
      </c>
      <c r="R133" t="s">
        <v>501</v>
      </c>
    </row>
    <row r="134" spans="1:18" x14ac:dyDescent="0.35">
      <c r="A134">
        <v>76891213274</v>
      </c>
      <c r="B134" t="str">
        <f t="shared" ca="1" si="6"/>
        <v>HL Mountain Frame - Black, 38-1T</v>
      </c>
      <c r="D134" s="2" t="s">
        <v>883</v>
      </c>
      <c r="E134" s="2" t="s">
        <v>884</v>
      </c>
      <c r="G134">
        <v>1</v>
      </c>
      <c r="H134">
        <f t="shared" ca="1" si="7"/>
        <v>6244.602607519897</v>
      </c>
      <c r="I134">
        <v>34521388</v>
      </c>
      <c r="J134">
        <f t="shared" ca="1" si="8"/>
        <v>300</v>
      </c>
      <c r="R134" t="s">
        <v>502</v>
      </c>
    </row>
    <row r="135" spans="1:18" x14ac:dyDescent="0.35">
      <c r="A135">
        <v>76891213275</v>
      </c>
      <c r="B135" t="str">
        <f t="shared" ca="1" si="6"/>
        <v>Thin-Jam Lock Nut 11-2T</v>
      </c>
      <c r="D135" s="2" t="s">
        <v>883</v>
      </c>
      <c r="E135" s="2" t="s">
        <v>884</v>
      </c>
      <c r="G135">
        <v>1</v>
      </c>
      <c r="H135">
        <f t="shared" ca="1" si="7"/>
        <v>2363.1921713388774</v>
      </c>
      <c r="I135">
        <v>34521389</v>
      </c>
      <c r="J135">
        <f t="shared" ca="1" si="8"/>
        <v>1000</v>
      </c>
      <c r="R135" t="s">
        <v>503</v>
      </c>
    </row>
    <row r="136" spans="1:18" x14ac:dyDescent="0.35">
      <c r="A136">
        <v>76891213276</v>
      </c>
      <c r="B136" t="str">
        <f t="shared" ca="1" si="6"/>
        <v>Internal Lock Washer 7-1T</v>
      </c>
      <c r="D136" s="2" t="s">
        <v>883</v>
      </c>
      <c r="E136" s="2" t="s">
        <v>884</v>
      </c>
      <c r="G136">
        <v>1</v>
      </c>
      <c r="H136">
        <f t="shared" ca="1" si="7"/>
        <v>1231.4185671508574</v>
      </c>
      <c r="I136">
        <v>34521390</v>
      </c>
      <c r="J136">
        <f t="shared" ca="1" si="8"/>
        <v>1000</v>
      </c>
      <c r="R136" t="s">
        <v>504</v>
      </c>
    </row>
    <row r="137" spans="1:18" x14ac:dyDescent="0.35">
      <c r="A137">
        <v>76891213277</v>
      </c>
      <c r="B137" t="str">
        <f t="shared" ca="1" si="6"/>
        <v>LL Road Frame - Red, 62-1T</v>
      </c>
      <c r="D137" s="2" t="s">
        <v>883</v>
      </c>
      <c r="E137" s="2" t="s">
        <v>884</v>
      </c>
      <c r="G137">
        <v>1</v>
      </c>
      <c r="H137">
        <f t="shared" ca="1" si="7"/>
        <v>424.15138544256627</v>
      </c>
      <c r="I137">
        <v>34521391</v>
      </c>
      <c r="J137">
        <f t="shared" ca="1" si="8"/>
        <v>400</v>
      </c>
      <c r="R137" t="s">
        <v>505</v>
      </c>
    </row>
    <row r="138" spans="1:18" x14ac:dyDescent="0.35">
      <c r="A138">
        <v>76891213278</v>
      </c>
      <c r="B138" t="str">
        <f t="shared" ca="1" si="6"/>
        <v>Crown Race-6S</v>
      </c>
      <c r="D138" s="2" t="s">
        <v>883</v>
      </c>
      <c r="E138" s="2" t="s">
        <v>884</v>
      </c>
      <c r="G138">
        <v>1</v>
      </c>
      <c r="H138">
        <f t="shared" ca="1" si="7"/>
        <v>5013.6146298172789</v>
      </c>
      <c r="I138">
        <v>34521392</v>
      </c>
      <c r="J138">
        <f t="shared" ca="1" si="8"/>
        <v>300</v>
      </c>
      <c r="R138" t="s">
        <v>506</v>
      </c>
    </row>
    <row r="139" spans="1:18" x14ac:dyDescent="0.35">
      <c r="A139">
        <v>76891213279</v>
      </c>
      <c r="B139" t="str">
        <f t="shared" ca="1" si="6"/>
        <v>Touring-2000 Blue, 46-1T</v>
      </c>
      <c r="D139" s="2" t="s">
        <v>883</v>
      </c>
      <c r="E139" s="2" t="s">
        <v>884</v>
      </c>
      <c r="G139">
        <v>1</v>
      </c>
      <c r="H139">
        <f t="shared" ca="1" si="7"/>
        <v>4031.2930953409268</v>
      </c>
      <c r="I139">
        <v>34521393</v>
      </c>
      <c r="J139">
        <f t="shared" ca="1" si="8"/>
        <v>100</v>
      </c>
      <c r="R139" t="s">
        <v>507</v>
      </c>
    </row>
    <row r="140" spans="1:18" x14ac:dyDescent="0.35">
      <c r="A140">
        <v>76891213280</v>
      </c>
      <c r="B140" t="str">
        <f t="shared" ca="1" si="6"/>
        <v>Long-Sleeve Logo Jersey, S-3T</v>
      </c>
      <c r="D140" s="2" t="s">
        <v>883</v>
      </c>
      <c r="E140" s="2" t="s">
        <v>884</v>
      </c>
      <c r="G140">
        <v>1</v>
      </c>
      <c r="H140">
        <f t="shared" ca="1" si="7"/>
        <v>5014.5777640027172</v>
      </c>
      <c r="I140">
        <v>34521394</v>
      </c>
      <c r="J140">
        <f t="shared" ca="1" si="8"/>
        <v>600</v>
      </c>
      <c r="R140" t="s">
        <v>508</v>
      </c>
    </row>
    <row r="141" spans="1:18" x14ac:dyDescent="0.35">
      <c r="A141">
        <v>76891213281</v>
      </c>
      <c r="B141" t="str">
        <f t="shared" ca="1" si="6"/>
        <v>Seat Lug-6S</v>
      </c>
      <c r="D141" s="2" t="s">
        <v>883</v>
      </c>
      <c r="E141" s="2" t="s">
        <v>884</v>
      </c>
      <c r="G141">
        <v>1</v>
      </c>
      <c r="H141">
        <f t="shared" ca="1" si="7"/>
        <v>9058.0092731097448</v>
      </c>
      <c r="I141">
        <v>34521395</v>
      </c>
      <c r="J141">
        <f t="shared" ca="1" si="8"/>
        <v>600</v>
      </c>
      <c r="R141" t="s">
        <v>509</v>
      </c>
    </row>
    <row r="142" spans="1:18" x14ac:dyDescent="0.35">
      <c r="A142">
        <v>76891213282</v>
      </c>
      <c r="B142" t="str">
        <f t="shared" ca="1" si="6"/>
        <v>ML Fork-6S</v>
      </c>
      <c r="D142" s="2" t="s">
        <v>883</v>
      </c>
      <c r="E142" s="2" t="s">
        <v>884</v>
      </c>
      <c r="G142">
        <v>1</v>
      </c>
      <c r="H142">
        <f t="shared" ca="1" si="7"/>
        <v>7043.1528369539874</v>
      </c>
      <c r="I142">
        <v>34521396</v>
      </c>
      <c r="J142">
        <f t="shared" ca="1" si="8"/>
        <v>800</v>
      </c>
      <c r="R142" t="s">
        <v>510</v>
      </c>
    </row>
    <row r="143" spans="1:18" x14ac:dyDescent="0.35">
      <c r="A143">
        <v>76891213283</v>
      </c>
      <c r="B143" t="str">
        <f t="shared" ca="1" si="6"/>
        <v>HL Crankset-10Z</v>
      </c>
      <c r="D143" s="2" t="s">
        <v>883</v>
      </c>
      <c r="E143" s="2" t="s">
        <v>884</v>
      </c>
      <c r="G143">
        <v>1</v>
      </c>
      <c r="H143">
        <f t="shared" ca="1" si="7"/>
        <v>871.93450976358122</v>
      </c>
      <c r="I143">
        <v>34521397</v>
      </c>
      <c r="J143">
        <f t="shared" ca="1" si="8"/>
        <v>800</v>
      </c>
      <c r="R143" t="s">
        <v>511</v>
      </c>
    </row>
    <row r="144" spans="1:18" x14ac:dyDescent="0.35">
      <c r="A144">
        <v>76891213284</v>
      </c>
      <c r="B144" t="str">
        <f t="shared" ca="1" si="6"/>
        <v>LL Road Frame - Black, 60-10Z</v>
      </c>
      <c r="D144" s="2" t="s">
        <v>883</v>
      </c>
      <c r="E144" s="2" t="s">
        <v>884</v>
      </c>
      <c r="G144">
        <v>1</v>
      </c>
      <c r="H144">
        <f t="shared" ca="1" si="7"/>
        <v>8438.9292821455692</v>
      </c>
      <c r="I144">
        <v>34521398</v>
      </c>
      <c r="J144">
        <f t="shared" ca="1" si="8"/>
        <v>600</v>
      </c>
      <c r="R144" t="s">
        <v>512</v>
      </c>
    </row>
    <row r="145" spans="1:18" x14ac:dyDescent="0.35">
      <c r="A145">
        <v>76891213285</v>
      </c>
      <c r="B145" t="str">
        <f t="shared" ca="1" si="6"/>
        <v>Fork Crown-6S</v>
      </c>
      <c r="D145" s="2" t="s">
        <v>883</v>
      </c>
      <c r="E145" s="2" t="s">
        <v>884</v>
      </c>
      <c r="G145">
        <v>1</v>
      </c>
      <c r="H145">
        <f t="shared" ca="1" si="7"/>
        <v>2999.1680501372957</v>
      </c>
      <c r="I145">
        <v>34521399</v>
      </c>
      <c r="J145">
        <f t="shared" ca="1" si="8"/>
        <v>200</v>
      </c>
      <c r="R145" t="s">
        <v>513</v>
      </c>
    </row>
    <row r="146" spans="1:18" x14ac:dyDescent="0.35">
      <c r="A146">
        <v>76891213286</v>
      </c>
      <c r="B146" t="str">
        <f t="shared" ca="1" si="6"/>
        <v>Hex Nut 17-9Z</v>
      </c>
      <c r="D146" s="2" t="s">
        <v>883</v>
      </c>
      <c r="E146" s="2" t="s">
        <v>884</v>
      </c>
      <c r="G146">
        <v>1</v>
      </c>
      <c r="H146">
        <f t="shared" ca="1" si="7"/>
        <v>1704.9939045740014</v>
      </c>
      <c r="I146">
        <v>34521400</v>
      </c>
      <c r="J146">
        <f t="shared" ca="1" si="8"/>
        <v>800</v>
      </c>
      <c r="R146" t="s">
        <v>514</v>
      </c>
    </row>
    <row r="147" spans="1:18" x14ac:dyDescent="0.35">
      <c r="A147">
        <v>76891213287</v>
      </c>
      <c r="B147" t="str">
        <f t="shared" ca="1" si="6"/>
        <v>ML Road Frame-W - Yellow, 38-6S</v>
      </c>
      <c r="D147" s="2" t="s">
        <v>883</v>
      </c>
      <c r="E147" s="2" t="s">
        <v>884</v>
      </c>
      <c r="G147">
        <v>1</v>
      </c>
      <c r="H147">
        <f t="shared" ca="1" si="7"/>
        <v>9651.4910930548576</v>
      </c>
      <c r="I147">
        <v>34521401</v>
      </c>
      <c r="J147">
        <f t="shared" ca="1" si="8"/>
        <v>900</v>
      </c>
      <c r="R147" t="s">
        <v>515</v>
      </c>
    </row>
    <row r="148" spans="1:18" x14ac:dyDescent="0.35">
      <c r="A148">
        <v>76891213288</v>
      </c>
      <c r="B148" t="str">
        <f t="shared" ca="1" si="6"/>
        <v>Lock Nut 8-9Z</v>
      </c>
      <c r="D148" s="2" t="s">
        <v>883</v>
      </c>
      <c r="E148" s="2" t="s">
        <v>884</v>
      </c>
      <c r="G148">
        <v>1</v>
      </c>
      <c r="H148">
        <f t="shared" ca="1" si="7"/>
        <v>6634.5213683580823</v>
      </c>
      <c r="I148">
        <v>34521402</v>
      </c>
      <c r="J148">
        <f t="shared" ca="1" si="8"/>
        <v>900</v>
      </c>
      <c r="R148" t="s">
        <v>516</v>
      </c>
    </row>
    <row r="149" spans="1:18" x14ac:dyDescent="0.35">
      <c r="A149">
        <v>76891213289</v>
      </c>
      <c r="B149" t="str">
        <f t="shared" ca="1" si="6"/>
        <v>Seat Post-10Z</v>
      </c>
      <c r="D149" s="2" t="s">
        <v>883</v>
      </c>
      <c r="E149" s="2" t="s">
        <v>884</v>
      </c>
      <c r="G149">
        <v>1</v>
      </c>
      <c r="H149">
        <f t="shared" ca="1" si="7"/>
        <v>599.26301967646748</v>
      </c>
      <c r="I149">
        <v>34521403</v>
      </c>
      <c r="J149">
        <f t="shared" ca="1" si="8"/>
        <v>500</v>
      </c>
      <c r="R149" t="s">
        <v>517</v>
      </c>
    </row>
    <row r="150" spans="1:18" x14ac:dyDescent="0.35">
      <c r="A150">
        <v>76891213290</v>
      </c>
      <c r="B150" t="str">
        <f t="shared" ca="1" si="6"/>
        <v>External Lock Washer 1-2T</v>
      </c>
      <c r="D150" s="2" t="s">
        <v>883</v>
      </c>
      <c r="E150" s="2" t="s">
        <v>884</v>
      </c>
      <c r="G150">
        <v>1</v>
      </c>
      <c r="H150">
        <f t="shared" ca="1" si="7"/>
        <v>8789.9228489399866</v>
      </c>
      <c r="I150">
        <v>34521404</v>
      </c>
      <c r="J150">
        <f t="shared" ca="1" si="8"/>
        <v>200</v>
      </c>
      <c r="R150" t="s">
        <v>518</v>
      </c>
    </row>
    <row r="151" spans="1:18" x14ac:dyDescent="0.35">
      <c r="A151">
        <v>76891213291</v>
      </c>
      <c r="B151" t="str">
        <f t="shared" ca="1" si="6"/>
        <v>Mountain-300 Black, 40-2T</v>
      </c>
      <c r="D151" s="2" t="s">
        <v>883</v>
      </c>
      <c r="E151" s="2" t="s">
        <v>884</v>
      </c>
      <c r="G151">
        <v>1</v>
      </c>
      <c r="H151">
        <f t="shared" ca="1" si="7"/>
        <v>8661.3541584480317</v>
      </c>
      <c r="I151">
        <v>34521405</v>
      </c>
      <c r="J151">
        <f t="shared" ca="1" si="8"/>
        <v>100</v>
      </c>
      <c r="R151" t="s">
        <v>519</v>
      </c>
    </row>
    <row r="152" spans="1:18" x14ac:dyDescent="0.35">
      <c r="A152">
        <v>76891213292</v>
      </c>
      <c r="B152" t="str">
        <f t="shared" ca="1" si="6"/>
        <v>Men's Bib-Shorts, S-8S</v>
      </c>
      <c r="D152" s="2" t="s">
        <v>883</v>
      </c>
      <c r="E152" s="2" t="s">
        <v>884</v>
      </c>
      <c r="G152">
        <v>1</v>
      </c>
      <c r="H152">
        <f t="shared" ca="1" si="7"/>
        <v>6706.8830844652466</v>
      </c>
      <c r="I152">
        <v>34521406</v>
      </c>
      <c r="J152">
        <f t="shared" ca="1" si="8"/>
        <v>500</v>
      </c>
      <c r="R152" t="s">
        <v>520</v>
      </c>
    </row>
    <row r="153" spans="1:18" x14ac:dyDescent="0.35">
      <c r="A153">
        <v>76891213293</v>
      </c>
      <c r="B153" t="str">
        <f t="shared" ca="1" si="6"/>
        <v>Thin-Jam Lock Nut 1-1T</v>
      </c>
      <c r="D153" s="2" t="s">
        <v>883</v>
      </c>
      <c r="E153" s="2" t="s">
        <v>884</v>
      </c>
      <c r="G153">
        <v>1</v>
      </c>
      <c r="H153">
        <f t="shared" ca="1" si="7"/>
        <v>1389.1874106181256</v>
      </c>
      <c r="I153">
        <v>34521407</v>
      </c>
      <c r="J153">
        <f t="shared" ca="1" si="8"/>
        <v>100</v>
      </c>
      <c r="R153" t="s">
        <v>521</v>
      </c>
    </row>
    <row r="154" spans="1:18" x14ac:dyDescent="0.35">
      <c r="A154">
        <v>76891213294</v>
      </c>
      <c r="B154" t="str">
        <f t="shared" ca="1" si="6"/>
        <v>Hex Nut 12-2T</v>
      </c>
      <c r="D154" s="2" t="s">
        <v>883</v>
      </c>
      <c r="E154" s="2" t="s">
        <v>884</v>
      </c>
      <c r="G154">
        <v>1</v>
      </c>
      <c r="H154">
        <f t="shared" ca="1" si="7"/>
        <v>1758.1992003080466</v>
      </c>
      <c r="I154">
        <v>34521408</v>
      </c>
      <c r="J154">
        <f t="shared" ca="1" si="8"/>
        <v>200</v>
      </c>
      <c r="R154" t="s">
        <v>522</v>
      </c>
    </row>
    <row r="155" spans="1:18" x14ac:dyDescent="0.35">
      <c r="A155">
        <v>76891213295</v>
      </c>
      <c r="B155" t="str">
        <f t="shared" ca="1" si="6"/>
        <v>Road-250 Black, 58-2T</v>
      </c>
      <c r="D155" s="2" t="s">
        <v>883</v>
      </c>
      <c r="E155" s="2" t="s">
        <v>884</v>
      </c>
      <c r="G155">
        <v>1</v>
      </c>
      <c r="H155">
        <f t="shared" ca="1" si="7"/>
        <v>8376.1725815416812</v>
      </c>
      <c r="I155">
        <v>34521409</v>
      </c>
      <c r="J155">
        <f t="shared" ca="1" si="8"/>
        <v>100</v>
      </c>
      <c r="R155" t="s">
        <v>523</v>
      </c>
    </row>
    <row r="156" spans="1:18" x14ac:dyDescent="0.35">
      <c r="A156">
        <v>76891213296</v>
      </c>
      <c r="B156" t="str">
        <f t="shared" ca="1" si="6"/>
        <v>HL Mountain Frame - Black, 42-10Z</v>
      </c>
      <c r="D156" s="2" t="s">
        <v>883</v>
      </c>
      <c r="E156" s="2" t="s">
        <v>884</v>
      </c>
      <c r="G156">
        <v>1</v>
      </c>
      <c r="H156">
        <f t="shared" ca="1" si="7"/>
        <v>6799.4730385147304</v>
      </c>
      <c r="I156">
        <v>34521410</v>
      </c>
      <c r="J156">
        <f t="shared" ca="1" si="8"/>
        <v>200</v>
      </c>
      <c r="R156" t="s">
        <v>524</v>
      </c>
    </row>
    <row r="157" spans="1:18" x14ac:dyDescent="0.35">
      <c r="A157">
        <v>76891213297</v>
      </c>
      <c r="B157" t="str">
        <f t="shared" ca="1" si="6"/>
        <v>Men's Bib-Shorts, S-1T</v>
      </c>
      <c r="D157" s="2" t="s">
        <v>883</v>
      </c>
      <c r="E157" s="2" t="s">
        <v>884</v>
      </c>
      <c r="G157">
        <v>1</v>
      </c>
      <c r="H157">
        <f t="shared" ca="1" si="7"/>
        <v>1230.6506719710349</v>
      </c>
      <c r="I157">
        <v>34521411</v>
      </c>
      <c r="J157">
        <f t="shared" ca="1" si="8"/>
        <v>800</v>
      </c>
      <c r="R157" t="s">
        <v>525</v>
      </c>
    </row>
    <row r="158" spans="1:18" x14ac:dyDescent="0.35">
      <c r="A158">
        <v>76891213298</v>
      </c>
      <c r="B158" t="str">
        <f t="shared" ca="1" si="6"/>
        <v>ML Road Frame-W - Yellow, 40-2T</v>
      </c>
      <c r="D158" s="2" t="s">
        <v>883</v>
      </c>
      <c r="E158" s="2" t="s">
        <v>884</v>
      </c>
      <c r="G158">
        <v>1</v>
      </c>
      <c r="H158">
        <f t="shared" ca="1" si="7"/>
        <v>8806.9548730318475</v>
      </c>
      <c r="I158">
        <v>34521412</v>
      </c>
      <c r="J158">
        <f t="shared" ca="1" si="8"/>
        <v>300</v>
      </c>
      <c r="R158" t="s">
        <v>526</v>
      </c>
    </row>
    <row r="159" spans="1:18" x14ac:dyDescent="0.35">
      <c r="A159">
        <v>76891213299</v>
      </c>
      <c r="B159" t="str">
        <f t="shared" ca="1" si="6"/>
        <v>Metal Plate 3-8S</v>
      </c>
      <c r="D159" s="2" t="s">
        <v>883</v>
      </c>
      <c r="E159" s="2" t="s">
        <v>884</v>
      </c>
      <c r="G159">
        <v>1</v>
      </c>
      <c r="H159">
        <f t="shared" ca="1" si="7"/>
        <v>2827.2951808398761</v>
      </c>
      <c r="I159">
        <v>34521413</v>
      </c>
      <c r="J159">
        <f t="shared" ca="1" si="8"/>
        <v>1000</v>
      </c>
      <c r="R159" t="s">
        <v>527</v>
      </c>
    </row>
    <row r="160" spans="1:18" x14ac:dyDescent="0.35">
      <c r="A160">
        <v>76891213300</v>
      </c>
      <c r="B160" t="str">
        <f t="shared" ca="1" si="6"/>
        <v>Half-Finger Gloves, M-9Z</v>
      </c>
      <c r="D160" s="2" t="s">
        <v>883</v>
      </c>
      <c r="E160" s="2" t="s">
        <v>884</v>
      </c>
      <c r="G160">
        <v>1</v>
      </c>
      <c r="H160">
        <f t="shared" ca="1" si="7"/>
        <v>7933.1351105062431</v>
      </c>
      <c r="I160">
        <v>34521414</v>
      </c>
      <c r="J160">
        <f t="shared" ca="1" si="8"/>
        <v>100</v>
      </c>
      <c r="R160" t="s">
        <v>528</v>
      </c>
    </row>
    <row r="161" spans="1:18" x14ac:dyDescent="0.35">
      <c r="A161">
        <v>76891213301</v>
      </c>
      <c r="B161" t="str">
        <f t="shared" ca="1" si="6"/>
        <v>HL Mountain Frame - Black, 38-9Z</v>
      </c>
      <c r="D161" s="2" t="s">
        <v>883</v>
      </c>
      <c r="E161" s="2" t="s">
        <v>884</v>
      </c>
      <c r="G161">
        <v>1</v>
      </c>
      <c r="H161">
        <f t="shared" ca="1" si="7"/>
        <v>7819.5992848678015</v>
      </c>
      <c r="I161">
        <v>34521415</v>
      </c>
      <c r="J161">
        <f t="shared" ca="1" si="8"/>
        <v>1000</v>
      </c>
      <c r="R161" t="s">
        <v>529</v>
      </c>
    </row>
    <row r="162" spans="1:18" x14ac:dyDescent="0.35">
      <c r="A162">
        <v>76891213302</v>
      </c>
      <c r="B162" t="str">
        <f t="shared" ca="1" si="6"/>
        <v>HL Touring Seat Assembly-10Z</v>
      </c>
      <c r="D162" s="2" t="s">
        <v>883</v>
      </c>
      <c r="E162" s="2" t="s">
        <v>884</v>
      </c>
      <c r="G162">
        <v>1</v>
      </c>
      <c r="H162">
        <f t="shared" ca="1" si="7"/>
        <v>854.8584191118091</v>
      </c>
      <c r="I162">
        <v>34521416</v>
      </c>
      <c r="J162">
        <f t="shared" ca="1" si="8"/>
        <v>600</v>
      </c>
      <c r="R162" t="s">
        <v>530</v>
      </c>
    </row>
    <row r="163" spans="1:18" x14ac:dyDescent="0.35">
      <c r="A163">
        <v>76891213303</v>
      </c>
      <c r="B163" t="str">
        <f t="shared" ca="1" si="6"/>
        <v>LL Road Frame - Black, 58-2T</v>
      </c>
      <c r="D163" s="2" t="s">
        <v>883</v>
      </c>
      <c r="E163" s="2" t="s">
        <v>884</v>
      </c>
      <c r="G163">
        <v>1</v>
      </c>
      <c r="H163">
        <f t="shared" ca="1" si="7"/>
        <v>1963.1587713825188</v>
      </c>
      <c r="I163">
        <v>34521417</v>
      </c>
      <c r="J163">
        <f t="shared" ca="1" si="8"/>
        <v>200</v>
      </c>
      <c r="R163" t="s">
        <v>531</v>
      </c>
    </row>
    <row r="164" spans="1:18" x14ac:dyDescent="0.35">
      <c r="A164">
        <v>76891213304</v>
      </c>
      <c r="B164" t="str">
        <f t="shared" ca="1" si="6"/>
        <v>Mountain-500 Black, 44-2T</v>
      </c>
      <c r="D164" s="2" t="s">
        <v>883</v>
      </c>
      <c r="E164" s="2" t="s">
        <v>884</v>
      </c>
      <c r="G164">
        <v>1</v>
      </c>
      <c r="H164">
        <f t="shared" ca="1" si="7"/>
        <v>6666.5905638765125</v>
      </c>
      <c r="I164">
        <v>34521418</v>
      </c>
      <c r="J164">
        <f t="shared" ca="1" si="8"/>
        <v>800</v>
      </c>
      <c r="R164" t="s">
        <v>532</v>
      </c>
    </row>
    <row r="165" spans="1:18" x14ac:dyDescent="0.35">
      <c r="A165">
        <v>76891213305</v>
      </c>
      <c r="B165" t="str">
        <f t="shared" ca="1" si="6"/>
        <v>Handlebar Tube-2T</v>
      </c>
      <c r="D165" s="2" t="s">
        <v>883</v>
      </c>
      <c r="E165" s="2" t="s">
        <v>884</v>
      </c>
      <c r="G165">
        <v>1</v>
      </c>
      <c r="H165">
        <f t="shared" ca="1" si="7"/>
        <v>7454.0016740690317</v>
      </c>
      <c r="I165">
        <v>34521419</v>
      </c>
      <c r="J165">
        <f t="shared" ca="1" si="8"/>
        <v>900</v>
      </c>
      <c r="R165" t="s">
        <v>533</v>
      </c>
    </row>
    <row r="166" spans="1:18" x14ac:dyDescent="0.35">
      <c r="A166">
        <v>76891213306</v>
      </c>
      <c r="B166" t="str">
        <f t="shared" ca="1" si="6"/>
        <v>Touring-3000 Yellow, 58-10Z</v>
      </c>
      <c r="D166" s="2" t="s">
        <v>883</v>
      </c>
      <c r="E166" s="2" t="s">
        <v>884</v>
      </c>
      <c r="G166">
        <v>1</v>
      </c>
      <c r="H166">
        <f t="shared" ca="1" si="7"/>
        <v>7186.6067775573456</v>
      </c>
      <c r="I166">
        <v>34521420</v>
      </c>
      <c r="J166">
        <f t="shared" ca="1" si="8"/>
        <v>200</v>
      </c>
      <c r="R166" t="s">
        <v>534</v>
      </c>
    </row>
    <row r="167" spans="1:18" x14ac:dyDescent="0.35">
      <c r="A167">
        <v>76891213307</v>
      </c>
      <c r="B167" t="str">
        <f t="shared" ca="1" si="6"/>
        <v>Top Tube-6S</v>
      </c>
      <c r="D167" s="2" t="s">
        <v>883</v>
      </c>
      <c r="E167" s="2" t="s">
        <v>884</v>
      </c>
      <c r="G167">
        <v>1</v>
      </c>
      <c r="H167">
        <f t="shared" ca="1" si="7"/>
        <v>1208.3322908082841</v>
      </c>
      <c r="I167">
        <v>34521421</v>
      </c>
      <c r="J167">
        <f t="shared" ca="1" si="8"/>
        <v>800</v>
      </c>
      <c r="R167" t="s">
        <v>535</v>
      </c>
    </row>
    <row r="168" spans="1:18" x14ac:dyDescent="0.35">
      <c r="A168">
        <v>76891213308</v>
      </c>
      <c r="B168" t="str">
        <f t="shared" ca="1" si="6"/>
        <v>ML Fork-2T</v>
      </c>
      <c r="D168" s="2" t="s">
        <v>883</v>
      </c>
      <c r="E168" s="2" t="s">
        <v>884</v>
      </c>
      <c r="G168">
        <v>1</v>
      </c>
      <c r="H168">
        <f t="shared" ca="1" si="7"/>
        <v>6506.0693874211602</v>
      </c>
      <c r="I168">
        <v>34521422</v>
      </c>
      <c r="J168">
        <f t="shared" ca="1" si="8"/>
        <v>500</v>
      </c>
      <c r="R168" t="s">
        <v>536</v>
      </c>
    </row>
    <row r="169" spans="1:18" x14ac:dyDescent="0.35">
      <c r="A169">
        <v>76891213309</v>
      </c>
      <c r="B169" t="str">
        <f t="shared" ca="1" si="6"/>
        <v>HL Headset-1T</v>
      </c>
      <c r="D169" s="2" t="s">
        <v>883</v>
      </c>
      <c r="E169" s="2" t="s">
        <v>884</v>
      </c>
      <c r="G169">
        <v>1</v>
      </c>
      <c r="H169">
        <f t="shared" ca="1" si="7"/>
        <v>9419.1161906135585</v>
      </c>
      <c r="I169">
        <v>34521423</v>
      </c>
      <c r="J169">
        <f t="shared" ca="1" si="8"/>
        <v>400</v>
      </c>
      <c r="R169" t="s">
        <v>537</v>
      </c>
    </row>
    <row r="170" spans="1:18" x14ac:dyDescent="0.35">
      <c r="A170">
        <v>76891213310</v>
      </c>
      <c r="B170" t="str">
        <f t="shared" ca="1" si="6"/>
        <v>Mountain-500 Silver, 52-2T</v>
      </c>
      <c r="D170" s="2" t="s">
        <v>883</v>
      </c>
      <c r="E170" s="2" t="s">
        <v>884</v>
      </c>
      <c r="G170">
        <v>1</v>
      </c>
      <c r="H170">
        <f t="shared" ca="1" si="7"/>
        <v>7148.7204018000157</v>
      </c>
      <c r="I170">
        <v>34521424</v>
      </c>
      <c r="J170">
        <f t="shared" ca="1" si="8"/>
        <v>500</v>
      </c>
      <c r="R170" t="s">
        <v>538</v>
      </c>
    </row>
    <row r="171" spans="1:18" x14ac:dyDescent="0.35">
      <c r="A171">
        <v>76891213311</v>
      </c>
      <c r="B171" t="str">
        <f t="shared" ca="1" si="6"/>
        <v>HL Hub-8S</v>
      </c>
      <c r="D171" s="2" t="s">
        <v>883</v>
      </c>
      <c r="E171" s="2" t="s">
        <v>884</v>
      </c>
      <c r="G171">
        <v>1</v>
      </c>
      <c r="H171">
        <f t="shared" ca="1" si="7"/>
        <v>6621.6992314843292</v>
      </c>
      <c r="I171">
        <v>34521425</v>
      </c>
      <c r="J171">
        <f t="shared" ca="1" si="8"/>
        <v>800</v>
      </c>
      <c r="R171" t="s">
        <v>539</v>
      </c>
    </row>
    <row r="172" spans="1:18" x14ac:dyDescent="0.35">
      <c r="A172">
        <v>76891213312</v>
      </c>
      <c r="B172" t="str">
        <f t="shared" ca="1" si="6"/>
        <v>Pinch Bolt-10Z</v>
      </c>
      <c r="D172" s="2" t="s">
        <v>883</v>
      </c>
      <c r="E172" s="2" t="s">
        <v>884</v>
      </c>
      <c r="G172">
        <v>1</v>
      </c>
      <c r="H172">
        <f t="shared" ca="1" si="7"/>
        <v>4852.9147599245198</v>
      </c>
      <c r="I172">
        <v>34521426</v>
      </c>
      <c r="J172">
        <f t="shared" ca="1" si="8"/>
        <v>100</v>
      </c>
      <c r="R172" t="s">
        <v>540</v>
      </c>
    </row>
    <row r="173" spans="1:18" x14ac:dyDescent="0.35">
      <c r="A173">
        <v>76891213313</v>
      </c>
      <c r="B173" t="str">
        <f t="shared" ca="1" si="6"/>
        <v>Hex Nut 20-6S</v>
      </c>
      <c r="D173" s="2" t="s">
        <v>883</v>
      </c>
      <c r="E173" s="2" t="s">
        <v>884</v>
      </c>
      <c r="G173">
        <v>1</v>
      </c>
      <c r="H173">
        <f t="shared" ca="1" si="7"/>
        <v>5342.3019107040554</v>
      </c>
      <c r="I173">
        <v>34521427</v>
      </c>
      <c r="J173">
        <f t="shared" ca="1" si="8"/>
        <v>900</v>
      </c>
      <c r="R173" t="s">
        <v>541</v>
      </c>
    </row>
    <row r="174" spans="1:18" x14ac:dyDescent="0.35">
      <c r="A174">
        <v>76891213314</v>
      </c>
      <c r="B174" t="str">
        <f t="shared" ca="1" si="6"/>
        <v>LL Road Frame - Black, 58-10Z</v>
      </c>
      <c r="D174" s="2" t="s">
        <v>883</v>
      </c>
      <c r="E174" s="2" t="s">
        <v>884</v>
      </c>
      <c r="G174">
        <v>1</v>
      </c>
      <c r="H174">
        <f t="shared" ca="1" si="7"/>
        <v>8987.665477288343</v>
      </c>
      <c r="I174">
        <v>34521428</v>
      </c>
      <c r="J174">
        <f t="shared" ca="1" si="8"/>
        <v>1000</v>
      </c>
      <c r="R174" t="s">
        <v>542</v>
      </c>
    </row>
    <row r="175" spans="1:18" x14ac:dyDescent="0.35">
      <c r="A175">
        <v>76891213315</v>
      </c>
      <c r="B175" t="str">
        <f t="shared" ca="1" si="6"/>
        <v>ML Fork-3T</v>
      </c>
      <c r="D175" s="2" t="s">
        <v>883</v>
      </c>
      <c r="E175" s="2" t="s">
        <v>884</v>
      </c>
      <c r="G175">
        <v>1</v>
      </c>
      <c r="H175">
        <f t="shared" ca="1" si="7"/>
        <v>7481.1201557333497</v>
      </c>
      <c r="I175">
        <v>34521429</v>
      </c>
      <c r="J175">
        <f t="shared" ca="1" si="8"/>
        <v>800</v>
      </c>
      <c r="R175" t="s">
        <v>543</v>
      </c>
    </row>
    <row r="176" spans="1:18" x14ac:dyDescent="0.35">
      <c r="A176">
        <v>76891213316</v>
      </c>
      <c r="B176" t="str">
        <f t="shared" ca="1" si="6"/>
        <v>Road-550-W Yellow, 38-3T</v>
      </c>
      <c r="D176" s="2" t="s">
        <v>883</v>
      </c>
      <c r="E176" s="2" t="s">
        <v>884</v>
      </c>
      <c r="G176">
        <v>1</v>
      </c>
      <c r="H176">
        <f t="shared" ca="1" si="7"/>
        <v>1710.7168304779898</v>
      </c>
      <c r="I176">
        <v>34521430</v>
      </c>
      <c r="J176">
        <f t="shared" ca="1" si="8"/>
        <v>300</v>
      </c>
      <c r="R176" t="s">
        <v>544</v>
      </c>
    </row>
    <row r="177" spans="1:18" x14ac:dyDescent="0.35">
      <c r="A177">
        <v>76891213317</v>
      </c>
      <c r="B177" t="str">
        <f t="shared" ca="1" si="6"/>
        <v>All-Purpose Bike Stand-8S</v>
      </c>
      <c r="D177" s="2" t="s">
        <v>883</v>
      </c>
      <c r="E177" s="2" t="s">
        <v>884</v>
      </c>
      <c r="G177">
        <v>1</v>
      </c>
      <c r="H177">
        <f t="shared" ca="1" si="7"/>
        <v>8735.0905789967401</v>
      </c>
      <c r="I177">
        <v>34521431</v>
      </c>
      <c r="J177">
        <f t="shared" ca="1" si="8"/>
        <v>100</v>
      </c>
      <c r="R177" t="s">
        <v>545</v>
      </c>
    </row>
    <row r="178" spans="1:18" x14ac:dyDescent="0.35">
      <c r="A178">
        <v>76891213318</v>
      </c>
      <c r="B178" t="str">
        <f t="shared" ca="1" si="6"/>
        <v>HL Road Tire-2T</v>
      </c>
      <c r="D178" s="2" t="s">
        <v>883</v>
      </c>
      <c r="E178" s="2" t="s">
        <v>884</v>
      </c>
      <c r="G178">
        <v>1</v>
      </c>
      <c r="H178">
        <f t="shared" ca="1" si="7"/>
        <v>8260.5762424972345</v>
      </c>
      <c r="I178">
        <v>34521432</v>
      </c>
      <c r="J178">
        <f t="shared" ca="1" si="8"/>
        <v>700</v>
      </c>
      <c r="R178" t="s">
        <v>546</v>
      </c>
    </row>
    <row r="179" spans="1:18" x14ac:dyDescent="0.35">
      <c r="A179">
        <v>76891213319</v>
      </c>
      <c r="B179" t="str">
        <f t="shared" ca="1" si="6"/>
        <v>Hex Nut 10-9Z</v>
      </c>
      <c r="D179" s="2" t="s">
        <v>883</v>
      </c>
      <c r="E179" s="2" t="s">
        <v>884</v>
      </c>
      <c r="G179">
        <v>1</v>
      </c>
      <c r="H179">
        <f t="shared" ca="1" si="7"/>
        <v>9761.3302948596265</v>
      </c>
      <c r="I179">
        <v>34521433</v>
      </c>
      <c r="J179">
        <f t="shared" ca="1" si="8"/>
        <v>900</v>
      </c>
      <c r="R179" t="s">
        <v>547</v>
      </c>
    </row>
    <row r="180" spans="1:18" x14ac:dyDescent="0.35">
      <c r="A180">
        <v>76891213320</v>
      </c>
      <c r="B180" t="str">
        <f t="shared" ca="1" si="6"/>
        <v>Road-750 Black, 58-6S</v>
      </c>
      <c r="D180" s="2" t="s">
        <v>883</v>
      </c>
      <c r="E180" s="2" t="s">
        <v>884</v>
      </c>
      <c r="G180">
        <v>1</v>
      </c>
      <c r="H180">
        <f t="shared" ca="1" si="7"/>
        <v>3481.7028429663255</v>
      </c>
      <c r="I180">
        <v>34521434</v>
      </c>
      <c r="J180">
        <f t="shared" ca="1" si="8"/>
        <v>800</v>
      </c>
      <c r="R180" t="s">
        <v>548</v>
      </c>
    </row>
    <row r="181" spans="1:18" x14ac:dyDescent="0.35">
      <c r="A181">
        <v>76891213321</v>
      </c>
      <c r="B181" t="str">
        <f t="shared" ca="1" si="6"/>
        <v>Front Derailleur Linkage-1T</v>
      </c>
      <c r="D181" s="2" t="s">
        <v>883</v>
      </c>
      <c r="E181" s="2" t="s">
        <v>884</v>
      </c>
      <c r="G181">
        <v>1</v>
      </c>
      <c r="H181">
        <f t="shared" ca="1" si="7"/>
        <v>9543.4672699482726</v>
      </c>
      <c r="I181">
        <v>34521435</v>
      </c>
      <c r="J181">
        <f t="shared" ca="1" si="8"/>
        <v>800</v>
      </c>
      <c r="R181" t="s">
        <v>549</v>
      </c>
    </row>
    <row r="182" spans="1:18" x14ac:dyDescent="0.35">
      <c r="A182">
        <v>76891213322</v>
      </c>
      <c r="B182" t="str">
        <f t="shared" ca="1" si="6"/>
        <v>LL Road Tire-6S</v>
      </c>
      <c r="D182" s="2" t="s">
        <v>883</v>
      </c>
      <c r="E182" s="2" t="s">
        <v>884</v>
      </c>
      <c r="G182">
        <v>1</v>
      </c>
      <c r="H182">
        <f t="shared" ca="1" si="7"/>
        <v>941.07053196484935</v>
      </c>
      <c r="I182">
        <v>34521436</v>
      </c>
      <c r="J182">
        <f t="shared" ca="1" si="8"/>
        <v>800</v>
      </c>
      <c r="R182" t="s">
        <v>550</v>
      </c>
    </row>
    <row r="183" spans="1:18" x14ac:dyDescent="0.35">
      <c r="A183">
        <v>76891213323</v>
      </c>
      <c r="B183" t="str">
        <f t="shared" ca="1" si="6"/>
        <v>Road-150 Red, 48-6S</v>
      </c>
      <c r="D183" s="2" t="s">
        <v>883</v>
      </c>
      <c r="E183" s="2" t="s">
        <v>884</v>
      </c>
      <c r="G183">
        <v>1</v>
      </c>
      <c r="H183">
        <f t="shared" ca="1" si="7"/>
        <v>2479.1591943264802</v>
      </c>
      <c r="I183">
        <v>34521437</v>
      </c>
      <c r="J183">
        <f t="shared" ca="1" si="8"/>
        <v>1000</v>
      </c>
      <c r="R183" t="s">
        <v>551</v>
      </c>
    </row>
    <row r="184" spans="1:18" x14ac:dyDescent="0.35">
      <c r="A184">
        <v>76891213324</v>
      </c>
      <c r="B184" t="str">
        <f t="shared" ca="1" si="6"/>
        <v>Metal Plate 2-9Z</v>
      </c>
      <c r="D184" s="2" t="s">
        <v>883</v>
      </c>
      <c r="E184" s="2" t="s">
        <v>884</v>
      </c>
      <c r="G184">
        <v>1</v>
      </c>
      <c r="H184">
        <f t="shared" ca="1" si="7"/>
        <v>5167.9016211713106</v>
      </c>
      <c r="I184">
        <v>34521438</v>
      </c>
      <c r="J184">
        <f t="shared" ca="1" si="8"/>
        <v>100</v>
      </c>
      <c r="R184" t="s">
        <v>552</v>
      </c>
    </row>
    <row r="185" spans="1:18" x14ac:dyDescent="0.35">
      <c r="A185">
        <v>76891213325</v>
      </c>
      <c r="B185" t="str">
        <f t="shared" ca="1" si="6"/>
        <v>Long-Sleeve Logo Jersey, XL-2T</v>
      </c>
      <c r="D185" s="2" t="s">
        <v>883</v>
      </c>
      <c r="E185" s="2" t="s">
        <v>884</v>
      </c>
      <c r="G185">
        <v>1</v>
      </c>
      <c r="H185">
        <f t="shared" ca="1" si="7"/>
        <v>7717.8815474662742</v>
      </c>
      <c r="I185">
        <v>34521439</v>
      </c>
      <c r="J185">
        <f t="shared" ca="1" si="8"/>
        <v>600</v>
      </c>
      <c r="R185" t="s">
        <v>553</v>
      </c>
    </row>
    <row r="186" spans="1:18" x14ac:dyDescent="0.35">
      <c r="A186">
        <v>76891213326</v>
      </c>
      <c r="B186" t="str">
        <f t="shared" ca="1" si="6"/>
        <v>Thin-Jam Hex Nut 5-3T</v>
      </c>
      <c r="D186" s="2" t="s">
        <v>883</v>
      </c>
      <c r="E186" s="2" t="s">
        <v>884</v>
      </c>
      <c r="G186">
        <v>1</v>
      </c>
      <c r="H186">
        <f t="shared" ca="1" si="7"/>
        <v>8893.450961561346</v>
      </c>
      <c r="I186">
        <v>34521440</v>
      </c>
      <c r="J186">
        <f t="shared" ca="1" si="8"/>
        <v>900</v>
      </c>
      <c r="R186" t="s">
        <v>554</v>
      </c>
    </row>
    <row r="187" spans="1:18" x14ac:dyDescent="0.35">
      <c r="A187">
        <v>76891213327</v>
      </c>
      <c r="B187" t="str">
        <f t="shared" ca="1" si="6"/>
        <v>LL Mountain Frame - Black, 52-3T</v>
      </c>
      <c r="D187" s="2" t="s">
        <v>883</v>
      </c>
      <c r="E187" s="2" t="s">
        <v>884</v>
      </c>
      <c r="G187">
        <v>1</v>
      </c>
      <c r="H187">
        <f t="shared" ca="1" si="7"/>
        <v>2188.043722839745</v>
      </c>
      <c r="I187">
        <v>34521441</v>
      </c>
      <c r="J187">
        <f t="shared" ca="1" si="8"/>
        <v>100</v>
      </c>
      <c r="R187" t="s">
        <v>555</v>
      </c>
    </row>
    <row r="188" spans="1:18" x14ac:dyDescent="0.35">
      <c r="A188">
        <v>76891213328</v>
      </c>
      <c r="B188" t="str">
        <f t="shared" ca="1" si="6"/>
        <v>HL Headset-6S</v>
      </c>
      <c r="D188" s="2" t="s">
        <v>883</v>
      </c>
      <c r="E188" s="2" t="s">
        <v>884</v>
      </c>
      <c r="G188">
        <v>1</v>
      </c>
      <c r="H188">
        <f t="shared" ca="1" si="7"/>
        <v>8932.3921588224312</v>
      </c>
      <c r="I188">
        <v>34521442</v>
      </c>
      <c r="J188">
        <f t="shared" ca="1" si="8"/>
        <v>600</v>
      </c>
      <c r="R188" t="s">
        <v>556</v>
      </c>
    </row>
    <row r="189" spans="1:18" x14ac:dyDescent="0.35">
      <c r="A189">
        <v>76891213329</v>
      </c>
      <c r="B189" t="str">
        <f t="shared" ca="1" si="6"/>
        <v>External Lock Washer 2-8S</v>
      </c>
      <c r="D189" s="2" t="s">
        <v>883</v>
      </c>
      <c r="E189" s="2" t="s">
        <v>884</v>
      </c>
      <c r="G189">
        <v>1</v>
      </c>
      <c r="H189">
        <f t="shared" ca="1" si="7"/>
        <v>3846.001981135933</v>
      </c>
      <c r="I189">
        <v>34521443</v>
      </c>
      <c r="J189">
        <f t="shared" ca="1" si="8"/>
        <v>100</v>
      </c>
      <c r="R189" t="s">
        <v>557</v>
      </c>
    </row>
    <row r="190" spans="1:18" x14ac:dyDescent="0.35">
      <c r="A190">
        <v>76891213330</v>
      </c>
      <c r="B190" t="str">
        <f t="shared" ca="1" si="6"/>
        <v>Hex Nut 22-3T</v>
      </c>
      <c r="D190" s="2" t="s">
        <v>883</v>
      </c>
      <c r="E190" s="2" t="s">
        <v>884</v>
      </c>
      <c r="G190">
        <v>1</v>
      </c>
      <c r="H190">
        <f t="shared" ca="1" si="7"/>
        <v>744.22383412775935</v>
      </c>
      <c r="I190">
        <v>34521444</v>
      </c>
      <c r="J190">
        <f t="shared" ca="1" si="8"/>
        <v>200</v>
      </c>
      <c r="R190" t="s">
        <v>558</v>
      </c>
    </row>
    <row r="191" spans="1:18" x14ac:dyDescent="0.35">
      <c r="A191">
        <v>76891213331</v>
      </c>
      <c r="B191" t="str">
        <f t="shared" ca="1" si="6"/>
        <v>Hex Nut 5-8S</v>
      </c>
      <c r="D191" s="2" t="s">
        <v>883</v>
      </c>
      <c r="E191" s="2" t="s">
        <v>884</v>
      </c>
      <c r="G191">
        <v>1</v>
      </c>
      <c r="H191">
        <f t="shared" ca="1" si="7"/>
        <v>1836.2125088946002</v>
      </c>
      <c r="I191">
        <v>34521445</v>
      </c>
      <c r="J191">
        <f t="shared" ca="1" si="8"/>
        <v>600</v>
      </c>
      <c r="R191" t="s">
        <v>559</v>
      </c>
    </row>
    <row r="192" spans="1:18" x14ac:dyDescent="0.35">
      <c r="A192">
        <v>76891213332</v>
      </c>
      <c r="B192" t="str">
        <f t="shared" ca="1" si="6"/>
        <v>Road-650 Red, 44-1T</v>
      </c>
      <c r="D192" s="2" t="s">
        <v>883</v>
      </c>
      <c r="E192" s="2" t="s">
        <v>884</v>
      </c>
      <c r="G192">
        <v>1</v>
      </c>
      <c r="H192">
        <f t="shared" ca="1" si="7"/>
        <v>5811.6103447390888</v>
      </c>
      <c r="I192">
        <v>34521446</v>
      </c>
      <c r="J192">
        <f t="shared" ca="1" si="8"/>
        <v>700</v>
      </c>
      <c r="R192" t="s">
        <v>560</v>
      </c>
    </row>
    <row r="193" spans="1:18" x14ac:dyDescent="0.35">
      <c r="A193">
        <v>76891213333</v>
      </c>
      <c r="B193" t="str">
        <f t="shared" ca="1" si="6"/>
        <v>Thin-Jam Lock Nut 8-6S</v>
      </c>
      <c r="D193" s="2" t="s">
        <v>883</v>
      </c>
      <c r="E193" s="2" t="s">
        <v>884</v>
      </c>
      <c r="G193">
        <v>1</v>
      </c>
      <c r="H193">
        <f t="shared" ca="1" si="7"/>
        <v>8289.6692498362754</v>
      </c>
      <c r="I193">
        <v>34521447</v>
      </c>
      <c r="J193">
        <f t="shared" ca="1" si="8"/>
        <v>500</v>
      </c>
      <c r="R193" t="s">
        <v>561</v>
      </c>
    </row>
    <row r="194" spans="1:18" x14ac:dyDescent="0.35">
      <c r="A194">
        <v>76891213334</v>
      </c>
      <c r="B194" t="str">
        <f t="shared" ref="B194:B257" ca="1" si="9">INDEX($R$4:$R$609,RANDBETWEEN(1,606))&amp;"-"&amp;INDEX($S$4:$S$10,RANDBETWEEN(1,7))</f>
        <v>Handlebar Tube-9Z</v>
      </c>
      <c r="D194" s="2" t="s">
        <v>883</v>
      </c>
      <c r="E194" s="2" t="s">
        <v>884</v>
      </c>
      <c r="G194">
        <v>1</v>
      </c>
      <c r="H194">
        <f t="shared" ca="1" si="7"/>
        <v>8701.4873817400676</v>
      </c>
      <c r="I194">
        <v>34521448</v>
      </c>
      <c r="J194">
        <f t="shared" ca="1" si="8"/>
        <v>600</v>
      </c>
      <c r="R194" t="s">
        <v>562</v>
      </c>
    </row>
    <row r="195" spans="1:18" x14ac:dyDescent="0.35">
      <c r="A195">
        <v>76891213335</v>
      </c>
      <c r="B195" t="str">
        <f t="shared" ca="1" si="9"/>
        <v>HL Mountain Frame - Black, 38-1T</v>
      </c>
      <c r="D195" s="2" t="s">
        <v>883</v>
      </c>
      <c r="E195" s="2" t="s">
        <v>884</v>
      </c>
      <c r="G195">
        <v>1</v>
      </c>
      <c r="H195">
        <f t="shared" ref="H195:H258" ca="1" si="10">RANDBETWEEN(100,10000)+RAND()</f>
        <v>7424.307874485602</v>
      </c>
      <c r="I195">
        <v>34521449</v>
      </c>
      <c r="J195">
        <f t="shared" ref="J195:J258" ca="1" si="11">INDEX($O$3:$O$12,RANDBETWEEN(1,10))</f>
        <v>300</v>
      </c>
      <c r="R195" t="s">
        <v>563</v>
      </c>
    </row>
    <row r="196" spans="1:18" x14ac:dyDescent="0.35">
      <c r="A196">
        <v>76891213336</v>
      </c>
      <c r="B196" t="str">
        <f t="shared" ca="1" si="9"/>
        <v>Road-650 Red, 48-9Z</v>
      </c>
      <c r="D196" s="2" t="s">
        <v>883</v>
      </c>
      <c r="E196" s="2" t="s">
        <v>884</v>
      </c>
      <c r="G196">
        <v>1</v>
      </c>
      <c r="H196">
        <f t="shared" ca="1" si="10"/>
        <v>2324.4800791164721</v>
      </c>
      <c r="I196">
        <v>34521450</v>
      </c>
      <c r="J196">
        <f t="shared" ca="1" si="11"/>
        <v>1000</v>
      </c>
      <c r="R196" t="s">
        <v>564</v>
      </c>
    </row>
    <row r="197" spans="1:18" x14ac:dyDescent="0.35">
      <c r="A197">
        <v>76891213337</v>
      </c>
      <c r="B197" t="str">
        <f t="shared" ca="1" si="9"/>
        <v>HL Touring Frame - Yellow, 46-10Z</v>
      </c>
      <c r="D197" s="2" t="s">
        <v>883</v>
      </c>
      <c r="E197" s="2" t="s">
        <v>884</v>
      </c>
      <c r="G197">
        <v>1</v>
      </c>
      <c r="H197">
        <f t="shared" ca="1" si="10"/>
        <v>9545.3934858717184</v>
      </c>
      <c r="I197">
        <v>34521451</v>
      </c>
      <c r="J197">
        <f t="shared" ca="1" si="11"/>
        <v>400</v>
      </c>
      <c r="R197" t="s">
        <v>565</v>
      </c>
    </row>
    <row r="198" spans="1:18" x14ac:dyDescent="0.35">
      <c r="A198">
        <v>76891213338</v>
      </c>
      <c r="B198" t="str">
        <f t="shared" ca="1" si="9"/>
        <v>Sport-100 Helmet, Black-9Z</v>
      </c>
      <c r="D198" s="2" t="s">
        <v>883</v>
      </c>
      <c r="E198" s="2" t="s">
        <v>884</v>
      </c>
      <c r="G198">
        <v>1</v>
      </c>
      <c r="H198">
        <f t="shared" ca="1" si="10"/>
        <v>4118.7626507182194</v>
      </c>
      <c r="I198">
        <v>34521452</v>
      </c>
      <c r="J198">
        <f t="shared" ca="1" si="11"/>
        <v>300</v>
      </c>
      <c r="R198" t="s">
        <v>566</v>
      </c>
    </row>
    <row r="199" spans="1:18" x14ac:dyDescent="0.35">
      <c r="A199">
        <v>76891213339</v>
      </c>
      <c r="B199" t="str">
        <f t="shared" ca="1" si="9"/>
        <v>ML Road Frame - Red, 44-9Z</v>
      </c>
      <c r="D199" s="2" t="s">
        <v>883</v>
      </c>
      <c r="E199" s="2" t="s">
        <v>884</v>
      </c>
      <c r="G199">
        <v>1</v>
      </c>
      <c r="H199">
        <f t="shared" ca="1" si="10"/>
        <v>1786.9343173094894</v>
      </c>
      <c r="I199">
        <v>34521453</v>
      </c>
      <c r="J199">
        <f t="shared" ca="1" si="11"/>
        <v>200</v>
      </c>
      <c r="R199" t="s">
        <v>567</v>
      </c>
    </row>
    <row r="200" spans="1:18" x14ac:dyDescent="0.35">
      <c r="A200">
        <v>76891213340</v>
      </c>
      <c r="B200" t="str">
        <f t="shared" ca="1" si="9"/>
        <v>HL Shell-9Z</v>
      </c>
      <c r="D200" s="2" t="s">
        <v>883</v>
      </c>
      <c r="E200" s="2" t="s">
        <v>884</v>
      </c>
      <c r="G200">
        <v>1</v>
      </c>
      <c r="H200">
        <f t="shared" ca="1" si="10"/>
        <v>7002.567366206631</v>
      </c>
      <c r="I200">
        <v>34521454</v>
      </c>
      <c r="J200">
        <f t="shared" ca="1" si="11"/>
        <v>600</v>
      </c>
      <c r="R200" t="s">
        <v>568</v>
      </c>
    </row>
    <row r="201" spans="1:18" x14ac:dyDescent="0.35">
      <c r="A201">
        <v>76891213341</v>
      </c>
      <c r="B201" t="str">
        <f t="shared" ca="1" si="9"/>
        <v>LL Road Frame - Black, 62-3T</v>
      </c>
      <c r="D201" s="2" t="s">
        <v>883</v>
      </c>
      <c r="E201" s="2" t="s">
        <v>884</v>
      </c>
      <c r="G201">
        <v>1</v>
      </c>
      <c r="H201">
        <f t="shared" ca="1" si="10"/>
        <v>1046.3193598714477</v>
      </c>
      <c r="I201">
        <v>34521455</v>
      </c>
      <c r="J201">
        <f t="shared" ca="1" si="11"/>
        <v>600</v>
      </c>
      <c r="R201" t="s">
        <v>569</v>
      </c>
    </row>
    <row r="202" spans="1:18" x14ac:dyDescent="0.35">
      <c r="A202">
        <v>76891213342</v>
      </c>
      <c r="B202" t="str">
        <f t="shared" ca="1" si="9"/>
        <v>ML Road Frame-W - Yellow, 40-9Z</v>
      </c>
      <c r="D202" s="2" t="s">
        <v>883</v>
      </c>
      <c r="E202" s="2" t="s">
        <v>884</v>
      </c>
      <c r="G202">
        <v>1</v>
      </c>
      <c r="H202">
        <f t="shared" ca="1" si="10"/>
        <v>2652.6752980988185</v>
      </c>
      <c r="I202">
        <v>34521456</v>
      </c>
      <c r="J202">
        <f t="shared" ca="1" si="11"/>
        <v>600</v>
      </c>
      <c r="R202" t="s">
        <v>570</v>
      </c>
    </row>
    <row r="203" spans="1:18" x14ac:dyDescent="0.35">
      <c r="A203">
        <v>76891213343</v>
      </c>
      <c r="B203" t="str">
        <f t="shared" ca="1" si="9"/>
        <v>LL Road Frame - Black, 48-3T</v>
      </c>
      <c r="D203" s="2" t="s">
        <v>883</v>
      </c>
      <c r="E203" s="2" t="s">
        <v>884</v>
      </c>
      <c r="G203">
        <v>1</v>
      </c>
      <c r="H203">
        <f t="shared" ca="1" si="10"/>
        <v>425.5712480842156</v>
      </c>
      <c r="I203">
        <v>34521457</v>
      </c>
      <c r="J203">
        <f t="shared" ca="1" si="11"/>
        <v>600</v>
      </c>
      <c r="R203" t="s">
        <v>571</v>
      </c>
    </row>
    <row r="204" spans="1:18" x14ac:dyDescent="0.35">
      <c r="A204">
        <v>76891213344</v>
      </c>
      <c r="B204" t="str">
        <f t="shared" ca="1" si="9"/>
        <v>HL Road Handlebars-6S</v>
      </c>
      <c r="D204" s="2" t="s">
        <v>883</v>
      </c>
      <c r="E204" s="2" t="s">
        <v>884</v>
      </c>
      <c r="G204">
        <v>1</v>
      </c>
      <c r="H204">
        <f t="shared" ca="1" si="10"/>
        <v>552.4163551482618</v>
      </c>
      <c r="I204">
        <v>34521458</v>
      </c>
      <c r="J204">
        <f t="shared" ca="1" si="11"/>
        <v>300</v>
      </c>
      <c r="R204" t="s">
        <v>572</v>
      </c>
    </row>
    <row r="205" spans="1:18" x14ac:dyDescent="0.35">
      <c r="A205">
        <v>76891213345</v>
      </c>
      <c r="B205" t="str">
        <f t="shared" ca="1" si="9"/>
        <v>LL Crankset-1T</v>
      </c>
      <c r="D205" s="2" t="s">
        <v>883</v>
      </c>
      <c r="E205" s="2" t="s">
        <v>884</v>
      </c>
      <c r="G205">
        <v>1</v>
      </c>
      <c r="H205">
        <f t="shared" ca="1" si="10"/>
        <v>3652.5312345375505</v>
      </c>
      <c r="I205">
        <v>34521459</v>
      </c>
      <c r="J205">
        <f t="shared" ca="1" si="11"/>
        <v>800</v>
      </c>
      <c r="R205" t="s">
        <v>573</v>
      </c>
    </row>
    <row r="206" spans="1:18" x14ac:dyDescent="0.35">
      <c r="A206">
        <v>76891213346</v>
      </c>
      <c r="B206" t="str">
        <f t="shared" ca="1" si="9"/>
        <v>HL Mountain Frame - Black, 38-2T</v>
      </c>
      <c r="D206" s="2" t="s">
        <v>883</v>
      </c>
      <c r="E206" s="2" t="s">
        <v>884</v>
      </c>
      <c r="G206">
        <v>1</v>
      </c>
      <c r="H206">
        <f t="shared" ca="1" si="10"/>
        <v>7319.6019842468886</v>
      </c>
      <c r="I206">
        <v>34521460</v>
      </c>
      <c r="J206">
        <f t="shared" ca="1" si="11"/>
        <v>900</v>
      </c>
      <c r="R206" t="s">
        <v>574</v>
      </c>
    </row>
    <row r="207" spans="1:18" x14ac:dyDescent="0.35">
      <c r="A207">
        <v>76891213347</v>
      </c>
      <c r="B207" t="str">
        <f t="shared" ca="1" si="9"/>
        <v>ML Road Frame-W - Yellow, 42-3T</v>
      </c>
      <c r="D207" s="2" t="s">
        <v>883</v>
      </c>
      <c r="E207" s="2" t="s">
        <v>884</v>
      </c>
      <c r="G207">
        <v>1</v>
      </c>
      <c r="H207">
        <f t="shared" ca="1" si="10"/>
        <v>9140.0810974149535</v>
      </c>
      <c r="I207">
        <v>34521461</v>
      </c>
      <c r="J207">
        <f t="shared" ca="1" si="11"/>
        <v>100</v>
      </c>
      <c r="R207" t="s">
        <v>575</v>
      </c>
    </row>
    <row r="208" spans="1:18" x14ac:dyDescent="0.35">
      <c r="A208">
        <v>76891213348</v>
      </c>
      <c r="B208" t="str">
        <f t="shared" ca="1" si="9"/>
        <v>Half-Finger Gloves, L-3T</v>
      </c>
      <c r="D208" s="2" t="s">
        <v>883</v>
      </c>
      <c r="E208" s="2" t="s">
        <v>884</v>
      </c>
      <c r="G208">
        <v>1</v>
      </c>
      <c r="H208">
        <f t="shared" ca="1" si="10"/>
        <v>6169.9839706707698</v>
      </c>
      <c r="I208">
        <v>34521462</v>
      </c>
      <c r="J208">
        <f t="shared" ca="1" si="11"/>
        <v>100</v>
      </c>
      <c r="R208" t="s">
        <v>576</v>
      </c>
    </row>
    <row r="209" spans="1:18" x14ac:dyDescent="0.35">
      <c r="A209">
        <v>76891213349</v>
      </c>
      <c r="B209" t="str">
        <f t="shared" ca="1" si="9"/>
        <v>HL Road Frame - Red, 52-9Z</v>
      </c>
      <c r="D209" s="2" t="s">
        <v>883</v>
      </c>
      <c r="E209" s="2" t="s">
        <v>884</v>
      </c>
      <c r="G209">
        <v>1</v>
      </c>
      <c r="H209">
        <f t="shared" ca="1" si="10"/>
        <v>5182.697525429865</v>
      </c>
      <c r="I209">
        <v>34521463</v>
      </c>
      <c r="J209">
        <f t="shared" ca="1" si="11"/>
        <v>600</v>
      </c>
      <c r="R209" t="s">
        <v>577</v>
      </c>
    </row>
    <row r="210" spans="1:18" x14ac:dyDescent="0.35">
      <c r="A210">
        <v>76891213350</v>
      </c>
      <c r="B210" t="str">
        <f t="shared" ca="1" si="9"/>
        <v>Hex Nut 8-9Z</v>
      </c>
      <c r="D210" s="2" t="s">
        <v>883</v>
      </c>
      <c r="E210" s="2" t="s">
        <v>884</v>
      </c>
      <c r="G210">
        <v>1</v>
      </c>
      <c r="H210">
        <f t="shared" ca="1" si="10"/>
        <v>7411.6308642938066</v>
      </c>
      <c r="I210">
        <v>34521464</v>
      </c>
      <c r="J210">
        <f t="shared" ca="1" si="11"/>
        <v>1000</v>
      </c>
      <c r="R210" t="s">
        <v>578</v>
      </c>
    </row>
    <row r="211" spans="1:18" x14ac:dyDescent="0.35">
      <c r="A211">
        <v>76891213351</v>
      </c>
      <c r="B211" t="str">
        <f t="shared" ca="1" si="9"/>
        <v>Lock Washer 13-10Z</v>
      </c>
      <c r="D211" s="2" t="s">
        <v>883</v>
      </c>
      <c r="E211" s="2" t="s">
        <v>884</v>
      </c>
      <c r="G211">
        <v>1</v>
      </c>
      <c r="H211">
        <f t="shared" ca="1" si="10"/>
        <v>9428.1968109971458</v>
      </c>
      <c r="I211">
        <v>34521465</v>
      </c>
      <c r="J211">
        <f t="shared" ca="1" si="11"/>
        <v>900</v>
      </c>
      <c r="R211" t="s">
        <v>579</v>
      </c>
    </row>
    <row r="212" spans="1:18" x14ac:dyDescent="0.35">
      <c r="A212">
        <v>76891213352</v>
      </c>
      <c r="B212" t="str">
        <f t="shared" ca="1" si="9"/>
        <v>LL Road Rear Wheel-9Z</v>
      </c>
      <c r="D212" s="2" t="s">
        <v>883</v>
      </c>
      <c r="E212" s="2" t="s">
        <v>884</v>
      </c>
      <c r="G212">
        <v>1</v>
      </c>
      <c r="H212">
        <f t="shared" ca="1" si="10"/>
        <v>4067.3934065622611</v>
      </c>
      <c r="I212">
        <v>34521466</v>
      </c>
      <c r="J212">
        <f t="shared" ca="1" si="11"/>
        <v>700</v>
      </c>
      <c r="R212" t="s">
        <v>580</v>
      </c>
    </row>
    <row r="213" spans="1:18" x14ac:dyDescent="0.35">
      <c r="A213">
        <v>76891213353</v>
      </c>
      <c r="B213" t="str">
        <f t="shared" ca="1" si="9"/>
        <v>Headset Ball Bearings-8S</v>
      </c>
      <c r="D213" s="2" t="s">
        <v>883</v>
      </c>
      <c r="E213" s="2" t="s">
        <v>884</v>
      </c>
      <c r="G213">
        <v>1</v>
      </c>
      <c r="H213">
        <f t="shared" ca="1" si="10"/>
        <v>2138.4293662084629</v>
      </c>
      <c r="I213">
        <v>34521467</v>
      </c>
      <c r="J213">
        <f t="shared" ca="1" si="11"/>
        <v>800</v>
      </c>
      <c r="R213" t="s">
        <v>581</v>
      </c>
    </row>
    <row r="214" spans="1:18" x14ac:dyDescent="0.35">
      <c r="A214">
        <v>76891213354</v>
      </c>
      <c r="B214" t="str">
        <f t="shared" ca="1" si="9"/>
        <v>Men's Sports Shorts, S-3T</v>
      </c>
      <c r="D214" s="2" t="s">
        <v>883</v>
      </c>
      <c r="E214" s="2" t="s">
        <v>884</v>
      </c>
      <c r="G214">
        <v>1</v>
      </c>
      <c r="H214">
        <f t="shared" ca="1" si="10"/>
        <v>9590.7052160264502</v>
      </c>
      <c r="I214">
        <v>34521468</v>
      </c>
      <c r="J214">
        <f t="shared" ca="1" si="11"/>
        <v>700</v>
      </c>
      <c r="R214" t="s">
        <v>582</v>
      </c>
    </row>
    <row r="215" spans="1:18" x14ac:dyDescent="0.35">
      <c r="A215">
        <v>76891213355</v>
      </c>
      <c r="B215" t="str">
        <f t="shared" ca="1" si="9"/>
        <v>ML Road Frame-W - Yellow, 40-10Z</v>
      </c>
      <c r="D215" s="2" t="s">
        <v>883</v>
      </c>
      <c r="E215" s="2" t="s">
        <v>884</v>
      </c>
      <c r="G215">
        <v>1</v>
      </c>
      <c r="H215">
        <f t="shared" ca="1" si="10"/>
        <v>7940.1182044432426</v>
      </c>
      <c r="I215">
        <v>34521469</v>
      </c>
      <c r="J215">
        <f t="shared" ca="1" si="11"/>
        <v>800</v>
      </c>
      <c r="R215" t="s">
        <v>583</v>
      </c>
    </row>
    <row r="216" spans="1:18" x14ac:dyDescent="0.35">
      <c r="A216">
        <v>76891213356</v>
      </c>
      <c r="B216" t="str">
        <f t="shared" ca="1" si="9"/>
        <v>LL Mountain Frame - Black, 44-1T</v>
      </c>
      <c r="D216" s="2" t="s">
        <v>883</v>
      </c>
      <c r="E216" s="2" t="s">
        <v>884</v>
      </c>
      <c r="G216">
        <v>1</v>
      </c>
      <c r="H216">
        <f t="shared" ca="1" si="10"/>
        <v>6479.579212669245</v>
      </c>
      <c r="I216">
        <v>34521470</v>
      </c>
      <c r="J216">
        <f t="shared" ca="1" si="11"/>
        <v>800</v>
      </c>
      <c r="R216" t="s">
        <v>583</v>
      </c>
    </row>
    <row r="217" spans="1:18" x14ac:dyDescent="0.35">
      <c r="A217">
        <v>76891213357</v>
      </c>
      <c r="B217" t="str">
        <f t="shared" ca="1" si="9"/>
        <v>Thin-Jam Lock Nut 3-9Z</v>
      </c>
      <c r="D217" s="2" t="s">
        <v>883</v>
      </c>
      <c r="E217" s="2" t="s">
        <v>884</v>
      </c>
      <c r="G217">
        <v>1</v>
      </c>
      <c r="H217">
        <f t="shared" ca="1" si="10"/>
        <v>1960.0877314762088</v>
      </c>
      <c r="I217">
        <v>34521471</v>
      </c>
      <c r="J217">
        <f t="shared" ca="1" si="11"/>
        <v>700</v>
      </c>
      <c r="R217" t="s">
        <v>583</v>
      </c>
    </row>
    <row r="218" spans="1:18" x14ac:dyDescent="0.35">
      <c r="A218">
        <v>76891213358</v>
      </c>
      <c r="B218" t="str">
        <f t="shared" ca="1" si="9"/>
        <v>Road-650 Red, 58-3T</v>
      </c>
      <c r="D218" s="2" t="s">
        <v>883</v>
      </c>
      <c r="E218" s="2" t="s">
        <v>884</v>
      </c>
      <c r="G218">
        <v>1</v>
      </c>
      <c r="H218">
        <f t="shared" ca="1" si="10"/>
        <v>2522.1941384716652</v>
      </c>
      <c r="I218">
        <v>34521472</v>
      </c>
      <c r="J218">
        <f t="shared" ca="1" si="11"/>
        <v>1000</v>
      </c>
      <c r="R218" t="s">
        <v>584</v>
      </c>
    </row>
    <row r="219" spans="1:18" x14ac:dyDescent="0.35">
      <c r="A219">
        <v>76891213359</v>
      </c>
      <c r="B219" t="str">
        <f t="shared" ca="1" si="9"/>
        <v>ML Mountain Frame - Black, 38-3T</v>
      </c>
      <c r="D219" s="2" t="s">
        <v>883</v>
      </c>
      <c r="E219" s="2" t="s">
        <v>884</v>
      </c>
      <c r="G219">
        <v>1</v>
      </c>
      <c r="H219">
        <f t="shared" ca="1" si="10"/>
        <v>6704.6084395031594</v>
      </c>
      <c r="I219">
        <v>34521473</v>
      </c>
      <c r="J219">
        <f t="shared" ca="1" si="11"/>
        <v>300</v>
      </c>
      <c r="R219" t="s">
        <v>584</v>
      </c>
    </row>
    <row r="220" spans="1:18" x14ac:dyDescent="0.35">
      <c r="A220">
        <v>76891213360</v>
      </c>
      <c r="B220" t="str">
        <f t="shared" ca="1" si="9"/>
        <v>Women's Tights, L-9Z</v>
      </c>
      <c r="D220" s="2" t="s">
        <v>883</v>
      </c>
      <c r="E220" s="2" t="s">
        <v>884</v>
      </c>
      <c r="G220">
        <v>1</v>
      </c>
      <c r="H220">
        <f t="shared" ca="1" si="10"/>
        <v>6087.4432655359151</v>
      </c>
      <c r="I220">
        <v>34521474</v>
      </c>
      <c r="J220">
        <f t="shared" ca="1" si="11"/>
        <v>600</v>
      </c>
      <c r="R220" t="s">
        <v>584</v>
      </c>
    </row>
    <row r="221" spans="1:18" x14ac:dyDescent="0.35">
      <c r="A221">
        <v>76891213361</v>
      </c>
      <c r="B221" t="str">
        <f t="shared" ca="1" si="9"/>
        <v>Road-250 Red, 58-3T</v>
      </c>
      <c r="D221" s="2" t="s">
        <v>883</v>
      </c>
      <c r="E221" s="2" t="s">
        <v>884</v>
      </c>
      <c r="G221">
        <v>1</v>
      </c>
      <c r="H221">
        <f t="shared" ca="1" si="10"/>
        <v>2867.170727452004</v>
      </c>
      <c r="I221">
        <v>34521475</v>
      </c>
      <c r="J221">
        <f t="shared" ca="1" si="11"/>
        <v>600</v>
      </c>
      <c r="R221" t="s">
        <v>585</v>
      </c>
    </row>
    <row r="222" spans="1:18" x14ac:dyDescent="0.35">
      <c r="A222">
        <v>76891213362</v>
      </c>
      <c r="B222" t="str">
        <f t="shared" ca="1" si="9"/>
        <v>HL Road Frame - Red, 44-3T</v>
      </c>
      <c r="D222" s="2" t="s">
        <v>883</v>
      </c>
      <c r="E222" s="2" t="s">
        <v>884</v>
      </c>
      <c r="G222">
        <v>1</v>
      </c>
      <c r="H222">
        <f t="shared" ca="1" si="10"/>
        <v>2524.8525441426873</v>
      </c>
      <c r="I222">
        <v>34521476</v>
      </c>
      <c r="J222">
        <f t="shared" ca="1" si="11"/>
        <v>600</v>
      </c>
      <c r="R222" t="s">
        <v>586</v>
      </c>
    </row>
    <row r="223" spans="1:18" x14ac:dyDescent="0.35">
      <c r="A223">
        <v>76891213363</v>
      </c>
      <c r="B223" t="str">
        <f t="shared" ca="1" si="9"/>
        <v>Half-Finger Gloves, M-2T</v>
      </c>
      <c r="D223" s="2" t="s">
        <v>883</v>
      </c>
      <c r="E223" s="2" t="s">
        <v>884</v>
      </c>
      <c r="G223">
        <v>1</v>
      </c>
      <c r="H223">
        <f t="shared" ca="1" si="10"/>
        <v>1463.7798305631063</v>
      </c>
      <c r="I223">
        <v>34521477</v>
      </c>
      <c r="J223">
        <f t="shared" ca="1" si="11"/>
        <v>500</v>
      </c>
      <c r="R223" t="s">
        <v>587</v>
      </c>
    </row>
    <row r="224" spans="1:18" x14ac:dyDescent="0.35">
      <c r="A224">
        <v>76891213364</v>
      </c>
      <c r="B224" t="str">
        <f t="shared" ca="1" si="9"/>
        <v>AWC Logo Cap-8S</v>
      </c>
      <c r="D224" s="2" t="s">
        <v>883</v>
      </c>
      <c r="E224" s="2" t="s">
        <v>884</v>
      </c>
      <c r="G224">
        <v>1</v>
      </c>
      <c r="H224">
        <f t="shared" ca="1" si="10"/>
        <v>7469.4625439319479</v>
      </c>
      <c r="I224">
        <v>34521478</v>
      </c>
      <c r="J224">
        <f t="shared" ca="1" si="11"/>
        <v>500</v>
      </c>
      <c r="R224" t="s">
        <v>587</v>
      </c>
    </row>
    <row r="225" spans="1:18" x14ac:dyDescent="0.35">
      <c r="A225">
        <v>76891213365</v>
      </c>
      <c r="B225" t="str">
        <f t="shared" ca="1" si="9"/>
        <v>Mountain-100 Black, 48-10Z</v>
      </c>
      <c r="D225" s="2" t="s">
        <v>883</v>
      </c>
      <c r="E225" s="2" t="s">
        <v>884</v>
      </c>
      <c r="G225">
        <v>1</v>
      </c>
      <c r="H225">
        <f t="shared" ca="1" si="10"/>
        <v>3629.0219178499342</v>
      </c>
      <c r="I225">
        <v>34521479</v>
      </c>
      <c r="J225">
        <f t="shared" ca="1" si="11"/>
        <v>400</v>
      </c>
      <c r="R225" t="s">
        <v>587</v>
      </c>
    </row>
    <row r="226" spans="1:18" x14ac:dyDescent="0.35">
      <c r="A226">
        <v>76891213366</v>
      </c>
      <c r="B226" t="str">
        <f t="shared" ca="1" si="9"/>
        <v>Road-250 Black, 52-10Z</v>
      </c>
      <c r="D226" s="2" t="s">
        <v>883</v>
      </c>
      <c r="E226" s="2" t="s">
        <v>884</v>
      </c>
      <c r="G226">
        <v>1</v>
      </c>
      <c r="H226">
        <f t="shared" ca="1" si="10"/>
        <v>2775.3275183824289</v>
      </c>
      <c r="I226">
        <v>34521480</v>
      </c>
      <c r="J226">
        <f t="shared" ca="1" si="11"/>
        <v>600</v>
      </c>
      <c r="R226" t="s">
        <v>588</v>
      </c>
    </row>
    <row r="227" spans="1:18" x14ac:dyDescent="0.35">
      <c r="A227">
        <v>76891213367</v>
      </c>
      <c r="B227" t="str">
        <f t="shared" ca="1" si="9"/>
        <v>LL Mountain Frame - Black, 40-10Z</v>
      </c>
      <c r="D227" s="2" t="s">
        <v>883</v>
      </c>
      <c r="E227" s="2" t="s">
        <v>884</v>
      </c>
      <c r="G227">
        <v>1</v>
      </c>
      <c r="H227">
        <f t="shared" ca="1" si="10"/>
        <v>8716.0132147698296</v>
      </c>
      <c r="I227">
        <v>34521481</v>
      </c>
      <c r="J227">
        <f t="shared" ca="1" si="11"/>
        <v>200</v>
      </c>
      <c r="R227" t="s">
        <v>588</v>
      </c>
    </row>
    <row r="228" spans="1:18" x14ac:dyDescent="0.35">
      <c r="A228">
        <v>76891213368</v>
      </c>
      <c r="B228" t="str">
        <f t="shared" ca="1" si="9"/>
        <v>Road-550-W Yellow, 48-1T</v>
      </c>
      <c r="D228" s="2" t="s">
        <v>883</v>
      </c>
      <c r="E228" s="2" t="s">
        <v>884</v>
      </c>
      <c r="G228">
        <v>1</v>
      </c>
      <c r="H228">
        <f t="shared" ca="1" si="10"/>
        <v>3312.7979678593924</v>
      </c>
      <c r="I228">
        <v>34521482</v>
      </c>
      <c r="J228">
        <f t="shared" ca="1" si="11"/>
        <v>100</v>
      </c>
      <c r="R228" t="s">
        <v>588</v>
      </c>
    </row>
    <row r="229" spans="1:18" x14ac:dyDescent="0.35">
      <c r="A229">
        <v>76891213369</v>
      </c>
      <c r="B229" t="str">
        <f t="shared" ca="1" si="9"/>
        <v>LL Road Frame - Red, 62-2T</v>
      </c>
      <c r="D229" s="2" t="s">
        <v>883</v>
      </c>
      <c r="E229" s="2" t="s">
        <v>884</v>
      </c>
      <c r="G229">
        <v>1</v>
      </c>
      <c r="H229">
        <f t="shared" ca="1" si="10"/>
        <v>6056.9121168039474</v>
      </c>
      <c r="I229">
        <v>34521483</v>
      </c>
      <c r="J229">
        <f t="shared" ca="1" si="11"/>
        <v>600</v>
      </c>
      <c r="R229" t="s">
        <v>589</v>
      </c>
    </row>
    <row r="230" spans="1:18" x14ac:dyDescent="0.35">
      <c r="A230">
        <v>76891213370</v>
      </c>
      <c r="B230" t="str">
        <f t="shared" ca="1" si="9"/>
        <v>Seat Stays-1T</v>
      </c>
      <c r="D230" s="2" t="s">
        <v>883</v>
      </c>
      <c r="E230" s="2" t="s">
        <v>884</v>
      </c>
      <c r="G230">
        <v>1</v>
      </c>
      <c r="H230">
        <f t="shared" ca="1" si="10"/>
        <v>5363.0925561437452</v>
      </c>
      <c r="I230">
        <v>34521484</v>
      </c>
      <c r="J230">
        <f t="shared" ca="1" si="11"/>
        <v>100</v>
      </c>
      <c r="R230" t="s">
        <v>589</v>
      </c>
    </row>
    <row r="231" spans="1:18" x14ac:dyDescent="0.35">
      <c r="A231">
        <v>76891213371</v>
      </c>
      <c r="B231" t="str">
        <f t="shared" ca="1" si="9"/>
        <v>Touring-1000 Yellow, 60-1T</v>
      </c>
      <c r="D231" s="2" t="s">
        <v>883</v>
      </c>
      <c r="E231" s="2" t="s">
        <v>884</v>
      </c>
      <c r="G231">
        <v>1</v>
      </c>
      <c r="H231">
        <f t="shared" ca="1" si="10"/>
        <v>2898.9854478241714</v>
      </c>
      <c r="I231">
        <v>34521485</v>
      </c>
      <c r="J231">
        <f t="shared" ca="1" si="11"/>
        <v>600</v>
      </c>
      <c r="R231" t="s">
        <v>589</v>
      </c>
    </row>
    <row r="232" spans="1:18" x14ac:dyDescent="0.35">
      <c r="A232">
        <v>76891213372</v>
      </c>
      <c r="B232" t="str">
        <f t="shared" ca="1" si="9"/>
        <v>Lock Washer 11-9Z</v>
      </c>
      <c r="D232" s="2" t="s">
        <v>883</v>
      </c>
      <c r="E232" s="2" t="s">
        <v>884</v>
      </c>
      <c r="G232">
        <v>1</v>
      </c>
      <c r="H232">
        <f t="shared" ca="1" si="10"/>
        <v>6535.386894947068</v>
      </c>
      <c r="I232">
        <v>34521486</v>
      </c>
      <c r="J232">
        <f t="shared" ca="1" si="11"/>
        <v>1000</v>
      </c>
      <c r="R232" t="s">
        <v>590</v>
      </c>
    </row>
    <row r="233" spans="1:18" x14ac:dyDescent="0.35">
      <c r="A233">
        <v>76891213373</v>
      </c>
      <c r="B233" t="str">
        <f t="shared" ca="1" si="9"/>
        <v>Mountain-500 Black, 52-1T</v>
      </c>
      <c r="D233" s="2" t="s">
        <v>883</v>
      </c>
      <c r="E233" s="2" t="s">
        <v>884</v>
      </c>
      <c r="G233">
        <v>1</v>
      </c>
      <c r="H233">
        <f t="shared" ca="1" si="10"/>
        <v>9009.6691870189188</v>
      </c>
      <c r="I233">
        <v>34521487</v>
      </c>
      <c r="J233">
        <f t="shared" ca="1" si="11"/>
        <v>500</v>
      </c>
      <c r="R233" t="s">
        <v>590</v>
      </c>
    </row>
    <row r="234" spans="1:18" x14ac:dyDescent="0.35">
      <c r="A234">
        <v>76891213374</v>
      </c>
      <c r="B234" t="str">
        <f t="shared" ca="1" si="9"/>
        <v>LL Touring Frame - Yellow, 58-10Z</v>
      </c>
      <c r="D234" s="2" t="s">
        <v>883</v>
      </c>
      <c r="E234" s="2" t="s">
        <v>884</v>
      </c>
      <c r="G234">
        <v>1</v>
      </c>
      <c r="H234">
        <f t="shared" ca="1" si="10"/>
        <v>3382.3788439006389</v>
      </c>
      <c r="I234">
        <v>34521488</v>
      </c>
      <c r="J234">
        <f t="shared" ca="1" si="11"/>
        <v>200</v>
      </c>
      <c r="R234" t="s">
        <v>590</v>
      </c>
    </row>
    <row r="235" spans="1:18" x14ac:dyDescent="0.35">
      <c r="A235">
        <v>76891213375</v>
      </c>
      <c r="B235" t="str">
        <f t="shared" ca="1" si="9"/>
        <v>Classic Vest, L-10Z</v>
      </c>
      <c r="D235" s="2" t="s">
        <v>883</v>
      </c>
      <c r="E235" s="2" t="s">
        <v>884</v>
      </c>
      <c r="G235">
        <v>1</v>
      </c>
      <c r="H235">
        <f t="shared" ca="1" si="10"/>
        <v>7755.8413437200061</v>
      </c>
      <c r="I235">
        <v>34521489</v>
      </c>
      <c r="J235">
        <f t="shared" ca="1" si="11"/>
        <v>900</v>
      </c>
      <c r="R235" t="s">
        <v>591</v>
      </c>
    </row>
    <row r="236" spans="1:18" x14ac:dyDescent="0.35">
      <c r="A236">
        <v>76891213376</v>
      </c>
      <c r="B236" t="str">
        <f t="shared" ca="1" si="9"/>
        <v>LL Headset-6S</v>
      </c>
      <c r="D236" s="2" t="s">
        <v>883</v>
      </c>
      <c r="E236" s="2" t="s">
        <v>884</v>
      </c>
      <c r="G236">
        <v>1</v>
      </c>
      <c r="H236">
        <f t="shared" ca="1" si="10"/>
        <v>7089.7517680320707</v>
      </c>
      <c r="I236">
        <v>34521490</v>
      </c>
      <c r="J236">
        <f t="shared" ca="1" si="11"/>
        <v>300</v>
      </c>
      <c r="R236" t="s">
        <v>591</v>
      </c>
    </row>
    <row r="237" spans="1:18" x14ac:dyDescent="0.35">
      <c r="A237">
        <v>76891213377</v>
      </c>
      <c r="B237" t="str">
        <f t="shared" ca="1" si="9"/>
        <v>LL Road Handlebars-1T</v>
      </c>
      <c r="D237" s="2" t="s">
        <v>883</v>
      </c>
      <c r="E237" s="2" t="s">
        <v>884</v>
      </c>
      <c r="G237">
        <v>1</v>
      </c>
      <c r="H237">
        <f t="shared" ca="1" si="10"/>
        <v>747.79686367362922</v>
      </c>
      <c r="I237">
        <v>34521491</v>
      </c>
      <c r="J237">
        <f t="shared" ca="1" si="11"/>
        <v>200</v>
      </c>
      <c r="R237" t="s">
        <v>591</v>
      </c>
    </row>
    <row r="238" spans="1:18" x14ac:dyDescent="0.35">
      <c r="A238">
        <v>76891213378</v>
      </c>
      <c r="B238" t="str">
        <f t="shared" ca="1" si="9"/>
        <v>HL Road Frame - Black, 44-9Z</v>
      </c>
      <c r="D238" s="2" t="s">
        <v>883</v>
      </c>
      <c r="E238" s="2" t="s">
        <v>884</v>
      </c>
      <c r="G238">
        <v>1</v>
      </c>
      <c r="H238">
        <f t="shared" ca="1" si="10"/>
        <v>651.17318034422885</v>
      </c>
      <c r="I238">
        <v>34521492</v>
      </c>
      <c r="J238">
        <f t="shared" ca="1" si="11"/>
        <v>700</v>
      </c>
      <c r="R238" t="s">
        <v>592</v>
      </c>
    </row>
    <row r="239" spans="1:18" x14ac:dyDescent="0.35">
      <c r="A239">
        <v>76891213379</v>
      </c>
      <c r="B239" t="str">
        <f t="shared" ca="1" si="9"/>
        <v>Touring Tire-9Z</v>
      </c>
      <c r="D239" s="2" t="s">
        <v>883</v>
      </c>
      <c r="E239" s="2" t="s">
        <v>884</v>
      </c>
      <c r="G239">
        <v>1</v>
      </c>
      <c r="H239">
        <f t="shared" ca="1" si="10"/>
        <v>2648.7341541892197</v>
      </c>
      <c r="I239">
        <v>34521493</v>
      </c>
      <c r="J239">
        <f t="shared" ca="1" si="11"/>
        <v>800</v>
      </c>
      <c r="R239" t="s">
        <v>592</v>
      </c>
    </row>
    <row r="240" spans="1:18" x14ac:dyDescent="0.35">
      <c r="A240">
        <v>76891213380</v>
      </c>
      <c r="B240" t="str">
        <f t="shared" ca="1" si="9"/>
        <v>HL Mountain Frame - Silver, 38-9Z</v>
      </c>
      <c r="D240" s="2" t="s">
        <v>883</v>
      </c>
      <c r="E240" s="2" t="s">
        <v>884</v>
      </c>
      <c r="G240">
        <v>1</v>
      </c>
      <c r="H240">
        <f t="shared" ca="1" si="10"/>
        <v>9307.3915187339298</v>
      </c>
      <c r="I240">
        <v>34521494</v>
      </c>
      <c r="J240">
        <f t="shared" ca="1" si="11"/>
        <v>500</v>
      </c>
      <c r="R240" t="s">
        <v>592</v>
      </c>
    </row>
    <row r="241" spans="1:18" x14ac:dyDescent="0.35">
      <c r="A241">
        <v>76891213381</v>
      </c>
      <c r="B241" t="str">
        <f t="shared" ca="1" si="9"/>
        <v>HL Mountain Frame - Silver, 42-1T</v>
      </c>
      <c r="D241" s="2" t="s">
        <v>883</v>
      </c>
      <c r="E241" s="2" t="s">
        <v>884</v>
      </c>
      <c r="G241">
        <v>1</v>
      </c>
      <c r="H241">
        <f t="shared" ca="1" si="10"/>
        <v>3713.0360352334424</v>
      </c>
      <c r="I241">
        <v>34521495</v>
      </c>
      <c r="J241">
        <f t="shared" ca="1" si="11"/>
        <v>900</v>
      </c>
      <c r="R241" t="s">
        <v>593</v>
      </c>
    </row>
    <row r="242" spans="1:18" x14ac:dyDescent="0.35">
      <c r="A242">
        <v>76891213382</v>
      </c>
      <c r="B242" t="str">
        <f t="shared" ca="1" si="9"/>
        <v>HL Mountain Frame - Silver, 48-10Z</v>
      </c>
      <c r="D242" s="2" t="s">
        <v>883</v>
      </c>
      <c r="E242" s="2" t="s">
        <v>884</v>
      </c>
      <c r="G242">
        <v>1</v>
      </c>
      <c r="H242">
        <f t="shared" ca="1" si="10"/>
        <v>777.90611175999118</v>
      </c>
      <c r="I242">
        <v>34521496</v>
      </c>
      <c r="J242">
        <f t="shared" ca="1" si="11"/>
        <v>400</v>
      </c>
      <c r="R242" t="s">
        <v>593</v>
      </c>
    </row>
    <row r="243" spans="1:18" x14ac:dyDescent="0.35">
      <c r="A243">
        <v>76891213383</v>
      </c>
      <c r="B243" t="str">
        <f t="shared" ca="1" si="9"/>
        <v>Touring-3000 Blue, 50-1T</v>
      </c>
      <c r="D243" s="2" t="s">
        <v>883</v>
      </c>
      <c r="E243" s="2" t="s">
        <v>884</v>
      </c>
      <c r="G243">
        <v>1</v>
      </c>
      <c r="H243">
        <f t="shared" ca="1" si="10"/>
        <v>7867.2325628845992</v>
      </c>
      <c r="I243">
        <v>34521497</v>
      </c>
      <c r="J243">
        <f t="shared" ca="1" si="11"/>
        <v>1000</v>
      </c>
      <c r="R243" t="s">
        <v>593</v>
      </c>
    </row>
    <row r="244" spans="1:18" x14ac:dyDescent="0.35">
      <c r="A244">
        <v>76891213384</v>
      </c>
      <c r="B244" t="str">
        <f t="shared" ca="1" si="9"/>
        <v>LL Road Frame - Black, 58-1T</v>
      </c>
      <c r="D244" s="2" t="s">
        <v>883</v>
      </c>
      <c r="E244" s="2" t="s">
        <v>884</v>
      </c>
      <c r="G244">
        <v>1</v>
      </c>
      <c r="H244">
        <f t="shared" ca="1" si="10"/>
        <v>5612.9731125552507</v>
      </c>
      <c r="I244">
        <v>34521498</v>
      </c>
      <c r="J244">
        <f t="shared" ca="1" si="11"/>
        <v>1000</v>
      </c>
      <c r="R244" t="s">
        <v>594</v>
      </c>
    </row>
    <row r="245" spans="1:18" x14ac:dyDescent="0.35">
      <c r="A245">
        <v>76891213385</v>
      </c>
      <c r="B245" t="str">
        <f t="shared" ca="1" si="9"/>
        <v>Short-Sleeve Classic Jersey, S-8S</v>
      </c>
      <c r="D245" s="2" t="s">
        <v>883</v>
      </c>
      <c r="E245" s="2" t="s">
        <v>884</v>
      </c>
      <c r="G245">
        <v>1</v>
      </c>
      <c r="H245">
        <f t="shared" ca="1" si="10"/>
        <v>6325.6133263002412</v>
      </c>
      <c r="I245">
        <v>34521499</v>
      </c>
      <c r="J245">
        <f t="shared" ca="1" si="11"/>
        <v>100</v>
      </c>
      <c r="R245" t="s">
        <v>594</v>
      </c>
    </row>
    <row r="246" spans="1:18" x14ac:dyDescent="0.35">
      <c r="A246">
        <v>76891213386</v>
      </c>
      <c r="B246" t="str">
        <f t="shared" ca="1" si="9"/>
        <v>HL Road Frame - Red, 48-8S</v>
      </c>
      <c r="D246" s="2" t="s">
        <v>883</v>
      </c>
      <c r="E246" s="2" t="s">
        <v>884</v>
      </c>
      <c r="G246">
        <v>1</v>
      </c>
      <c r="H246">
        <f t="shared" ca="1" si="10"/>
        <v>8452.4982732375174</v>
      </c>
      <c r="I246">
        <v>34521500</v>
      </c>
      <c r="J246">
        <f t="shared" ca="1" si="11"/>
        <v>1000</v>
      </c>
      <c r="R246" t="s">
        <v>594</v>
      </c>
    </row>
    <row r="247" spans="1:18" x14ac:dyDescent="0.35">
      <c r="A247">
        <v>76891213387</v>
      </c>
      <c r="B247" t="str">
        <f t="shared" ca="1" si="9"/>
        <v>HL Road Frame - Red, 56-2T</v>
      </c>
      <c r="D247" s="2" t="s">
        <v>883</v>
      </c>
      <c r="E247" s="2" t="s">
        <v>884</v>
      </c>
      <c r="G247">
        <v>1</v>
      </c>
      <c r="H247">
        <f t="shared" ca="1" si="10"/>
        <v>3103.5029175008126</v>
      </c>
      <c r="I247">
        <v>34521501</v>
      </c>
      <c r="J247">
        <f t="shared" ca="1" si="11"/>
        <v>800</v>
      </c>
      <c r="R247" t="s">
        <v>595</v>
      </c>
    </row>
    <row r="248" spans="1:18" x14ac:dyDescent="0.35">
      <c r="A248">
        <v>76891213388</v>
      </c>
      <c r="B248" t="str">
        <f t="shared" ca="1" si="9"/>
        <v>Road-750 Black, 58-2T</v>
      </c>
      <c r="D248" s="2" t="s">
        <v>883</v>
      </c>
      <c r="E248" s="2" t="s">
        <v>884</v>
      </c>
      <c r="G248">
        <v>1</v>
      </c>
      <c r="H248">
        <f t="shared" ca="1" si="10"/>
        <v>1466.0763513227046</v>
      </c>
      <c r="I248">
        <v>34521502</v>
      </c>
      <c r="J248">
        <f t="shared" ca="1" si="11"/>
        <v>200</v>
      </c>
      <c r="R248" t="s">
        <v>595</v>
      </c>
    </row>
    <row r="249" spans="1:18" x14ac:dyDescent="0.35">
      <c r="A249">
        <v>76891213389</v>
      </c>
      <c r="B249" t="str">
        <f t="shared" ca="1" si="9"/>
        <v>Mountain-200 Black, 38-1T</v>
      </c>
      <c r="D249" s="2" t="s">
        <v>883</v>
      </c>
      <c r="E249" s="2" t="s">
        <v>884</v>
      </c>
      <c r="G249">
        <v>1</v>
      </c>
      <c r="H249">
        <f t="shared" ca="1" si="10"/>
        <v>4480.705223680392</v>
      </c>
      <c r="I249">
        <v>34521503</v>
      </c>
      <c r="J249">
        <f t="shared" ca="1" si="11"/>
        <v>400</v>
      </c>
      <c r="R249" t="s">
        <v>595</v>
      </c>
    </row>
    <row r="250" spans="1:18" x14ac:dyDescent="0.35">
      <c r="A250">
        <v>76891213390</v>
      </c>
      <c r="B250" t="str">
        <f t="shared" ca="1" si="9"/>
        <v>Thin-Jam Hex Nut 7-3T</v>
      </c>
      <c r="D250" s="2" t="s">
        <v>883</v>
      </c>
      <c r="E250" s="2" t="s">
        <v>884</v>
      </c>
      <c r="G250">
        <v>1</v>
      </c>
      <c r="H250">
        <f t="shared" ca="1" si="10"/>
        <v>6600.0958652442405</v>
      </c>
      <c r="I250">
        <v>34521504</v>
      </c>
      <c r="J250">
        <f t="shared" ca="1" si="11"/>
        <v>100</v>
      </c>
      <c r="R250" t="s">
        <v>596</v>
      </c>
    </row>
    <row r="251" spans="1:18" x14ac:dyDescent="0.35">
      <c r="A251">
        <v>76891213391</v>
      </c>
      <c r="B251" t="str">
        <f t="shared" ca="1" si="9"/>
        <v>Touring-1000 Blue, 50-3T</v>
      </c>
      <c r="D251" s="2" t="s">
        <v>883</v>
      </c>
      <c r="E251" s="2" t="s">
        <v>884</v>
      </c>
      <c r="G251">
        <v>1</v>
      </c>
      <c r="H251">
        <f t="shared" ca="1" si="10"/>
        <v>3029.6020190014342</v>
      </c>
      <c r="I251">
        <v>34521505</v>
      </c>
      <c r="J251">
        <f t="shared" ca="1" si="11"/>
        <v>1000</v>
      </c>
      <c r="R251" t="s">
        <v>596</v>
      </c>
    </row>
    <row r="252" spans="1:18" x14ac:dyDescent="0.35">
      <c r="A252">
        <v>76891213392</v>
      </c>
      <c r="B252" t="str">
        <f t="shared" ca="1" si="9"/>
        <v>Thin-Jam Hex Nut 11-9Z</v>
      </c>
      <c r="D252" s="2" t="s">
        <v>883</v>
      </c>
      <c r="E252" s="2" t="s">
        <v>884</v>
      </c>
      <c r="G252">
        <v>1</v>
      </c>
      <c r="H252">
        <f t="shared" ca="1" si="10"/>
        <v>3493.0081290660228</v>
      </c>
      <c r="I252">
        <v>34521506</v>
      </c>
      <c r="J252">
        <f t="shared" ca="1" si="11"/>
        <v>1000</v>
      </c>
      <c r="R252" t="s">
        <v>596</v>
      </c>
    </row>
    <row r="253" spans="1:18" x14ac:dyDescent="0.35">
      <c r="A253">
        <v>76891213393</v>
      </c>
      <c r="B253" t="str">
        <f t="shared" ca="1" si="9"/>
        <v>LL Touring Frame - Yellow, 44-6S</v>
      </c>
      <c r="D253" s="2" t="s">
        <v>883</v>
      </c>
      <c r="E253" s="2" t="s">
        <v>884</v>
      </c>
      <c r="G253">
        <v>1</v>
      </c>
      <c r="H253">
        <f t="shared" ca="1" si="10"/>
        <v>1578.8037302555053</v>
      </c>
      <c r="I253">
        <v>34521507</v>
      </c>
      <c r="J253">
        <f t="shared" ca="1" si="11"/>
        <v>200</v>
      </c>
      <c r="R253" t="s">
        <v>597</v>
      </c>
    </row>
    <row r="254" spans="1:18" x14ac:dyDescent="0.35">
      <c r="A254">
        <v>76891213394</v>
      </c>
      <c r="B254" t="str">
        <f t="shared" ca="1" si="9"/>
        <v>HL Road Front Wheel-3T</v>
      </c>
      <c r="D254" s="2" t="s">
        <v>883</v>
      </c>
      <c r="E254" s="2" t="s">
        <v>884</v>
      </c>
      <c r="G254">
        <v>1</v>
      </c>
      <c r="H254">
        <f t="shared" ca="1" si="10"/>
        <v>4295.2254967828821</v>
      </c>
      <c r="I254">
        <v>34521508</v>
      </c>
      <c r="J254">
        <f t="shared" ca="1" si="11"/>
        <v>100</v>
      </c>
      <c r="R254" t="s">
        <v>597</v>
      </c>
    </row>
    <row r="255" spans="1:18" x14ac:dyDescent="0.35">
      <c r="A255">
        <v>76891213395</v>
      </c>
      <c r="B255" t="str">
        <f t="shared" ca="1" si="9"/>
        <v>Half-Finger Gloves, M-9Z</v>
      </c>
      <c r="D255" s="2" t="s">
        <v>883</v>
      </c>
      <c r="E255" s="2" t="s">
        <v>884</v>
      </c>
      <c r="G255">
        <v>1</v>
      </c>
      <c r="H255">
        <f t="shared" ca="1" si="10"/>
        <v>4064.214687257996</v>
      </c>
      <c r="I255">
        <v>34521509</v>
      </c>
      <c r="J255">
        <f t="shared" ca="1" si="11"/>
        <v>1000</v>
      </c>
      <c r="R255" t="s">
        <v>597</v>
      </c>
    </row>
    <row r="256" spans="1:18" x14ac:dyDescent="0.35">
      <c r="A256">
        <v>76891213396</v>
      </c>
      <c r="B256" t="str">
        <f t="shared" ca="1" si="9"/>
        <v>LL Spindle/Axle-8S</v>
      </c>
      <c r="D256" s="2" t="s">
        <v>883</v>
      </c>
      <c r="E256" s="2" t="s">
        <v>884</v>
      </c>
      <c r="G256">
        <v>1</v>
      </c>
      <c r="H256">
        <f t="shared" ca="1" si="10"/>
        <v>6179.0713956087257</v>
      </c>
      <c r="I256">
        <v>34521510</v>
      </c>
      <c r="J256">
        <f t="shared" ca="1" si="11"/>
        <v>200</v>
      </c>
      <c r="R256" t="s">
        <v>598</v>
      </c>
    </row>
    <row r="257" spans="1:18" x14ac:dyDescent="0.35">
      <c r="A257">
        <v>76891213397</v>
      </c>
      <c r="B257" t="str">
        <f t="shared" ca="1" si="9"/>
        <v>HL Mountain Pedal-2T</v>
      </c>
      <c r="D257" s="2" t="s">
        <v>883</v>
      </c>
      <c r="E257" s="2" t="s">
        <v>884</v>
      </c>
      <c r="G257">
        <v>1</v>
      </c>
      <c r="H257">
        <f t="shared" ca="1" si="10"/>
        <v>4664.724071929576</v>
      </c>
      <c r="I257">
        <v>34521511</v>
      </c>
      <c r="J257">
        <f t="shared" ca="1" si="11"/>
        <v>200</v>
      </c>
      <c r="R257" t="s">
        <v>598</v>
      </c>
    </row>
    <row r="258" spans="1:18" x14ac:dyDescent="0.35">
      <c r="A258">
        <v>76891213398</v>
      </c>
      <c r="B258" t="str">
        <f t="shared" ref="B258:B321" ca="1" si="12">INDEX($R$4:$R$609,RANDBETWEEN(1,606))&amp;"-"&amp;INDEX($S$4:$S$10,RANDBETWEEN(1,7))</f>
        <v>ML Road Frame - Red, 52-1T</v>
      </c>
      <c r="D258" s="2" t="s">
        <v>883</v>
      </c>
      <c r="E258" s="2" t="s">
        <v>884</v>
      </c>
      <c r="G258">
        <v>1</v>
      </c>
      <c r="H258">
        <f t="shared" ca="1" si="10"/>
        <v>5671.349698118911</v>
      </c>
      <c r="I258">
        <v>34521512</v>
      </c>
      <c r="J258">
        <f t="shared" ca="1" si="11"/>
        <v>900</v>
      </c>
      <c r="R258" t="s">
        <v>598</v>
      </c>
    </row>
    <row r="259" spans="1:18" x14ac:dyDescent="0.35">
      <c r="A259">
        <v>76891213399</v>
      </c>
      <c r="B259" t="str">
        <f t="shared" ca="1" si="12"/>
        <v>LL Mountain Seat/Saddle-2T</v>
      </c>
      <c r="D259" s="2" t="s">
        <v>883</v>
      </c>
      <c r="E259" s="2" t="s">
        <v>884</v>
      </c>
      <c r="G259">
        <v>1</v>
      </c>
      <c r="H259">
        <f t="shared" ref="H259:H322" ca="1" si="13">RANDBETWEEN(100,10000)+RAND()</f>
        <v>847.70440937695787</v>
      </c>
      <c r="I259">
        <v>34521513</v>
      </c>
      <c r="J259">
        <f t="shared" ref="J259:J322" ca="1" si="14">INDEX($O$3:$O$12,RANDBETWEEN(1,10))</f>
        <v>1000</v>
      </c>
      <c r="R259" t="s">
        <v>599</v>
      </c>
    </row>
    <row r="260" spans="1:18" x14ac:dyDescent="0.35">
      <c r="A260">
        <v>76891213400</v>
      </c>
      <c r="B260" t="str">
        <f t="shared" ca="1" si="12"/>
        <v>ML Mountain Front Wheel-1T</v>
      </c>
      <c r="D260" s="2" t="s">
        <v>883</v>
      </c>
      <c r="E260" s="2" t="s">
        <v>884</v>
      </c>
      <c r="G260">
        <v>1</v>
      </c>
      <c r="H260">
        <f t="shared" ca="1" si="13"/>
        <v>4147.0864993427804</v>
      </c>
      <c r="I260">
        <v>34521514</v>
      </c>
      <c r="J260">
        <f t="shared" ca="1" si="14"/>
        <v>400</v>
      </c>
      <c r="R260" t="s">
        <v>599</v>
      </c>
    </row>
    <row r="261" spans="1:18" x14ac:dyDescent="0.35">
      <c r="A261">
        <v>76891213401</v>
      </c>
      <c r="B261" t="str">
        <f t="shared" ca="1" si="12"/>
        <v>Short-Sleeve Classic Jersey, M-6S</v>
      </c>
      <c r="D261" s="2" t="s">
        <v>883</v>
      </c>
      <c r="E261" s="2" t="s">
        <v>884</v>
      </c>
      <c r="G261">
        <v>1</v>
      </c>
      <c r="H261">
        <f t="shared" ca="1" si="13"/>
        <v>5832.6749805311892</v>
      </c>
      <c r="I261">
        <v>34521515</v>
      </c>
      <c r="J261">
        <f t="shared" ca="1" si="14"/>
        <v>300</v>
      </c>
      <c r="R261" t="s">
        <v>599</v>
      </c>
    </row>
    <row r="262" spans="1:18" x14ac:dyDescent="0.35">
      <c r="A262">
        <v>76891213402</v>
      </c>
      <c r="B262" t="str">
        <f t="shared" ca="1" si="12"/>
        <v>Touring-1000 Yellow, 60-2T</v>
      </c>
      <c r="D262" s="2" t="s">
        <v>883</v>
      </c>
      <c r="E262" s="2" t="s">
        <v>884</v>
      </c>
      <c r="G262">
        <v>1</v>
      </c>
      <c r="H262">
        <f t="shared" ca="1" si="13"/>
        <v>3719.6063338306585</v>
      </c>
      <c r="I262">
        <v>34521516</v>
      </c>
      <c r="J262">
        <f t="shared" ca="1" si="14"/>
        <v>300</v>
      </c>
      <c r="R262" t="s">
        <v>600</v>
      </c>
    </row>
    <row r="263" spans="1:18" x14ac:dyDescent="0.35">
      <c r="A263">
        <v>76891213403</v>
      </c>
      <c r="B263" t="str">
        <f t="shared" ca="1" si="12"/>
        <v>Lock Washer 6-10Z</v>
      </c>
      <c r="D263" s="2" t="s">
        <v>883</v>
      </c>
      <c r="E263" s="2" t="s">
        <v>884</v>
      </c>
      <c r="G263">
        <v>1</v>
      </c>
      <c r="H263">
        <f t="shared" ca="1" si="13"/>
        <v>7222.6267597950819</v>
      </c>
      <c r="I263">
        <v>34521517</v>
      </c>
      <c r="J263">
        <f t="shared" ca="1" si="14"/>
        <v>100</v>
      </c>
      <c r="R263" t="s">
        <v>600</v>
      </c>
    </row>
    <row r="264" spans="1:18" x14ac:dyDescent="0.35">
      <c r="A264">
        <v>76891213404</v>
      </c>
      <c r="B264" t="str">
        <f t="shared" ca="1" si="12"/>
        <v>Men's Bib-Shorts, S-1T</v>
      </c>
      <c r="D264" s="2" t="s">
        <v>883</v>
      </c>
      <c r="E264" s="2" t="s">
        <v>884</v>
      </c>
      <c r="G264">
        <v>1</v>
      </c>
      <c r="H264">
        <f t="shared" ca="1" si="13"/>
        <v>5161.7096589652265</v>
      </c>
      <c r="I264">
        <v>34521518</v>
      </c>
      <c r="J264">
        <f t="shared" ca="1" si="14"/>
        <v>300</v>
      </c>
      <c r="R264" t="s">
        <v>600</v>
      </c>
    </row>
    <row r="265" spans="1:18" x14ac:dyDescent="0.35">
      <c r="A265">
        <v>76891213405</v>
      </c>
      <c r="B265" t="str">
        <f t="shared" ca="1" si="12"/>
        <v>HL Mountain Handlebars-9Z</v>
      </c>
      <c r="D265" s="2" t="s">
        <v>883</v>
      </c>
      <c r="E265" s="2" t="s">
        <v>884</v>
      </c>
      <c r="G265">
        <v>1</v>
      </c>
      <c r="H265">
        <f t="shared" ca="1" si="13"/>
        <v>140.45123256001332</v>
      </c>
      <c r="I265">
        <v>34521519</v>
      </c>
      <c r="J265">
        <f t="shared" ca="1" si="14"/>
        <v>400</v>
      </c>
      <c r="R265" t="s">
        <v>601</v>
      </c>
    </row>
    <row r="266" spans="1:18" x14ac:dyDescent="0.35">
      <c r="A266">
        <v>76891213406</v>
      </c>
      <c r="B266" t="str">
        <f t="shared" ca="1" si="12"/>
        <v>Men's Sports Shorts, L-2T</v>
      </c>
      <c r="D266" s="2" t="s">
        <v>883</v>
      </c>
      <c r="E266" s="2" t="s">
        <v>884</v>
      </c>
      <c r="G266">
        <v>1</v>
      </c>
      <c r="H266">
        <f t="shared" ca="1" si="13"/>
        <v>5847.2033516990386</v>
      </c>
      <c r="I266">
        <v>34521520</v>
      </c>
      <c r="J266">
        <f t="shared" ca="1" si="14"/>
        <v>700</v>
      </c>
      <c r="R266" t="s">
        <v>601</v>
      </c>
    </row>
    <row r="267" spans="1:18" x14ac:dyDescent="0.35">
      <c r="A267">
        <v>76891213407</v>
      </c>
      <c r="B267" t="str">
        <f t="shared" ca="1" si="12"/>
        <v>Mountain-200 Silver, 42-1T</v>
      </c>
      <c r="D267" s="2" t="s">
        <v>883</v>
      </c>
      <c r="E267" s="2" t="s">
        <v>884</v>
      </c>
      <c r="G267">
        <v>1</v>
      </c>
      <c r="H267">
        <f t="shared" ca="1" si="13"/>
        <v>2479.2746542139621</v>
      </c>
      <c r="I267">
        <v>34521521</v>
      </c>
      <c r="J267">
        <f t="shared" ca="1" si="14"/>
        <v>1000</v>
      </c>
      <c r="R267" t="s">
        <v>602</v>
      </c>
    </row>
    <row r="268" spans="1:18" x14ac:dyDescent="0.35">
      <c r="A268">
        <v>76891213408</v>
      </c>
      <c r="B268" t="str">
        <f t="shared" ca="1" si="12"/>
        <v>Lock Nut 19-1T</v>
      </c>
      <c r="D268" s="2" t="s">
        <v>883</v>
      </c>
      <c r="E268" s="2" t="s">
        <v>884</v>
      </c>
      <c r="G268">
        <v>1</v>
      </c>
      <c r="H268">
        <f t="shared" ca="1" si="13"/>
        <v>2585.6504497826659</v>
      </c>
      <c r="I268">
        <v>34521522</v>
      </c>
      <c r="J268">
        <f t="shared" ca="1" si="14"/>
        <v>500</v>
      </c>
      <c r="R268" t="s">
        <v>602</v>
      </c>
    </row>
    <row r="269" spans="1:18" x14ac:dyDescent="0.35">
      <c r="A269">
        <v>76891213409</v>
      </c>
      <c r="B269" t="str">
        <f t="shared" ca="1" si="12"/>
        <v>LL Hub-2T</v>
      </c>
      <c r="D269" s="2" t="s">
        <v>883</v>
      </c>
      <c r="E269" s="2" t="s">
        <v>884</v>
      </c>
      <c r="G269">
        <v>1</v>
      </c>
      <c r="H269">
        <f t="shared" ca="1" si="13"/>
        <v>2712.1982659831201</v>
      </c>
      <c r="I269">
        <v>34521523</v>
      </c>
      <c r="J269">
        <f t="shared" ca="1" si="14"/>
        <v>400</v>
      </c>
      <c r="R269" t="s">
        <v>603</v>
      </c>
    </row>
    <row r="270" spans="1:18" x14ac:dyDescent="0.35">
      <c r="A270">
        <v>76891213410</v>
      </c>
      <c r="B270" t="str">
        <f t="shared" ca="1" si="12"/>
        <v>Fender Set - Mountain-9Z</v>
      </c>
      <c r="D270" s="2" t="s">
        <v>883</v>
      </c>
      <c r="E270" s="2" t="s">
        <v>884</v>
      </c>
      <c r="G270">
        <v>1</v>
      </c>
      <c r="H270">
        <f t="shared" ca="1" si="13"/>
        <v>5895.9151906064244</v>
      </c>
      <c r="I270">
        <v>34521524</v>
      </c>
      <c r="J270">
        <f t="shared" ca="1" si="14"/>
        <v>900</v>
      </c>
      <c r="R270" t="s">
        <v>603</v>
      </c>
    </row>
    <row r="271" spans="1:18" x14ac:dyDescent="0.35">
      <c r="A271">
        <v>76891213411</v>
      </c>
      <c r="B271" t="str">
        <f t="shared" ca="1" si="12"/>
        <v>ML Road Seat Assembly-2T</v>
      </c>
      <c r="D271" s="2" t="s">
        <v>883</v>
      </c>
      <c r="E271" s="2" t="s">
        <v>884</v>
      </c>
      <c r="G271">
        <v>1</v>
      </c>
      <c r="H271">
        <f t="shared" ca="1" si="13"/>
        <v>1843.4759444981628</v>
      </c>
      <c r="I271">
        <v>34521525</v>
      </c>
      <c r="J271">
        <f t="shared" ca="1" si="14"/>
        <v>500</v>
      </c>
      <c r="R271" t="s">
        <v>604</v>
      </c>
    </row>
    <row r="272" spans="1:18" x14ac:dyDescent="0.35">
      <c r="A272">
        <v>76891213412</v>
      </c>
      <c r="B272" t="str">
        <f t="shared" ca="1" si="12"/>
        <v>LL Road Frame - Black, 44-2T</v>
      </c>
      <c r="D272" s="2" t="s">
        <v>883</v>
      </c>
      <c r="E272" s="2" t="s">
        <v>884</v>
      </c>
      <c r="G272">
        <v>1</v>
      </c>
      <c r="H272">
        <f t="shared" ca="1" si="13"/>
        <v>430.51503832168373</v>
      </c>
      <c r="I272">
        <v>34521526</v>
      </c>
      <c r="J272">
        <f t="shared" ca="1" si="14"/>
        <v>500</v>
      </c>
      <c r="R272" t="s">
        <v>604</v>
      </c>
    </row>
    <row r="273" spans="1:18" x14ac:dyDescent="0.35">
      <c r="A273">
        <v>76891213413</v>
      </c>
      <c r="B273" t="str">
        <f t="shared" ca="1" si="12"/>
        <v>Women's Tights, L-8S</v>
      </c>
      <c r="D273" s="2" t="s">
        <v>883</v>
      </c>
      <c r="E273" s="2" t="s">
        <v>884</v>
      </c>
      <c r="G273">
        <v>1</v>
      </c>
      <c r="H273">
        <f t="shared" ca="1" si="13"/>
        <v>5860.803601844581</v>
      </c>
      <c r="I273">
        <v>34521527</v>
      </c>
      <c r="J273">
        <f t="shared" ca="1" si="14"/>
        <v>800</v>
      </c>
      <c r="R273" t="s">
        <v>605</v>
      </c>
    </row>
    <row r="274" spans="1:18" x14ac:dyDescent="0.35">
      <c r="A274">
        <v>76891213414</v>
      </c>
      <c r="B274" t="str">
        <f t="shared" ca="1" si="12"/>
        <v>Lock Nut 9-2T</v>
      </c>
      <c r="D274" s="2" t="s">
        <v>883</v>
      </c>
      <c r="E274" s="2" t="s">
        <v>884</v>
      </c>
      <c r="G274">
        <v>1</v>
      </c>
      <c r="H274">
        <f t="shared" ca="1" si="13"/>
        <v>9766.7832998304748</v>
      </c>
      <c r="I274">
        <v>34521528</v>
      </c>
      <c r="J274">
        <f t="shared" ca="1" si="14"/>
        <v>400</v>
      </c>
      <c r="R274" t="s">
        <v>605</v>
      </c>
    </row>
    <row r="275" spans="1:18" x14ac:dyDescent="0.35">
      <c r="A275">
        <v>76891213415</v>
      </c>
      <c r="B275" t="str">
        <f t="shared" ca="1" si="12"/>
        <v>Racing Socks, L-8S</v>
      </c>
      <c r="D275" s="2" t="s">
        <v>883</v>
      </c>
      <c r="E275" s="2" t="s">
        <v>884</v>
      </c>
      <c r="G275">
        <v>1</v>
      </c>
      <c r="H275">
        <f t="shared" ca="1" si="13"/>
        <v>2617.4669359049317</v>
      </c>
      <c r="I275">
        <v>34521529</v>
      </c>
      <c r="J275">
        <f t="shared" ca="1" si="14"/>
        <v>1000</v>
      </c>
      <c r="R275" t="s">
        <v>606</v>
      </c>
    </row>
    <row r="276" spans="1:18" x14ac:dyDescent="0.35">
      <c r="A276">
        <v>76891213416</v>
      </c>
      <c r="B276" t="str">
        <f t="shared" ca="1" si="12"/>
        <v>HL Road Frame - Black, 52-9Z</v>
      </c>
      <c r="D276" s="2" t="s">
        <v>883</v>
      </c>
      <c r="E276" s="2" t="s">
        <v>884</v>
      </c>
      <c r="G276">
        <v>1</v>
      </c>
      <c r="H276">
        <f t="shared" ca="1" si="13"/>
        <v>254.34781389929725</v>
      </c>
      <c r="I276">
        <v>34521530</v>
      </c>
      <c r="J276">
        <f t="shared" ca="1" si="14"/>
        <v>100</v>
      </c>
      <c r="R276" t="s">
        <v>606</v>
      </c>
    </row>
    <row r="277" spans="1:18" x14ac:dyDescent="0.35">
      <c r="A277">
        <v>76891213417</v>
      </c>
      <c r="B277" t="str">
        <f t="shared" ca="1" si="12"/>
        <v>Rear Derailleur-6S</v>
      </c>
      <c r="D277" s="2" t="s">
        <v>883</v>
      </c>
      <c r="E277" s="2" t="s">
        <v>884</v>
      </c>
      <c r="G277">
        <v>1</v>
      </c>
      <c r="H277">
        <f t="shared" ca="1" si="13"/>
        <v>2722.8501831766084</v>
      </c>
      <c r="I277">
        <v>34521531</v>
      </c>
      <c r="J277">
        <f t="shared" ca="1" si="14"/>
        <v>300</v>
      </c>
      <c r="R277" t="s">
        <v>607</v>
      </c>
    </row>
    <row r="278" spans="1:18" x14ac:dyDescent="0.35">
      <c r="A278">
        <v>76891213418</v>
      </c>
      <c r="B278" t="str">
        <f t="shared" ca="1" si="12"/>
        <v>Road-650 Black, 44-1T</v>
      </c>
      <c r="D278" s="2" t="s">
        <v>883</v>
      </c>
      <c r="E278" s="2" t="s">
        <v>884</v>
      </c>
      <c r="G278">
        <v>1</v>
      </c>
      <c r="H278">
        <f t="shared" ca="1" si="13"/>
        <v>8210.6670108302296</v>
      </c>
      <c r="I278">
        <v>34521532</v>
      </c>
      <c r="J278">
        <f t="shared" ca="1" si="14"/>
        <v>300</v>
      </c>
      <c r="R278" t="s">
        <v>608</v>
      </c>
    </row>
    <row r="279" spans="1:18" x14ac:dyDescent="0.35">
      <c r="A279">
        <v>76891213419</v>
      </c>
      <c r="B279" t="str">
        <f t="shared" ca="1" si="12"/>
        <v>AWC Logo Cap-3T</v>
      </c>
      <c r="D279" s="2" t="s">
        <v>883</v>
      </c>
      <c r="E279" s="2" t="s">
        <v>884</v>
      </c>
      <c r="G279">
        <v>1</v>
      </c>
      <c r="H279">
        <f t="shared" ca="1" si="13"/>
        <v>5802.1747515963825</v>
      </c>
      <c r="I279">
        <v>34521533</v>
      </c>
      <c r="J279">
        <f t="shared" ca="1" si="14"/>
        <v>1000</v>
      </c>
      <c r="R279" t="s">
        <v>609</v>
      </c>
    </row>
    <row r="280" spans="1:18" x14ac:dyDescent="0.35">
      <c r="A280">
        <v>76891213420</v>
      </c>
      <c r="B280" t="str">
        <f t="shared" ca="1" si="12"/>
        <v>Metal Bar 2-9Z</v>
      </c>
      <c r="D280" s="2" t="s">
        <v>883</v>
      </c>
      <c r="E280" s="2" t="s">
        <v>884</v>
      </c>
      <c r="G280">
        <v>1</v>
      </c>
      <c r="H280">
        <f t="shared" ca="1" si="13"/>
        <v>705.92088426041653</v>
      </c>
      <c r="I280">
        <v>34521534</v>
      </c>
      <c r="J280">
        <f t="shared" ca="1" si="14"/>
        <v>500</v>
      </c>
      <c r="R280" t="s">
        <v>610</v>
      </c>
    </row>
    <row r="281" spans="1:18" x14ac:dyDescent="0.35">
      <c r="A281">
        <v>76891213421</v>
      </c>
      <c r="B281" t="str">
        <f t="shared" ca="1" si="12"/>
        <v>Front Brakes-1T</v>
      </c>
      <c r="D281" s="2" t="s">
        <v>883</v>
      </c>
      <c r="E281" s="2" t="s">
        <v>884</v>
      </c>
      <c r="G281">
        <v>1</v>
      </c>
      <c r="H281">
        <f t="shared" ca="1" si="13"/>
        <v>5732.6026623855587</v>
      </c>
      <c r="I281">
        <v>34521535</v>
      </c>
      <c r="J281">
        <f t="shared" ca="1" si="14"/>
        <v>300</v>
      </c>
      <c r="R281" t="s">
        <v>611</v>
      </c>
    </row>
    <row r="282" spans="1:18" x14ac:dyDescent="0.35">
      <c r="A282">
        <v>76891213422</v>
      </c>
      <c r="B282" t="str">
        <f t="shared" ca="1" si="12"/>
        <v>Metal Tread Plate-3T</v>
      </c>
      <c r="D282" s="2" t="s">
        <v>883</v>
      </c>
      <c r="E282" s="2" t="s">
        <v>884</v>
      </c>
      <c r="G282">
        <v>1</v>
      </c>
      <c r="H282">
        <f t="shared" ca="1" si="13"/>
        <v>2902.3044736195407</v>
      </c>
      <c r="I282">
        <v>34521536</v>
      </c>
      <c r="J282">
        <f t="shared" ca="1" si="14"/>
        <v>100</v>
      </c>
      <c r="R282" t="s">
        <v>612</v>
      </c>
    </row>
    <row r="283" spans="1:18" x14ac:dyDescent="0.35">
      <c r="A283">
        <v>76891213423</v>
      </c>
      <c r="B283" t="str">
        <f t="shared" ca="1" si="12"/>
        <v>Touring-3000 Blue, 44-1T</v>
      </c>
      <c r="D283" s="2" t="s">
        <v>883</v>
      </c>
      <c r="E283" s="2" t="s">
        <v>884</v>
      </c>
      <c r="G283">
        <v>1</v>
      </c>
      <c r="H283">
        <f t="shared" ca="1" si="13"/>
        <v>1141.5267093600655</v>
      </c>
      <c r="I283">
        <v>34521537</v>
      </c>
      <c r="J283">
        <f t="shared" ca="1" si="14"/>
        <v>1000</v>
      </c>
      <c r="R283" t="s">
        <v>612</v>
      </c>
    </row>
    <row r="284" spans="1:18" x14ac:dyDescent="0.35">
      <c r="A284">
        <v>76891213424</v>
      </c>
      <c r="B284" t="str">
        <f t="shared" ca="1" si="12"/>
        <v>Headset Ball Bearings-10Z</v>
      </c>
      <c r="D284" s="2" t="s">
        <v>883</v>
      </c>
      <c r="E284" s="2" t="s">
        <v>884</v>
      </c>
      <c r="G284">
        <v>1</v>
      </c>
      <c r="H284">
        <f t="shared" ca="1" si="13"/>
        <v>7376.2580680938527</v>
      </c>
      <c r="I284">
        <v>34521538</v>
      </c>
      <c r="J284">
        <f t="shared" ca="1" si="14"/>
        <v>200</v>
      </c>
      <c r="R284" t="s">
        <v>612</v>
      </c>
    </row>
    <row r="285" spans="1:18" x14ac:dyDescent="0.35">
      <c r="A285">
        <v>76891213425</v>
      </c>
      <c r="B285" t="str">
        <f t="shared" ca="1" si="12"/>
        <v>ML Grip Tape-9Z</v>
      </c>
      <c r="D285" s="2" t="s">
        <v>883</v>
      </c>
      <c r="E285" s="2" t="s">
        <v>884</v>
      </c>
      <c r="G285">
        <v>1</v>
      </c>
      <c r="H285">
        <f t="shared" ca="1" si="13"/>
        <v>7305.5008049485577</v>
      </c>
      <c r="I285">
        <v>34521539</v>
      </c>
      <c r="J285">
        <f t="shared" ca="1" si="14"/>
        <v>400</v>
      </c>
      <c r="R285" t="s">
        <v>613</v>
      </c>
    </row>
    <row r="286" spans="1:18" x14ac:dyDescent="0.35">
      <c r="A286">
        <v>76891213426</v>
      </c>
      <c r="B286" t="str">
        <f t="shared" ca="1" si="12"/>
        <v>HL Mountain Frame - Black, 46-6S</v>
      </c>
      <c r="D286" s="2" t="s">
        <v>883</v>
      </c>
      <c r="E286" s="2" t="s">
        <v>884</v>
      </c>
      <c r="G286">
        <v>1</v>
      </c>
      <c r="H286">
        <f t="shared" ca="1" si="13"/>
        <v>7367.2409730159643</v>
      </c>
      <c r="I286">
        <v>34521540</v>
      </c>
      <c r="J286">
        <f t="shared" ca="1" si="14"/>
        <v>200</v>
      </c>
      <c r="R286" t="s">
        <v>613</v>
      </c>
    </row>
    <row r="287" spans="1:18" x14ac:dyDescent="0.35">
      <c r="A287">
        <v>76891213427</v>
      </c>
      <c r="B287" t="str">
        <f t="shared" ca="1" si="12"/>
        <v>Mountain-200 Silver, 46-8S</v>
      </c>
      <c r="D287" s="2" t="s">
        <v>883</v>
      </c>
      <c r="E287" s="2" t="s">
        <v>884</v>
      </c>
      <c r="G287">
        <v>1</v>
      </c>
      <c r="H287">
        <f t="shared" ca="1" si="13"/>
        <v>2482.576406869925</v>
      </c>
      <c r="I287">
        <v>34521541</v>
      </c>
      <c r="J287">
        <f t="shared" ca="1" si="14"/>
        <v>900</v>
      </c>
      <c r="R287" t="s">
        <v>613</v>
      </c>
    </row>
    <row r="288" spans="1:18" x14ac:dyDescent="0.35">
      <c r="A288">
        <v>76891213428</v>
      </c>
      <c r="B288" t="str">
        <f t="shared" ca="1" si="12"/>
        <v>Hex Nut 6-2T</v>
      </c>
      <c r="D288" s="2" t="s">
        <v>883</v>
      </c>
      <c r="E288" s="2" t="s">
        <v>884</v>
      </c>
      <c r="G288">
        <v>1</v>
      </c>
      <c r="H288">
        <f t="shared" ca="1" si="13"/>
        <v>9444.1575416140786</v>
      </c>
      <c r="I288">
        <v>34521542</v>
      </c>
      <c r="J288">
        <f t="shared" ca="1" si="14"/>
        <v>600</v>
      </c>
      <c r="R288" t="s">
        <v>614</v>
      </c>
    </row>
    <row r="289" spans="1:18" x14ac:dyDescent="0.35">
      <c r="A289">
        <v>76891213429</v>
      </c>
      <c r="B289" t="str">
        <f t="shared" ca="1" si="12"/>
        <v>Rear Brakes-6S</v>
      </c>
      <c r="D289" s="2" t="s">
        <v>883</v>
      </c>
      <c r="E289" s="2" t="s">
        <v>884</v>
      </c>
      <c r="G289">
        <v>1</v>
      </c>
      <c r="H289">
        <f t="shared" ca="1" si="13"/>
        <v>8406.1091392579347</v>
      </c>
      <c r="I289">
        <v>34521543</v>
      </c>
      <c r="J289">
        <f t="shared" ca="1" si="14"/>
        <v>300</v>
      </c>
      <c r="R289" t="s">
        <v>614</v>
      </c>
    </row>
    <row r="290" spans="1:18" x14ac:dyDescent="0.35">
      <c r="A290">
        <v>76891213430</v>
      </c>
      <c r="B290" t="str">
        <f t="shared" ca="1" si="12"/>
        <v>Long-Sleeve Logo Jersey, S-10Z</v>
      </c>
      <c r="D290" s="2" t="s">
        <v>883</v>
      </c>
      <c r="E290" s="2" t="s">
        <v>884</v>
      </c>
      <c r="G290">
        <v>1</v>
      </c>
      <c r="H290">
        <f t="shared" ca="1" si="13"/>
        <v>6813.6085833165471</v>
      </c>
      <c r="I290">
        <v>34521544</v>
      </c>
      <c r="J290">
        <f t="shared" ca="1" si="14"/>
        <v>800</v>
      </c>
      <c r="R290" t="s">
        <v>614</v>
      </c>
    </row>
    <row r="291" spans="1:18" x14ac:dyDescent="0.35">
      <c r="A291">
        <v>76891213431</v>
      </c>
      <c r="B291" t="str">
        <f t="shared" ca="1" si="12"/>
        <v>Road-250 Black, 58-9Z</v>
      </c>
      <c r="D291" s="2" t="s">
        <v>883</v>
      </c>
      <c r="E291" s="2" t="s">
        <v>884</v>
      </c>
      <c r="G291">
        <v>1</v>
      </c>
      <c r="H291">
        <f t="shared" ca="1" si="13"/>
        <v>7429.4769713944388</v>
      </c>
      <c r="I291">
        <v>34521545</v>
      </c>
      <c r="J291">
        <f t="shared" ca="1" si="14"/>
        <v>100</v>
      </c>
      <c r="R291" t="s">
        <v>615</v>
      </c>
    </row>
    <row r="292" spans="1:18" x14ac:dyDescent="0.35">
      <c r="A292">
        <v>76891213432</v>
      </c>
      <c r="B292" t="str">
        <f t="shared" ca="1" si="12"/>
        <v>Road-750 Black, 52-10Z</v>
      </c>
      <c r="D292" s="2" t="s">
        <v>883</v>
      </c>
      <c r="E292" s="2" t="s">
        <v>884</v>
      </c>
      <c r="G292">
        <v>1</v>
      </c>
      <c r="H292">
        <f t="shared" ca="1" si="13"/>
        <v>1008.1791642733751</v>
      </c>
      <c r="I292">
        <v>34521546</v>
      </c>
      <c r="J292">
        <f t="shared" ca="1" si="14"/>
        <v>700</v>
      </c>
      <c r="R292" t="s">
        <v>615</v>
      </c>
    </row>
    <row r="293" spans="1:18" x14ac:dyDescent="0.35">
      <c r="A293">
        <v>76891213433</v>
      </c>
      <c r="B293" t="str">
        <f t="shared" ca="1" si="12"/>
        <v>LL Road Frame - Black, 44-6S</v>
      </c>
      <c r="D293" s="2" t="s">
        <v>883</v>
      </c>
      <c r="E293" s="2" t="s">
        <v>884</v>
      </c>
      <c r="G293">
        <v>1</v>
      </c>
      <c r="H293">
        <f t="shared" ca="1" si="13"/>
        <v>8137.8051344838841</v>
      </c>
      <c r="I293">
        <v>34521547</v>
      </c>
      <c r="J293">
        <f t="shared" ca="1" si="14"/>
        <v>600</v>
      </c>
      <c r="R293" t="s">
        <v>615</v>
      </c>
    </row>
    <row r="294" spans="1:18" x14ac:dyDescent="0.35">
      <c r="A294">
        <v>76891213434</v>
      </c>
      <c r="B294" t="str">
        <f t="shared" ca="1" si="12"/>
        <v>Women's Tights, M-10Z</v>
      </c>
      <c r="D294" s="2" t="s">
        <v>883</v>
      </c>
      <c r="E294" s="2" t="s">
        <v>884</v>
      </c>
      <c r="G294">
        <v>1</v>
      </c>
      <c r="H294">
        <f t="shared" ca="1" si="13"/>
        <v>1035.2793986688564</v>
      </c>
      <c r="I294">
        <v>34521548</v>
      </c>
      <c r="J294">
        <f t="shared" ca="1" si="14"/>
        <v>400</v>
      </c>
      <c r="R294" t="s">
        <v>616</v>
      </c>
    </row>
    <row r="295" spans="1:18" x14ac:dyDescent="0.35">
      <c r="A295">
        <v>76891213435</v>
      </c>
      <c r="B295" t="str">
        <f t="shared" ca="1" si="12"/>
        <v>Road-650 Black, 60-10Z</v>
      </c>
      <c r="D295" s="2" t="s">
        <v>883</v>
      </c>
      <c r="E295" s="2" t="s">
        <v>884</v>
      </c>
      <c r="G295">
        <v>1</v>
      </c>
      <c r="H295">
        <f t="shared" ca="1" si="13"/>
        <v>1716.0407979817521</v>
      </c>
      <c r="I295">
        <v>34521549</v>
      </c>
      <c r="J295">
        <f t="shared" ca="1" si="14"/>
        <v>500</v>
      </c>
      <c r="R295" t="s">
        <v>617</v>
      </c>
    </row>
    <row r="296" spans="1:18" x14ac:dyDescent="0.35">
      <c r="A296">
        <v>76891213436</v>
      </c>
      <c r="B296" t="str">
        <f t="shared" ca="1" si="12"/>
        <v>Road-550-W Yellow, 42-1T</v>
      </c>
      <c r="D296" s="2" t="s">
        <v>883</v>
      </c>
      <c r="E296" s="2" t="s">
        <v>884</v>
      </c>
      <c r="G296">
        <v>1</v>
      </c>
      <c r="H296">
        <f t="shared" ca="1" si="13"/>
        <v>7382.4174647878453</v>
      </c>
      <c r="I296">
        <v>34521550</v>
      </c>
      <c r="J296">
        <f t="shared" ca="1" si="14"/>
        <v>500</v>
      </c>
      <c r="R296" t="s">
        <v>618</v>
      </c>
    </row>
    <row r="297" spans="1:18" x14ac:dyDescent="0.35">
      <c r="A297">
        <v>76891213437</v>
      </c>
      <c r="B297" t="str">
        <f t="shared" ca="1" si="12"/>
        <v>Touring-3000 Blue, 62-10Z</v>
      </c>
      <c r="D297" s="2" t="s">
        <v>883</v>
      </c>
      <c r="E297" s="2" t="s">
        <v>884</v>
      </c>
      <c r="G297">
        <v>1</v>
      </c>
      <c r="H297">
        <f t="shared" ca="1" si="13"/>
        <v>8431.2390871264779</v>
      </c>
      <c r="I297">
        <v>34521551</v>
      </c>
      <c r="J297">
        <f t="shared" ca="1" si="14"/>
        <v>400</v>
      </c>
      <c r="R297" t="s">
        <v>618</v>
      </c>
    </row>
    <row r="298" spans="1:18" x14ac:dyDescent="0.35">
      <c r="A298">
        <v>76891213438</v>
      </c>
      <c r="B298" t="str">
        <f t="shared" ca="1" si="12"/>
        <v>Hex Nut 19-8S</v>
      </c>
      <c r="D298" s="2" t="s">
        <v>883</v>
      </c>
      <c r="E298" s="2" t="s">
        <v>884</v>
      </c>
      <c r="G298">
        <v>1</v>
      </c>
      <c r="H298">
        <f t="shared" ca="1" si="13"/>
        <v>9563.5855628970003</v>
      </c>
      <c r="I298">
        <v>34521552</v>
      </c>
      <c r="J298">
        <f t="shared" ca="1" si="14"/>
        <v>700</v>
      </c>
      <c r="R298" t="s">
        <v>618</v>
      </c>
    </row>
    <row r="299" spans="1:18" x14ac:dyDescent="0.35">
      <c r="A299">
        <v>76891213439</v>
      </c>
      <c r="B299" t="str">
        <f t="shared" ca="1" si="12"/>
        <v>Men's Sports Shorts, M-3T</v>
      </c>
      <c r="D299" s="2" t="s">
        <v>883</v>
      </c>
      <c r="E299" s="2" t="s">
        <v>884</v>
      </c>
      <c r="G299">
        <v>1</v>
      </c>
      <c r="H299">
        <f t="shared" ca="1" si="13"/>
        <v>927.70201425852463</v>
      </c>
      <c r="I299">
        <v>34521553</v>
      </c>
      <c r="J299">
        <f t="shared" ca="1" si="14"/>
        <v>700</v>
      </c>
      <c r="R299" t="s">
        <v>619</v>
      </c>
    </row>
    <row r="300" spans="1:18" x14ac:dyDescent="0.35">
      <c r="A300">
        <v>76891213440</v>
      </c>
      <c r="B300" t="str">
        <f t="shared" ca="1" si="12"/>
        <v>HL Mountain Front Wheel-2T</v>
      </c>
      <c r="D300" s="2" t="s">
        <v>883</v>
      </c>
      <c r="E300" s="2" t="s">
        <v>884</v>
      </c>
      <c r="G300">
        <v>1</v>
      </c>
      <c r="H300">
        <f t="shared" ca="1" si="13"/>
        <v>3837.4310153582715</v>
      </c>
      <c r="I300">
        <v>34521554</v>
      </c>
      <c r="J300">
        <f t="shared" ca="1" si="14"/>
        <v>500</v>
      </c>
      <c r="R300" t="s">
        <v>619</v>
      </c>
    </row>
    <row r="301" spans="1:18" x14ac:dyDescent="0.35">
      <c r="A301">
        <v>76891213441</v>
      </c>
      <c r="B301" t="str">
        <f t="shared" ca="1" si="12"/>
        <v>HL Touring Frame - Blue, 50-2T</v>
      </c>
      <c r="D301" s="2" t="s">
        <v>883</v>
      </c>
      <c r="E301" s="2" t="s">
        <v>884</v>
      </c>
      <c r="G301">
        <v>1</v>
      </c>
      <c r="H301">
        <f t="shared" ca="1" si="13"/>
        <v>244.74714031396113</v>
      </c>
      <c r="I301">
        <v>34521555</v>
      </c>
      <c r="J301">
        <f t="shared" ca="1" si="14"/>
        <v>500</v>
      </c>
      <c r="R301" t="s">
        <v>619</v>
      </c>
    </row>
    <row r="302" spans="1:18" x14ac:dyDescent="0.35">
      <c r="A302">
        <v>76891213442</v>
      </c>
      <c r="B302" t="str">
        <f t="shared" ca="1" si="12"/>
        <v>LL Road Seat Assembly-1T</v>
      </c>
      <c r="D302" s="2" t="s">
        <v>883</v>
      </c>
      <c r="E302" s="2" t="s">
        <v>884</v>
      </c>
      <c r="G302">
        <v>1</v>
      </c>
      <c r="H302">
        <f t="shared" ca="1" si="13"/>
        <v>3996.4553378666742</v>
      </c>
      <c r="I302">
        <v>34521556</v>
      </c>
      <c r="J302">
        <f t="shared" ca="1" si="14"/>
        <v>1000</v>
      </c>
      <c r="R302" t="s">
        <v>620</v>
      </c>
    </row>
    <row r="303" spans="1:18" x14ac:dyDescent="0.35">
      <c r="A303">
        <v>76891213443</v>
      </c>
      <c r="B303" t="str">
        <f t="shared" ca="1" si="12"/>
        <v>Lock Nut 19-8S</v>
      </c>
      <c r="D303" s="2" t="s">
        <v>883</v>
      </c>
      <c r="E303" s="2" t="s">
        <v>884</v>
      </c>
      <c r="G303">
        <v>1</v>
      </c>
      <c r="H303">
        <f t="shared" ca="1" si="13"/>
        <v>1705.6198545169896</v>
      </c>
      <c r="I303">
        <v>34521557</v>
      </c>
      <c r="J303">
        <f t="shared" ca="1" si="14"/>
        <v>700</v>
      </c>
      <c r="R303" t="s">
        <v>621</v>
      </c>
    </row>
    <row r="304" spans="1:18" x14ac:dyDescent="0.35">
      <c r="A304">
        <v>76891213444</v>
      </c>
      <c r="B304" t="str">
        <f t="shared" ca="1" si="12"/>
        <v>ML Road Seat/Saddle-9Z</v>
      </c>
      <c r="D304" s="2" t="s">
        <v>883</v>
      </c>
      <c r="E304" s="2" t="s">
        <v>884</v>
      </c>
      <c r="G304">
        <v>1</v>
      </c>
      <c r="H304">
        <f t="shared" ca="1" si="13"/>
        <v>3599.8456531871029</v>
      </c>
      <c r="I304">
        <v>34521558</v>
      </c>
      <c r="J304">
        <f t="shared" ca="1" si="14"/>
        <v>100</v>
      </c>
      <c r="R304" t="s">
        <v>622</v>
      </c>
    </row>
    <row r="305" spans="1:18" x14ac:dyDescent="0.35">
      <c r="A305">
        <v>76891213445</v>
      </c>
      <c r="B305" t="str">
        <f t="shared" ca="1" si="12"/>
        <v>Paint - Yellow-2T</v>
      </c>
      <c r="D305" s="2" t="s">
        <v>883</v>
      </c>
      <c r="E305" s="2" t="s">
        <v>884</v>
      </c>
      <c r="G305">
        <v>1</v>
      </c>
      <c r="H305">
        <f t="shared" ca="1" si="13"/>
        <v>4377.3477781707288</v>
      </c>
      <c r="I305">
        <v>34521559</v>
      </c>
      <c r="J305">
        <f t="shared" ca="1" si="14"/>
        <v>300</v>
      </c>
      <c r="R305" t="s">
        <v>622</v>
      </c>
    </row>
    <row r="306" spans="1:18" x14ac:dyDescent="0.35">
      <c r="A306">
        <v>76891213446</v>
      </c>
      <c r="B306" t="str">
        <f t="shared" ca="1" si="12"/>
        <v>HL Road Frame - Red, 44-2T</v>
      </c>
      <c r="D306" s="2" t="s">
        <v>883</v>
      </c>
      <c r="E306" s="2" t="s">
        <v>884</v>
      </c>
      <c r="G306">
        <v>1</v>
      </c>
      <c r="H306">
        <f t="shared" ca="1" si="13"/>
        <v>6461.6332530255731</v>
      </c>
      <c r="I306">
        <v>34521560</v>
      </c>
      <c r="J306">
        <f t="shared" ca="1" si="14"/>
        <v>200</v>
      </c>
      <c r="R306" t="s">
        <v>622</v>
      </c>
    </row>
    <row r="307" spans="1:18" x14ac:dyDescent="0.35">
      <c r="A307">
        <v>76891213447</v>
      </c>
      <c r="B307" t="str">
        <f t="shared" ca="1" si="12"/>
        <v>HL Mountain Frame - Black, 46-9Z</v>
      </c>
      <c r="D307" s="2" t="s">
        <v>883</v>
      </c>
      <c r="E307" s="2" t="s">
        <v>884</v>
      </c>
      <c r="G307">
        <v>1</v>
      </c>
      <c r="H307">
        <f t="shared" ca="1" si="13"/>
        <v>9956.2708729613532</v>
      </c>
      <c r="I307">
        <v>34521561</v>
      </c>
      <c r="J307">
        <f t="shared" ca="1" si="14"/>
        <v>200</v>
      </c>
      <c r="R307" t="s">
        <v>623</v>
      </c>
    </row>
    <row r="308" spans="1:18" x14ac:dyDescent="0.35">
      <c r="A308">
        <v>76891213448</v>
      </c>
      <c r="B308" t="str">
        <f t="shared" ca="1" si="12"/>
        <v>Touring-2000 Blue, 54-9Z</v>
      </c>
      <c r="D308" s="2" t="s">
        <v>883</v>
      </c>
      <c r="E308" s="2" t="s">
        <v>884</v>
      </c>
      <c r="G308">
        <v>1</v>
      </c>
      <c r="H308">
        <f t="shared" ca="1" si="13"/>
        <v>3709.5224628310179</v>
      </c>
      <c r="I308">
        <v>34521562</v>
      </c>
      <c r="J308">
        <f t="shared" ca="1" si="14"/>
        <v>500</v>
      </c>
      <c r="R308" t="s">
        <v>623</v>
      </c>
    </row>
    <row r="309" spans="1:18" x14ac:dyDescent="0.35">
      <c r="A309">
        <v>76891213449</v>
      </c>
      <c r="B309" t="str">
        <f t="shared" ca="1" si="12"/>
        <v>ML Mountain Front Wheel-1T</v>
      </c>
      <c r="D309" s="2" t="s">
        <v>883</v>
      </c>
      <c r="E309" s="2" t="s">
        <v>884</v>
      </c>
      <c r="G309">
        <v>1</v>
      </c>
      <c r="H309">
        <f t="shared" ca="1" si="13"/>
        <v>8466.7708817939128</v>
      </c>
      <c r="I309">
        <v>34521563</v>
      </c>
      <c r="J309">
        <f t="shared" ca="1" si="14"/>
        <v>500</v>
      </c>
      <c r="R309" t="s">
        <v>623</v>
      </c>
    </row>
    <row r="310" spans="1:18" x14ac:dyDescent="0.35">
      <c r="A310">
        <v>76891213450</v>
      </c>
      <c r="B310" t="str">
        <f t="shared" ca="1" si="12"/>
        <v>HL Spindle/Axle-10Z</v>
      </c>
      <c r="D310" s="2" t="s">
        <v>883</v>
      </c>
      <c r="E310" s="2" t="s">
        <v>884</v>
      </c>
      <c r="G310">
        <v>1</v>
      </c>
      <c r="H310">
        <f t="shared" ca="1" si="13"/>
        <v>127.27613352870286</v>
      </c>
      <c r="I310">
        <v>34521564</v>
      </c>
      <c r="J310">
        <f t="shared" ca="1" si="14"/>
        <v>900</v>
      </c>
      <c r="R310" t="s">
        <v>624</v>
      </c>
    </row>
    <row r="311" spans="1:18" x14ac:dyDescent="0.35">
      <c r="A311">
        <v>76891213451</v>
      </c>
      <c r="B311" t="str">
        <f t="shared" ca="1" si="12"/>
        <v>HL Road Frame - Black, 62-3T</v>
      </c>
      <c r="D311" s="2" t="s">
        <v>883</v>
      </c>
      <c r="E311" s="2" t="s">
        <v>884</v>
      </c>
      <c r="G311">
        <v>1</v>
      </c>
      <c r="H311">
        <f t="shared" ca="1" si="13"/>
        <v>5920.8667622686389</v>
      </c>
      <c r="I311">
        <v>34521565</v>
      </c>
      <c r="J311">
        <f t="shared" ca="1" si="14"/>
        <v>300</v>
      </c>
      <c r="R311" t="s">
        <v>624</v>
      </c>
    </row>
    <row r="312" spans="1:18" x14ac:dyDescent="0.35">
      <c r="A312">
        <v>76891213452</v>
      </c>
      <c r="B312" t="str">
        <f t="shared" ca="1" si="12"/>
        <v>HL Spindle/Axle-9Z</v>
      </c>
      <c r="D312" s="2" t="s">
        <v>883</v>
      </c>
      <c r="E312" s="2" t="s">
        <v>884</v>
      </c>
      <c r="G312">
        <v>1</v>
      </c>
      <c r="H312">
        <f t="shared" ca="1" si="13"/>
        <v>6346.9434428168151</v>
      </c>
      <c r="I312">
        <v>34521566</v>
      </c>
      <c r="J312">
        <f t="shared" ca="1" si="14"/>
        <v>400</v>
      </c>
      <c r="R312" t="s">
        <v>624</v>
      </c>
    </row>
    <row r="313" spans="1:18" x14ac:dyDescent="0.35">
      <c r="A313">
        <v>76891213453</v>
      </c>
      <c r="B313" t="str">
        <f t="shared" ca="1" si="12"/>
        <v>Men's Bib-Shorts, L-3T</v>
      </c>
      <c r="D313" s="2" t="s">
        <v>883</v>
      </c>
      <c r="E313" s="2" t="s">
        <v>884</v>
      </c>
      <c r="G313">
        <v>1</v>
      </c>
      <c r="H313">
        <f t="shared" ca="1" si="13"/>
        <v>6408.1054848483063</v>
      </c>
      <c r="I313">
        <v>34521567</v>
      </c>
      <c r="J313">
        <f t="shared" ca="1" si="14"/>
        <v>1000</v>
      </c>
      <c r="R313" t="s">
        <v>625</v>
      </c>
    </row>
    <row r="314" spans="1:18" x14ac:dyDescent="0.35">
      <c r="A314">
        <v>76891213454</v>
      </c>
      <c r="B314" t="str">
        <f t="shared" ca="1" si="12"/>
        <v>Road-650 Black, 58-2T</v>
      </c>
      <c r="D314" s="2" t="s">
        <v>883</v>
      </c>
      <c r="E314" s="2" t="s">
        <v>884</v>
      </c>
      <c r="G314">
        <v>1</v>
      </c>
      <c r="H314">
        <f t="shared" ca="1" si="13"/>
        <v>9734.0214996119394</v>
      </c>
      <c r="I314">
        <v>34521568</v>
      </c>
      <c r="J314">
        <f t="shared" ca="1" si="14"/>
        <v>600</v>
      </c>
      <c r="R314" t="s">
        <v>626</v>
      </c>
    </row>
    <row r="315" spans="1:18" x14ac:dyDescent="0.35">
      <c r="A315">
        <v>76891213455</v>
      </c>
      <c r="B315" t="str">
        <f t="shared" ca="1" si="12"/>
        <v>Road-350-W Yellow, 40-8S</v>
      </c>
      <c r="D315" s="2" t="s">
        <v>883</v>
      </c>
      <c r="E315" s="2" t="s">
        <v>884</v>
      </c>
      <c r="G315">
        <v>1</v>
      </c>
      <c r="H315">
        <f t="shared" ca="1" si="13"/>
        <v>783.48955625183578</v>
      </c>
      <c r="I315">
        <v>34521569</v>
      </c>
      <c r="J315">
        <f t="shared" ca="1" si="14"/>
        <v>1000</v>
      </c>
      <c r="R315" t="s">
        <v>627</v>
      </c>
    </row>
    <row r="316" spans="1:18" x14ac:dyDescent="0.35">
      <c r="A316">
        <v>76891213456</v>
      </c>
      <c r="B316" t="str">
        <f t="shared" ca="1" si="12"/>
        <v>Flat Washer 5-8S</v>
      </c>
      <c r="D316" s="2" t="s">
        <v>883</v>
      </c>
      <c r="E316" s="2" t="s">
        <v>884</v>
      </c>
      <c r="G316">
        <v>1</v>
      </c>
      <c r="H316">
        <f t="shared" ca="1" si="13"/>
        <v>1609.4745237976038</v>
      </c>
      <c r="I316">
        <v>34521570</v>
      </c>
      <c r="J316">
        <f t="shared" ca="1" si="14"/>
        <v>100</v>
      </c>
      <c r="R316" t="s">
        <v>628</v>
      </c>
    </row>
    <row r="317" spans="1:18" x14ac:dyDescent="0.35">
      <c r="A317">
        <v>76891213457</v>
      </c>
      <c r="B317" t="str">
        <f t="shared" ca="1" si="12"/>
        <v>Touring-3000 Blue, 62-6S</v>
      </c>
      <c r="D317" s="2" t="s">
        <v>883</v>
      </c>
      <c r="E317" s="2" t="s">
        <v>884</v>
      </c>
      <c r="G317">
        <v>1</v>
      </c>
      <c r="H317">
        <f t="shared" ca="1" si="13"/>
        <v>6617.5399033341891</v>
      </c>
      <c r="I317">
        <v>34521571</v>
      </c>
      <c r="J317">
        <f t="shared" ca="1" si="14"/>
        <v>900</v>
      </c>
      <c r="R317" t="s">
        <v>629</v>
      </c>
    </row>
    <row r="318" spans="1:18" x14ac:dyDescent="0.35">
      <c r="A318">
        <v>76891213458</v>
      </c>
      <c r="B318" t="str">
        <f t="shared" ca="1" si="12"/>
        <v>ML Mountain Frame - Black, 40-2T</v>
      </c>
      <c r="D318" s="2" t="s">
        <v>883</v>
      </c>
      <c r="E318" s="2" t="s">
        <v>884</v>
      </c>
      <c r="G318">
        <v>1</v>
      </c>
      <c r="H318">
        <f t="shared" ca="1" si="13"/>
        <v>6721.2292048663403</v>
      </c>
      <c r="I318">
        <v>34521572</v>
      </c>
      <c r="J318">
        <f t="shared" ca="1" si="14"/>
        <v>600</v>
      </c>
      <c r="R318" t="s">
        <v>630</v>
      </c>
    </row>
    <row r="319" spans="1:18" x14ac:dyDescent="0.35">
      <c r="A319">
        <v>76891213459</v>
      </c>
      <c r="B319" t="str">
        <f t="shared" ca="1" si="12"/>
        <v>Sport-100 Helmet, Black-2T</v>
      </c>
      <c r="D319" s="2" t="s">
        <v>883</v>
      </c>
      <c r="E319" s="2" t="s">
        <v>884</v>
      </c>
      <c r="G319">
        <v>1</v>
      </c>
      <c r="H319">
        <f t="shared" ca="1" si="13"/>
        <v>7764.6378819601523</v>
      </c>
      <c r="I319">
        <v>34521573</v>
      </c>
      <c r="J319">
        <f t="shared" ca="1" si="14"/>
        <v>1000</v>
      </c>
      <c r="R319" t="s">
        <v>631</v>
      </c>
    </row>
    <row r="320" spans="1:18" x14ac:dyDescent="0.35">
      <c r="A320">
        <v>76891213460</v>
      </c>
      <c r="B320" t="str">
        <f t="shared" ca="1" si="12"/>
        <v>Full-Finger Gloves, L-10Z</v>
      </c>
      <c r="D320" s="2" t="s">
        <v>883</v>
      </c>
      <c r="E320" s="2" t="s">
        <v>884</v>
      </c>
      <c r="G320">
        <v>1</v>
      </c>
      <c r="H320">
        <f t="shared" ca="1" si="13"/>
        <v>6992.4051616071765</v>
      </c>
      <c r="I320">
        <v>34521574</v>
      </c>
      <c r="J320">
        <f t="shared" ca="1" si="14"/>
        <v>500</v>
      </c>
      <c r="R320" t="s">
        <v>632</v>
      </c>
    </row>
    <row r="321" spans="1:18" x14ac:dyDescent="0.35">
      <c r="A321">
        <v>76891213461</v>
      </c>
      <c r="B321" t="str">
        <f t="shared" ca="1" si="12"/>
        <v>Hex Nut 3-9Z</v>
      </c>
      <c r="D321" s="2" t="s">
        <v>883</v>
      </c>
      <c r="E321" s="2" t="s">
        <v>884</v>
      </c>
      <c r="G321">
        <v>1</v>
      </c>
      <c r="H321">
        <f t="shared" ca="1" si="13"/>
        <v>9741.5601221964425</v>
      </c>
      <c r="I321">
        <v>34521575</v>
      </c>
      <c r="J321">
        <f t="shared" ca="1" si="14"/>
        <v>100</v>
      </c>
      <c r="R321" t="s">
        <v>633</v>
      </c>
    </row>
    <row r="322" spans="1:18" x14ac:dyDescent="0.35">
      <c r="A322">
        <v>76891213462</v>
      </c>
      <c r="B322" t="str">
        <f t="shared" ref="B322:B385" ca="1" si="15">INDEX($R$4:$R$609,RANDBETWEEN(1,606))&amp;"-"&amp;INDEX($S$4:$S$10,RANDBETWEEN(1,7))</f>
        <v>LL Crankarm-10Z</v>
      </c>
      <c r="D322" s="2" t="s">
        <v>883</v>
      </c>
      <c r="E322" s="2" t="s">
        <v>884</v>
      </c>
      <c r="G322">
        <v>1</v>
      </c>
      <c r="H322">
        <f t="shared" ca="1" si="13"/>
        <v>2503.8974047317301</v>
      </c>
      <c r="I322">
        <v>34521576</v>
      </c>
      <c r="J322">
        <f t="shared" ca="1" si="14"/>
        <v>500</v>
      </c>
      <c r="R322" t="s">
        <v>634</v>
      </c>
    </row>
    <row r="323" spans="1:18" x14ac:dyDescent="0.35">
      <c r="A323">
        <v>76891213463</v>
      </c>
      <c r="B323" t="str">
        <f t="shared" ca="1" si="15"/>
        <v>Lock Washer 1-10Z</v>
      </c>
      <c r="D323" s="2" t="s">
        <v>883</v>
      </c>
      <c r="E323" s="2" t="s">
        <v>884</v>
      </c>
      <c r="G323">
        <v>1</v>
      </c>
      <c r="H323">
        <f t="shared" ref="H323:H386" ca="1" si="16">RANDBETWEEN(100,10000)+RAND()</f>
        <v>9794.8638044577037</v>
      </c>
      <c r="I323">
        <v>34521577</v>
      </c>
      <c r="J323">
        <f t="shared" ref="J323:J386" ca="1" si="17">INDEX($O$3:$O$12,RANDBETWEEN(1,10))</f>
        <v>800</v>
      </c>
      <c r="R323" t="s">
        <v>635</v>
      </c>
    </row>
    <row r="324" spans="1:18" x14ac:dyDescent="0.35">
      <c r="A324">
        <v>76891213464</v>
      </c>
      <c r="B324" t="str">
        <f t="shared" ca="1" si="15"/>
        <v>HL Hub-1T</v>
      </c>
      <c r="D324" s="2" t="s">
        <v>883</v>
      </c>
      <c r="E324" s="2" t="s">
        <v>884</v>
      </c>
      <c r="G324">
        <v>1</v>
      </c>
      <c r="H324">
        <f t="shared" ca="1" si="16"/>
        <v>3775.443890340754</v>
      </c>
      <c r="I324">
        <v>34521578</v>
      </c>
      <c r="J324">
        <f t="shared" ca="1" si="17"/>
        <v>100</v>
      </c>
      <c r="R324" t="s">
        <v>635</v>
      </c>
    </row>
    <row r="325" spans="1:18" x14ac:dyDescent="0.35">
      <c r="A325">
        <v>76891213465</v>
      </c>
      <c r="B325" t="str">
        <f t="shared" ca="1" si="15"/>
        <v>Headset Ball Bearings-9Z</v>
      </c>
      <c r="D325" s="2" t="s">
        <v>883</v>
      </c>
      <c r="E325" s="2" t="s">
        <v>884</v>
      </c>
      <c r="G325">
        <v>1</v>
      </c>
      <c r="H325">
        <f t="shared" ca="1" si="16"/>
        <v>9342.670790746768</v>
      </c>
      <c r="I325">
        <v>34521579</v>
      </c>
      <c r="J325">
        <f t="shared" ca="1" si="17"/>
        <v>500</v>
      </c>
      <c r="R325" t="s">
        <v>636</v>
      </c>
    </row>
    <row r="326" spans="1:18" x14ac:dyDescent="0.35">
      <c r="A326">
        <v>76891213466</v>
      </c>
      <c r="B326" t="str">
        <f t="shared" ca="1" si="15"/>
        <v>Road-450 Red, 44-6S</v>
      </c>
      <c r="D326" s="2" t="s">
        <v>883</v>
      </c>
      <c r="E326" s="2" t="s">
        <v>884</v>
      </c>
      <c r="G326">
        <v>1</v>
      </c>
      <c r="H326">
        <f t="shared" ca="1" si="16"/>
        <v>3614.4469198014795</v>
      </c>
      <c r="I326">
        <v>34521580</v>
      </c>
      <c r="J326">
        <f t="shared" ca="1" si="17"/>
        <v>900</v>
      </c>
      <c r="R326" t="s">
        <v>636</v>
      </c>
    </row>
    <row r="327" spans="1:18" x14ac:dyDescent="0.35">
      <c r="A327">
        <v>76891213467</v>
      </c>
      <c r="B327" t="str">
        <f t="shared" ca="1" si="15"/>
        <v>HL Mountain Frame - Silver, 42-9Z</v>
      </c>
      <c r="D327" s="2" t="s">
        <v>883</v>
      </c>
      <c r="E327" s="2" t="s">
        <v>884</v>
      </c>
      <c r="G327">
        <v>1</v>
      </c>
      <c r="H327">
        <f t="shared" ca="1" si="16"/>
        <v>7836.0924304775153</v>
      </c>
      <c r="I327">
        <v>34521581</v>
      </c>
      <c r="J327">
        <f t="shared" ca="1" si="17"/>
        <v>300</v>
      </c>
      <c r="R327" t="s">
        <v>637</v>
      </c>
    </row>
    <row r="328" spans="1:18" x14ac:dyDescent="0.35">
      <c r="A328">
        <v>76891213468</v>
      </c>
      <c r="B328" t="str">
        <f t="shared" ca="1" si="15"/>
        <v>Blade-6S</v>
      </c>
      <c r="D328" s="2" t="s">
        <v>883</v>
      </c>
      <c r="E328" s="2" t="s">
        <v>884</v>
      </c>
      <c r="G328">
        <v>1</v>
      </c>
      <c r="H328">
        <f t="shared" ca="1" si="16"/>
        <v>8720.5573870862172</v>
      </c>
      <c r="I328">
        <v>34521582</v>
      </c>
      <c r="J328">
        <f t="shared" ca="1" si="17"/>
        <v>500</v>
      </c>
      <c r="R328" t="s">
        <v>637</v>
      </c>
    </row>
    <row r="329" spans="1:18" x14ac:dyDescent="0.35">
      <c r="A329">
        <v>76891213469</v>
      </c>
      <c r="B329" t="str">
        <f t="shared" ca="1" si="15"/>
        <v>Road-550-W Yellow, 42-6S</v>
      </c>
      <c r="D329" s="2" t="s">
        <v>883</v>
      </c>
      <c r="E329" s="2" t="s">
        <v>884</v>
      </c>
      <c r="G329">
        <v>1</v>
      </c>
      <c r="H329">
        <f t="shared" ca="1" si="16"/>
        <v>3640.4377524868119</v>
      </c>
      <c r="I329">
        <v>34521583</v>
      </c>
      <c r="J329">
        <f t="shared" ca="1" si="17"/>
        <v>300</v>
      </c>
      <c r="R329" t="s">
        <v>638</v>
      </c>
    </row>
    <row r="330" spans="1:18" x14ac:dyDescent="0.35">
      <c r="A330">
        <v>76891213470</v>
      </c>
      <c r="B330" t="str">
        <f t="shared" ca="1" si="15"/>
        <v>Internal Lock Washer 10-8S</v>
      </c>
      <c r="D330" s="2" t="s">
        <v>883</v>
      </c>
      <c r="E330" s="2" t="s">
        <v>884</v>
      </c>
      <c r="G330">
        <v>1</v>
      </c>
      <c r="H330">
        <f t="shared" ca="1" si="16"/>
        <v>2084.2612195739525</v>
      </c>
      <c r="I330">
        <v>34521584</v>
      </c>
      <c r="J330">
        <f t="shared" ca="1" si="17"/>
        <v>700</v>
      </c>
      <c r="R330" t="s">
        <v>638</v>
      </c>
    </row>
    <row r="331" spans="1:18" x14ac:dyDescent="0.35">
      <c r="A331">
        <v>76891213471</v>
      </c>
      <c r="B331" t="str">
        <f t="shared" ca="1" si="15"/>
        <v>Hex Nut 13-9Z</v>
      </c>
      <c r="D331" s="2" t="s">
        <v>883</v>
      </c>
      <c r="E331" s="2" t="s">
        <v>884</v>
      </c>
      <c r="G331">
        <v>1</v>
      </c>
      <c r="H331">
        <f t="shared" ca="1" si="16"/>
        <v>2909.6182346730193</v>
      </c>
      <c r="I331">
        <v>34521585</v>
      </c>
      <c r="J331">
        <f t="shared" ca="1" si="17"/>
        <v>200</v>
      </c>
      <c r="R331" t="s">
        <v>639</v>
      </c>
    </row>
    <row r="332" spans="1:18" x14ac:dyDescent="0.35">
      <c r="A332">
        <v>76891213472</v>
      </c>
      <c r="B332" t="str">
        <f t="shared" ca="1" si="15"/>
        <v>Top Tube-10Z</v>
      </c>
      <c r="D332" s="2" t="s">
        <v>883</v>
      </c>
      <c r="E332" s="2" t="s">
        <v>884</v>
      </c>
      <c r="G332">
        <v>1</v>
      </c>
      <c r="H332">
        <f t="shared" ca="1" si="16"/>
        <v>5247.8340757931537</v>
      </c>
      <c r="I332">
        <v>34521586</v>
      </c>
      <c r="J332">
        <f t="shared" ca="1" si="17"/>
        <v>700</v>
      </c>
      <c r="R332" t="s">
        <v>639</v>
      </c>
    </row>
    <row r="333" spans="1:18" x14ac:dyDescent="0.35">
      <c r="A333">
        <v>76891213473</v>
      </c>
      <c r="B333" t="str">
        <f t="shared" ca="1" si="15"/>
        <v>HL Road Handlebars-9Z</v>
      </c>
      <c r="D333" s="2" t="s">
        <v>883</v>
      </c>
      <c r="E333" s="2" t="s">
        <v>884</v>
      </c>
      <c r="G333">
        <v>1</v>
      </c>
      <c r="H333">
        <f t="shared" ca="1" si="16"/>
        <v>2246.8538983085609</v>
      </c>
      <c r="I333">
        <v>34521587</v>
      </c>
      <c r="J333">
        <f t="shared" ca="1" si="17"/>
        <v>400</v>
      </c>
      <c r="R333" t="s">
        <v>640</v>
      </c>
    </row>
    <row r="334" spans="1:18" x14ac:dyDescent="0.35">
      <c r="A334">
        <v>76891213474</v>
      </c>
      <c r="B334" t="str">
        <f t="shared" ca="1" si="15"/>
        <v>Thin-Jam Hex Nut 8-8S</v>
      </c>
      <c r="D334" s="2" t="s">
        <v>883</v>
      </c>
      <c r="E334" s="2" t="s">
        <v>884</v>
      </c>
      <c r="G334">
        <v>1</v>
      </c>
      <c r="H334">
        <f t="shared" ca="1" si="16"/>
        <v>8853.8947050401457</v>
      </c>
      <c r="I334">
        <v>34521588</v>
      </c>
      <c r="J334">
        <f t="shared" ca="1" si="17"/>
        <v>900</v>
      </c>
      <c r="R334" t="s">
        <v>640</v>
      </c>
    </row>
    <row r="335" spans="1:18" x14ac:dyDescent="0.35">
      <c r="A335">
        <v>76891213475</v>
      </c>
      <c r="B335" t="str">
        <f t="shared" ca="1" si="15"/>
        <v>Lock Washer 5-3T</v>
      </c>
      <c r="D335" s="2" t="s">
        <v>883</v>
      </c>
      <c r="E335" s="2" t="s">
        <v>884</v>
      </c>
      <c r="G335">
        <v>1</v>
      </c>
      <c r="H335">
        <f t="shared" ca="1" si="16"/>
        <v>346.87499167337484</v>
      </c>
      <c r="I335">
        <v>34521589</v>
      </c>
      <c r="J335">
        <f t="shared" ca="1" si="17"/>
        <v>200</v>
      </c>
      <c r="R335" t="s">
        <v>641</v>
      </c>
    </row>
    <row r="336" spans="1:18" x14ac:dyDescent="0.35">
      <c r="A336">
        <v>76891213476</v>
      </c>
      <c r="B336" t="str">
        <f t="shared" ca="1" si="15"/>
        <v>Touring-3000 Yellow, 54-10Z</v>
      </c>
      <c r="D336" s="2" t="s">
        <v>883</v>
      </c>
      <c r="E336" s="2" t="s">
        <v>884</v>
      </c>
      <c r="G336">
        <v>1</v>
      </c>
      <c r="H336">
        <f t="shared" ca="1" si="16"/>
        <v>9770.3876233997762</v>
      </c>
      <c r="I336">
        <v>34521590</v>
      </c>
      <c r="J336">
        <f t="shared" ca="1" si="17"/>
        <v>700</v>
      </c>
      <c r="R336" t="s">
        <v>641</v>
      </c>
    </row>
    <row r="337" spans="1:18" x14ac:dyDescent="0.35">
      <c r="A337">
        <v>76891213477</v>
      </c>
      <c r="B337" t="str">
        <f t="shared" ca="1" si="15"/>
        <v>ML Mountain Handlebars-8S</v>
      </c>
      <c r="D337" s="2" t="s">
        <v>883</v>
      </c>
      <c r="E337" s="2" t="s">
        <v>884</v>
      </c>
      <c r="G337">
        <v>1</v>
      </c>
      <c r="H337">
        <f t="shared" ca="1" si="16"/>
        <v>6279.1440013265192</v>
      </c>
      <c r="I337">
        <v>34521591</v>
      </c>
      <c r="J337">
        <f t="shared" ca="1" si="17"/>
        <v>900</v>
      </c>
      <c r="R337" t="s">
        <v>642</v>
      </c>
    </row>
    <row r="338" spans="1:18" x14ac:dyDescent="0.35">
      <c r="A338">
        <v>76891213478</v>
      </c>
      <c r="B338" t="str">
        <f t="shared" ca="1" si="15"/>
        <v>Hex Nut 7-9Z</v>
      </c>
      <c r="D338" s="2" t="s">
        <v>883</v>
      </c>
      <c r="E338" s="2" t="s">
        <v>884</v>
      </c>
      <c r="G338">
        <v>1</v>
      </c>
      <c r="H338">
        <f t="shared" ca="1" si="16"/>
        <v>7391.2836595204599</v>
      </c>
      <c r="I338">
        <v>34521592</v>
      </c>
      <c r="J338">
        <f t="shared" ca="1" si="17"/>
        <v>600</v>
      </c>
      <c r="R338" t="s">
        <v>642</v>
      </c>
    </row>
    <row r="339" spans="1:18" x14ac:dyDescent="0.35">
      <c r="A339">
        <v>76891213479</v>
      </c>
      <c r="B339" t="str">
        <f t="shared" ca="1" si="15"/>
        <v>LL Mountain Frame - Black, 44-8S</v>
      </c>
      <c r="D339" s="2" t="s">
        <v>883</v>
      </c>
      <c r="E339" s="2" t="s">
        <v>884</v>
      </c>
      <c r="G339">
        <v>1</v>
      </c>
      <c r="H339">
        <f t="shared" ca="1" si="16"/>
        <v>6220.9089937272938</v>
      </c>
      <c r="I339">
        <v>34521593</v>
      </c>
      <c r="J339">
        <f t="shared" ca="1" si="17"/>
        <v>100</v>
      </c>
      <c r="R339" t="s">
        <v>643</v>
      </c>
    </row>
    <row r="340" spans="1:18" x14ac:dyDescent="0.35">
      <c r="A340">
        <v>76891213480</v>
      </c>
      <c r="B340" t="str">
        <f t="shared" ca="1" si="15"/>
        <v>Bearing Ball-2T</v>
      </c>
      <c r="D340" s="2" t="s">
        <v>883</v>
      </c>
      <c r="E340" s="2" t="s">
        <v>884</v>
      </c>
      <c r="G340">
        <v>1</v>
      </c>
      <c r="H340">
        <f t="shared" ca="1" si="16"/>
        <v>5818.9796436144088</v>
      </c>
      <c r="I340">
        <v>34521594</v>
      </c>
      <c r="J340">
        <f t="shared" ca="1" si="17"/>
        <v>900</v>
      </c>
      <c r="R340" t="s">
        <v>643</v>
      </c>
    </row>
    <row r="341" spans="1:18" x14ac:dyDescent="0.35">
      <c r="A341">
        <v>76891213481</v>
      </c>
      <c r="B341" t="str">
        <f t="shared" ca="1" si="15"/>
        <v>Hex Nut 12-2T</v>
      </c>
      <c r="D341" s="2" t="s">
        <v>883</v>
      </c>
      <c r="E341" s="2" t="s">
        <v>884</v>
      </c>
      <c r="G341">
        <v>1</v>
      </c>
      <c r="H341">
        <f t="shared" ca="1" si="16"/>
        <v>9672.6491193647089</v>
      </c>
      <c r="I341">
        <v>34521595</v>
      </c>
      <c r="J341">
        <f t="shared" ca="1" si="17"/>
        <v>800</v>
      </c>
      <c r="R341" t="s">
        <v>644</v>
      </c>
    </row>
    <row r="342" spans="1:18" x14ac:dyDescent="0.35">
      <c r="A342">
        <v>76891213482</v>
      </c>
      <c r="B342" t="str">
        <f t="shared" ca="1" si="15"/>
        <v>Rear Brakes-10Z</v>
      </c>
      <c r="D342" s="2" t="s">
        <v>883</v>
      </c>
      <c r="E342" s="2" t="s">
        <v>884</v>
      </c>
      <c r="G342">
        <v>1</v>
      </c>
      <c r="H342">
        <f t="shared" ca="1" si="16"/>
        <v>1942.5852998534569</v>
      </c>
      <c r="I342">
        <v>34521596</v>
      </c>
      <c r="J342">
        <f t="shared" ca="1" si="17"/>
        <v>800</v>
      </c>
      <c r="R342" t="s">
        <v>644</v>
      </c>
    </row>
    <row r="343" spans="1:18" x14ac:dyDescent="0.35">
      <c r="A343">
        <v>76891213483</v>
      </c>
      <c r="B343" t="str">
        <f t="shared" ca="1" si="15"/>
        <v>Lock Nut 19-3T</v>
      </c>
      <c r="D343" s="2" t="s">
        <v>883</v>
      </c>
      <c r="E343" s="2" t="s">
        <v>884</v>
      </c>
      <c r="G343">
        <v>1</v>
      </c>
      <c r="H343">
        <f t="shared" ca="1" si="16"/>
        <v>1444.9221787766719</v>
      </c>
      <c r="I343">
        <v>34521597</v>
      </c>
      <c r="J343">
        <f t="shared" ca="1" si="17"/>
        <v>900</v>
      </c>
      <c r="R343" t="s">
        <v>645</v>
      </c>
    </row>
    <row r="344" spans="1:18" x14ac:dyDescent="0.35">
      <c r="A344">
        <v>76891213484</v>
      </c>
      <c r="B344" t="str">
        <f t="shared" ca="1" si="15"/>
        <v>HL Grip Tape-3T</v>
      </c>
      <c r="D344" s="2" t="s">
        <v>883</v>
      </c>
      <c r="E344" s="2" t="s">
        <v>884</v>
      </c>
      <c r="G344">
        <v>1</v>
      </c>
      <c r="H344">
        <f t="shared" ca="1" si="16"/>
        <v>6278.4735130598492</v>
      </c>
      <c r="I344">
        <v>34521598</v>
      </c>
      <c r="J344">
        <f t="shared" ca="1" si="17"/>
        <v>100</v>
      </c>
      <c r="R344" t="s">
        <v>645</v>
      </c>
    </row>
    <row r="345" spans="1:18" x14ac:dyDescent="0.35">
      <c r="A345">
        <v>76891213485</v>
      </c>
      <c r="B345" t="str">
        <f t="shared" ca="1" si="15"/>
        <v>Long-Sleeve Logo Jersey, L-1T</v>
      </c>
      <c r="D345" s="2" t="s">
        <v>883</v>
      </c>
      <c r="E345" s="2" t="s">
        <v>884</v>
      </c>
      <c r="G345">
        <v>1</v>
      </c>
      <c r="H345">
        <f t="shared" ca="1" si="16"/>
        <v>2807.3759282410369</v>
      </c>
      <c r="I345">
        <v>34521599</v>
      </c>
      <c r="J345">
        <f t="shared" ca="1" si="17"/>
        <v>200</v>
      </c>
      <c r="R345" t="s">
        <v>646</v>
      </c>
    </row>
    <row r="346" spans="1:18" x14ac:dyDescent="0.35">
      <c r="A346">
        <v>76891213486</v>
      </c>
      <c r="B346" t="str">
        <f t="shared" ca="1" si="15"/>
        <v>HL Touring Handlebars-3T</v>
      </c>
      <c r="D346" s="2" t="s">
        <v>883</v>
      </c>
      <c r="E346" s="2" t="s">
        <v>884</v>
      </c>
      <c r="G346">
        <v>1</v>
      </c>
      <c r="H346">
        <f t="shared" ca="1" si="16"/>
        <v>9918.4803802401257</v>
      </c>
      <c r="I346">
        <v>34521600</v>
      </c>
      <c r="J346">
        <f t="shared" ca="1" si="17"/>
        <v>600</v>
      </c>
      <c r="R346" t="s">
        <v>646</v>
      </c>
    </row>
    <row r="347" spans="1:18" x14ac:dyDescent="0.35">
      <c r="A347">
        <v>76891213487</v>
      </c>
      <c r="B347" t="str">
        <f t="shared" ca="1" si="15"/>
        <v>Mountain-200 Black, 46-8S</v>
      </c>
      <c r="D347" s="2" t="s">
        <v>883</v>
      </c>
      <c r="E347" s="2" t="s">
        <v>884</v>
      </c>
      <c r="G347">
        <v>1</v>
      </c>
      <c r="H347">
        <f t="shared" ca="1" si="16"/>
        <v>1165.8081853982208</v>
      </c>
      <c r="I347">
        <v>34521601</v>
      </c>
      <c r="J347">
        <f t="shared" ca="1" si="17"/>
        <v>300</v>
      </c>
      <c r="R347" t="s">
        <v>647</v>
      </c>
    </row>
    <row r="348" spans="1:18" x14ac:dyDescent="0.35">
      <c r="A348">
        <v>76891213488</v>
      </c>
      <c r="B348" t="str">
        <f t="shared" ca="1" si="15"/>
        <v>HL Mountain Frame - Silver, 46-10Z</v>
      </c>
      <c r="D348" s="2" t="s">
        <v>883</v>
      </c>
      <c r="E348" s="2" t="s">
        <v>884</v>
      </c>
      <c r="G348">
        <v>1</v>
      </c>
      <c r="H348">
        <f t="shared" ca="1" si="16"/>
        <v>5393.4804222875409</v>
      </c>
      <c r="I348">
        <v>34521602</v>
      </c>
      <c r="J348">
        <f t="shared" ca="1" si="17"/>
        <v>800</v>
      </c>
      <c r="R348" t="s">
        <v>648</v>
      </c>
    </row>
    <row r="349" spans="1:18" x14ac:dyDescent="0.35">
      <c r="A349">
        <v>76891213489</v>
      </c>
      <c r="B349" t="str">
        <f t="shared" ca="1" si="15"/>
        <v>HL Road Frame - Red, 58-1T</v>
      </c>
      <c r="D349" s="2" t="s">
        <v>883</v>
      </c>
      <c r="E349" s="2" t="s">
        <v>884</v>
      </c>
      <c r="G349">
        <v>1</v>
      </c>
      <c r="H349">
        <f t="shared" ca="1" si="16"/>
        <v>4488.0320380365865</v>
      </c>
      <c r="I349">
        <v>34521603</v>
      </c>
      <c r="J349">
        <f t="shared" ca="1" si="17"/>
        <v>700</v>
      </c>
      <c r="R349" t="s">
        <v>649</v>
      </c>
    </row>
    <row r="350" spans="1:18" x14ac:dyDescent="0.35">
      <c r="A350">
        <v>76891213490</v>
      </c>
      <c r="B350" t="str">
        <f t="shared" ca="1" si="15"/>
        <v>HL Touring Seat Assembly-9Z</v>
      </c>
      <c r="D350" s="2" t="s">
        <v>883</v>
      </c>
      <c r="E350" s="2" t="s">
        <v>884</v>
      </c>
      <c r="G350">
        <v>1</v>
      </c>
      <c r="H350">
        <f t="shared" ca="1" si="16"/>
        <v>140.78264380891454</v>
      </c>
      <c r="I350">
        <v>34521604</v>
      </c>
      <c r="J350">
        <f t="shared" ca="1" si="17"/>
        <v>600</v>
      </c>
      <c r="R350" t="s">
        <v>650</v>
      </c>
    </row>
    <row r="351" spans="1:18" x14ac:dyDescent="0.35">
      <c r="A351">
        <v>76891213491</v>
      </c>
      <c r="B351" t="str">
        <f t="shared" ca="1" si="15"/>
        <v>HL Mountain Rim-2T</v>
      </c>
      <c r="D351" s="2" t="s">
        <v>883</v>
      </c>
      <c r="E351" s="2" t="s">
        <v>884</v>
      </c>
      <c r="G351">
        <v>1</v>
      </c>
      <c r="H351">
        <f t="shared" ca="1" si="16"/>
        <v>2320.7084044474691</v>
      </c>
      <c r="I351">
        <v>34521605</v>
      </c>
      <c r="J351">
        <f t="shared" ca="1" si="17"/>
        <v>500</v>
      </c>
      <c r="R351" t="s">
        <v>651</v>
      </c>
    </row>
    <row r="352" spans="1:18" x14ac:dyDescent="0.35">
      <c r="A352">
        <v>76891213492</v>
      </c>
      <c r="B352" t="str">
        <f t="shared" ca="1" si="15"/>
        <v>Hex Nut 8-6S</v>
      </c>
      <c r="D352" s="2" t="s">
        <v>883</v>
      </c>
      <c r="E352" s="2" t="s">
        <v>884</v>
      </c>
      <c r="G352">
        <v>1</v>
      </c>
      <c r="H352">
        <f t="shared" ca="1" si="16"/>
        <v>4212.9527121259771</v>
      </c>
      <c r="I352">
        <v>34521606</v>
      </c>
      <c r="J352">
        <f t="shared" ca="1" si="17"/>
        <v>1000</v>
      </c>
      <c r="R352" t="s">
        <v>652</v>
      </c>
    </row>
    <row r="353" spans="1:18" x14ac:dyDescent="0.35">
      <c r="A353">
        <v>76891213493</v>
      </c>
      <c r="B353" t="str">
        <f t="shared" ca="1" si="15"/>
        <v>ML Road Rim-3T</v>
      </c>
      <c r="D353" s="2" t="s">
        <v>883</v>
      </c>
      <c r="E353" s="2" t="s">
        <v>884</v>
      </c>
      <c r="G353">
        <v>1</v>
      </c>
      <c r="H353">
        <f t="shared" ca="1" si="16"/>
        <v>1962.5465648313532</v>
      </c>
      <c r="I353">
        <v>34521607</v>
      </c>
      <c r="J353">
        <f t="shared" ca="1" si="17"/>
        <v>300</v>
      </c>
      <c r="R353" t="s">
        <v>653</v>
      </c>
    </row>
    <row r="354" spans="1:18" x14ac:dyDescent="0.35">
      <c r="A354">
        <v>76891213494</v>
      </c>
      <c r="B354" t="str">
        <f t="shared" ca="1" si="15"/>
        <v>HL Spindle/Axle-8S</v>
      </c>
      <c r="D354" s="2" t="s">
        <v>883</v>
      </c>
      <c r="E354" s="2" t="s">
        <v>884</v>
      </c>
      <c r="G354">
        <v>1</v>
      </c>
      <c r="H354">
        <f t="shared" ca="1" si="16"/>
        <v>4466.6672855124061</v>
      </c>
      <c r="I354">
        <v>34521608</v>
      </c>
      <c r="J354">
        <f t="shared" ca="1" si="17"/>
        <v>200</v>
      </c>
      <c r="R354" t="s">
        <v>654</v>
      </c>
    </row>
    <row r="355" spans="1:18" x14ac:dyDescent="0.35">
      <c r="A355">
        <v>76891213495</v>
      </c>
      <c r="B355" t="str">
        <f t="shared" ca="1" si="15"/>
        <v>Mountain-500 Black, 52-3T</v>
      </c>
      <c r="D355" s="2" t="s">
        <v>883</v>
      </c>
      <c r="E355" s="2" t="s">
        <v>884</v>
      </c>
      <c r="G355">
        <v>1</v>
      </c>
      <c r="H355">
        <f t="shared" ca="1" si="16"/>
        <v>585.8593523174676</v>
      </c>
      <c r="I355">
        <v>34521609</v>
      </c>
      <c r="J355">
        <f t="shared" ca="1" si="17"/>
        <v>900</v>
      </c>
      <c r="R355" t="s">
        <v>655</v>
      </c>
    </row>
    <row r="356" spans="1:18" x14ac:dyDescent="0.35">
      <c r="A356">
        <v>76891213496</v>
      </c>
      <c r="B356" t="str">
        <f t="shared" ca="1" si="15"/>
        <v>Lock Washer 6-9Z</v>
      </c>
      <c r="D356" s="2" t="s">
        <v>883</v>
      </c>
      <c r="E356" s="2" t="s">
        <v>884</v>
      </c>
      <c r="G356">
        <v>1</v>
      </c>
      <c r="H356">
        <f t="shared" ca="1" si="16"/>
        <v>9303.939252568649</v>
      </c>
      <c r="I356">
        <v>34521610</v>
      </c>
      <c r="J356">
        <f t="shared" ca="1" si="17"/>
        <v>500</v>
      </c>
      <c r="R356" t="s">
        <v>655</v>
      </c>
    </row>
    <row r="357" spans="1:18" x14ac:dyDescent="0.35">
      <c r="A357">
        <v>76891213497</v>
      </c>
      <c r="B357" t="str">
        <f t="shared" ca="1" si="15"/>
        <v>Thin-Jam Hex Nut 12-1T</v>
      </c>
      <c r="D357" s="2" t="s">
        <v>883</v>
      </c>
      <c r="E357" s="2" t="s">
        <v>884</v>
      </c>
      <c r="G357">
        <v>1</v>
      </c>
      <c r="H357">
        <f t="shared" ca="1" si="16"/>
        <v>4357.8229058400011</v>
      </c>
      <c r="I357">
        <v>34521611</v>
      </c>
      <c r="J357">
        <f t="shared" ca="1" si="17"/>
        <v>600</v>
      </c>
      <c r="R357" t="s">
        <v>656</v>
      </c>
    </row>
    <row r="358" spans="1:18" x14ac:dyDescent="0.35">
      <c r="A358">
        <v>76891213498</v>
      </c>
      <c r="B358" t="str">
        <f t="shared" ca="1" si="15"/>
        <v>LL Touring Seat/Saddle-10Z</v>
      </c>
      <c r="D358" s="2" t="s">
        <v>883</v>
      </c>
      <c r="E358" s="2" t="s">
        <v>884</v>
      </c>
      <c r="G358">
        <v>1</v>
      </c>
      <c r="H358">
        <f t="shared" ca="1" si="16"/>
        <v>4995.713213871999</v>
      </c>
      <c r="I358">
        <v>34521612</v>
      </c>
      <c r="J358">
        <f t="shared" ca="1" si="17"/>
        <v>200</v>
      </c>
      <c r="R358" t="s">
        <v>656</v>
      </c>
    </row>
    <row r="359" spans="1:18" x14ac:dyDescent="0.35">
      <c r="A359">
        <v>76891213499</v>
      </c>
      <c r="B359" t="str">
        <f t="shared" ca="1" si="15"/>
        <v>Thin-Jam Hex Nut 11-3T</v>
      </c>
      <c r="D359" s="2" t="s">
        <v>883</v>
      </c>
      <c r="E359" s="2" t="s">
        <v>884</v>
      </c>
      <c r="G359">
        <v>1</v>
      </c>
      <c r="H359">
        <f t="shared" ca="1" si="16"/>
        <v>4264.1968914330655</v>
      </c>
      <c r="I359">
        <v>34521613</v>
      </c>
      <c r="J359">
        <f t="shared" ca="1" si="17"/>
        <v>1000</v>
      </c>
      <c r="R359" t="s">
        <v>657</v>
      </c>
    </row>
    <row r="360" spans="1:18" x14ac:dyDescent="0.35">
      <c r="A360">
        <v>76891213500</v>
      </c>
      <c r="B360" t="str">
        <f t="shared" ca="1" si="15"/>
        <v>Thin-Jam Lock Nut 11-3T</v>
      </c>
      <c r="D360" s="2" t="s">
        <v>883</v>
      </c>
      <c r="E360" s="2" t="s">
        <v>884</v>
      </c>
      <c r="G360">
        <v>1</v>
      </c>
      <c r="H360">
        <f t="shared" ca="1" si="16"/>
        <v>3624.8814666574617</v>
      </c>
      <c r="I360">
        <v>34521614</v>
      </c>
      <c r="J360">
        <f t="shared" ca="1" si="17"/>
        <v>500</v>
      </c>
      <c r="R360" t="s">
        <v>657</v>
      </c>
    </row>
    <row r="361" spans="1:18" x14ac:dyDescent="0.35">
      <c r="A361">
        <v>76891213501</v>
      </c>
      <c r="B361" t="str">
        <f t="shared" ca="1" si="15"/>
        <v>Long-Sleeve Logo Jersey, M-9Z</v>
      </c>
      <c r="D361" s="2" t="s">
        <v>883</v>
      </c>
      <c r="E361" s="2" t="s">
        <v>884</v>
      </c>
      <c r="G361">
        <v>1</v>
      </c>
      <c r="H361">
        <f t="shared" ca="1" si="16"/>
        <v>6077.9118845049607</v>
      </c>
      <c r="I361">
        <v>34521615</v>
      </c>
      <c r="J361">
        <f t="shared" ca="1" si="17"/>
        <v>800</v>
      </c>
      <c r="R361" t="s">
        <v>658</v>
      </c>
    </row>
    <row r="362" spans="1:18" x14ac:dyDescent="0.35">
      <c r="A362">
        <v>76891213502</v>
      </c>
      <c r="B362" t="str">
        <f t="shared" ca="1" si="15"/>
        <v>HL Road Frame - Red, 56-3T</v>
      </c>
      <c r="D362" s="2" t="s">
        <v>883</v>
      </c>
      <c r="E362" s="2" t="s">
        <v>884</v>
      </c>
      <c r="G362">
        <v>1</v>
      </c>
      <c r="H362">
        <f t="shared" ca="1" si="16"/>
        <v>7081.1969266698825</v>
      </c>
      <c r="I362">
        <v>34521616</v>
      </c>
      <c r="J362">
        <f t="shared" ca="1" si="17"/>
        <v>700</v>
      </c>
      <c r="R362" t="s">
        <v>658</v>
      </c>
    </row>
    <row r="363" spans="1:18" x14ac:dyDescent="0.35">
      <c r="A363">
        <v>76891213503</v>
      </c>
      <c r="B363" t="str">
        <f t="shared" ca="1" si="15"/>
        <v>Mountain End Caps-6S</v>
      </c>
      <c r="D363" s="2" t="s">
        <v>883</v>
      </c>
      <c r="E363" s="2" t="s">
        <v>884</v>
      </c>
      <c r="G363">
        <v>1</v>
      </c>
      <c r="H363">
        <f t="shared" ca="1" si="16"/>
        <v>9117.4983275195518</v>
      </c>
      <c r="I363">
        <v>34521617</v>
      </c>
      <c r="J363">
        <f t="shared" ca="1" si="17"/>
        <v>900</v>
      </c>
      <c r="R363" t="s">
        <v>659</v>
      </c>
    </row>
    <row r="364" spans="1:18" x14ac:dyDescent="0.35">
      <c r="A364">
        <v>76891213504</v>
      </c>
      <c r="B364" t="str">
        <f t="shared" ca="1" si="15"/>
        <v>HL Road Handlebars-6S</v>
      </c>
      <c r="D364" s="2" t="s">
        <v>883</v>
      </c>
      <c r="E364" s="2" t="s">
        <v>884</v>
      </c>
      <c r="G364">
        <v>1</v>
      </c>
      <c r="H364">
        <f t="shared" ca="1" si="16"/>
        <v>409.7900781188219</v>
      </c>
      <c r="I364">
        <v>34521618</v>
      </c>
      <c r="J364">
        <f t="shared" ca="1" si="17"/>
        <v>800</v>
      </c>
      <c r="R364" t="s">
        <v>659</v>
      </c>
    </row>
    <row r="365" spans="1:18" x14ac:dyDescent="0.35">
      <c r="A365">
        <v>76891213505</v>
      </c>
      <c r="B365" t="str">
        <f t="shared" ca="1" si="15"/>
        <v>HL Road Frame - Black, 52-6S</v>
      </c>
      <c r="D365" s="2" t="s">
        <v>883</v>
      </c>
      <c r="E365" s="2" t="s">
        <v>884</v>
      </c>
      <c r="G365">
        <v>1</v>
      </c>
      <c r="H365">
        <f t="shared" ca="1" si="16"/>
        <v>6494.2629478443014</v>
      </c>
      <c r="I365">
        <v>34521619</v>
      </c>
      <c r="J365">
        <f t="shared" ca="1" si="17"/>
        <v>300</v>
      </c>
      <c r="R365" t="s">
        <v>660</v>
      </c>
    </row>
    <row r="366" spans="1:18" x14ac:dyDescent="0.35">
      <c r="A366">
        <v>76891213506</v>
      </c>
      <c r="B366" t="str">
        <f t="shared" ca="1" si="15"/>
        <v>Sport-100 Helmet, Blue-3T</v>
      </c>
      <c r="D366" s="2" t="s">
        <v>883</v>
      </c>
      <c r="E366" s="2" t="s">
        <v>884</v>
      </c>
      <c r="G366">
        <v>1</v>
      </c>
      <c r="H366">
        <f t="shared" ca="1" si="16"/>
        <v>6924.1684247755047</v>
      </c>
      <c r="I366">
        <v>34521620</v>
      </c>
      <c r="J366">
        <f t="shared" ca="1" si="17"/>
        <v>800</v>
      </c>
      <c r="R366" t="s">
        <v>660</v>
      </c>
    </row>
    <row r="367" spans="1:18" x14ac:dyDescent="0.35">
      <c r="A367">
        <v>76891213507</v>
      </c>
      <c r="B367" t="str">
        <f t="shared" ca="1" si="15"/>
        <v>LL Road Frame - Red, 60-1T</v>
      </c>
      <c r="D367" s="2" t="s">
        <v>883</v>
      </c>
      <c r="E367" s="2" t="s">
        <v>884</v>
      </c>
      <c r="G367">
        <v>1</v>
      </c>
      <c r="H367">
        <f t="shared" ca="1" si="16"/>
        <v>2641.4732412349708</v>
      </c>
      <c r="I367">
        <v>34521621</v>
      </c>
      <c r="J367">
        <f t="shared" ca="1" si="17"/>
        <v>1000</v>
      </c>
      <c r="R367" t="s">
        <v>661</v>
      </c>
    </row>
    <row r="368" spans="1:18" x14ac:dyDescent="0.35">
      <c r="A368">
        <v>76891213508</v>
      </c>
      <c r="B368" t="str">
        <f t="shared" ca="1" si="15"/>
        <v>HL Road Frame - Black, 62-10Z</v>
      </c>
      <c r="D368" s="2" t="s">
        <v>883</v>
      </c>
      <c r="E368" s="2" t="s">
        <v>884</v>
      </c>
      <c r="G368">
        <v>1</v>
      </c>
      <c r="H368">
        <f t="shared" ca="1" si="16"/>
        <v>3400.3105805686268</v>
      </c>
      <c r="I368">
        <v>34521622</v>
      </c>
      <c r="J368">
        <f t="shared" ca="1" si="17"/>
        <v>500</v>
      </c>
      <c r="R368" t="s">
        <v>662</v>
      </c>
    </row>
    <row r="369" spans="1:18" x14ac:dyDescent="0.35">
      <c r="A369">
        <v>76891213509</v>
      </c>
      <c r="B369" t="str">
        <f t="shared" ca="1" si="15"/>
        <v>Road-450 Red, 58-1T</v>
      </c>
      <c r="D369" s="2" t="s">
        <v>883</v>
      </c>
      <c r="E369" s="2" t="s">
        <v>884</v>
      </c>
      <c r="G369">
        <v>1</v>
      </c>
      <c r="H369">
        <f t="shared" ca="1" si="16"/>
        <v>8828.2564542238288</v>
      </c>
      <c r="I369">
        <v>34521623</v>
      </c>
      <c r="J369">
        <f t="shared" ca="1" si="17"/>
        <v>1000</v>
      </c>
      <c r="R369" t="s">
        <v>663</v>
      </c>
    </row>
    <row r="370" spans="1:18" x14ac:dyDescent="0.35">
      <c r="A370">
        <v>76891213510</v>
      </c>
      <c r="B370" t="str">
        <f t="shared" ca="1" si="15"/>
        <v>Touring-1000 Blue, 60-1T</v>
      </c>
      <c r="D370" s="2" t="s">
        <v>883</v>
      </c>
      <c r="E370" s="2" t="s">
        <v>884</v>
      </c>
      <c r="G370">
        <v>1</v>
      </c>
      <c r="H370">
        <f t="shared" ca="1" si="16"/>
        <v>838.06469872887874</v>
      </c>
      <c r="I370">
        <v>34521624</v>
      </c>
      <c r="J370">
        <f t="shared" ca="1" si="17"/>
        <v>600</v>
      </c>
      <c r="R370" t="s">
        <v>664</v>
      </c>
    </row>
    <row r="371" spans="1:18" x14ac:dyDescent="0.35">
      <c r="A371">
        <v>76891213511</v>
      </c>
      <c r="B371" t="str">
        <f t="shared" ca="1" si="15"/>
        <v>Mountain-200 Silver, 38-2T</v>
      </c>
      <c r="D371" s="2" t="s">
        <v>883</v>
      </c>
      <c r="E371" s="2" t="s">
        <v>884</v>
      </c>
      <c r="G371">
        <v>1</v>
      </c>
      <c r="H371">
        <f t="shared" ca="1" si="16"/>
        <v>6497.3010263499036</v>
      </c>
      <c r="I371">
        <v>34521625</v>
      </c>
      <c r="J371">
        <f t="shared" ca="1" si="17"/>
        <v>800</v>
      </c>
      <c r="R371" t="s">
        <v>665</v>
      </c>
    </row>
    <row r="372" spans="1:18" x14ac:dyDescent="0.35">
      <c r="A372">
        <v>76891213512</v>
      </c>
      <c r="B372" t="str">
        <f t="shared" ca="1" si="15"/>
        <v>Long-Sleeve Logo Jersey, M-9Z</v>
      </c>
      <c r="D372" s="2" t="s">
        <v>883</v>
      </c>
      <c r="E372" s="2" t="s">
        <v>884</v>
      </c>
      <c r="G372">
        <v>1</v>
      </c>
      <c r="H372">
        <f t="shared" ca="1" si="16"/>
        <v>9875.6826871447392</v>
      </c>
      <c r="I372">
        <v>34521626</v>
      </c>
      <c r="J372">
        <f t="shared" ca="1" si="17"/>
        <v>700</v>
      </c>
      <c r="R372" t="s">
        <v>666</v>
      </c>
    </row>
    <row r="373" spans="1:18" x14ac:dyDescent="0.35">
      <c r="A373">
        <v>76891213513</v>
      </c>
      <c r="B373" t="str">
        <f t="shared" ca="1" si="15"/>
        <v>ML Mountain Frame - Black, 48-3T</v>
      </c>
      <c r="D373" s="2" t="s">
        <v>883</v>
      </c>
      <c r="E373" s="2" t="s">
        <v>884</v>
      </c>
      <c r="G373">
        <v>1</v>
      </c>
      <c r="H373">
        <f t="shared" ca="1" si="16"/>
        <v>8751.058887926647</v>
      </c>
      <c r="I373">
        <v>34521627</v>
      </c>
      <c r="J373">
        <f t="shared" ca="1" si="17"/>
        <v>700</v>
      </c>
      <c r="R373" t="s">
        <v>667</v>
      </c>
    </row>
    <row r="374" spans="1:18" x14ac:dyDescent="0.35">
      <c r="A374">
        <v>76891213514</v>
      </c>
      <c r="B374" t="str">
        <f t="shared" ca="1" si="15"/>
        <v>LL Mountain Frame - Silver, 44-9Z</v>
      </c>
      <c r="D374" s="2" t="s">
        <v>883</v>
      </c>
      <c r="E374" s="2" t="s">
        <v>884</v>
      </c>
      <c r="G374">
        <v>1</v>
      </c>
      <c r="H374">
        <f t="shared" ca="1" si="16"/>
        <v>5315.5344122127744</v>
      </c>
      <c r="I374">
        <v>34521628</v>
      </c>
      <c r="J374">
        <f t="shared" ca="1" si="17"/>
        <v>600</v>
      </c>
      <c r="R374" t="s">
        <v>668</v>
      </c>
    </row>
    <row r="375" spans="1:18" x14ac:dyDescent="0.35">
      <c r="A375">
        <v>76891213515</v>
      </c>
      <c r="B375" t="str">
        <f t="shared" ca="1" si="15"/>
        <v>HL Road Frame - Black, 52-8S</v>
      </c>
      <c r="D375" s="2" t="s">
        <v>883</v>
      </c>
      <c r="E375" s="2" t="s">
        <v>884</v>
      </c>
      <c r="G375">
        <v>1</v>
      </c>
      <c r="H375">
        <f t="shared" ca="1" si="16"/>
        <v>7272.1358530679272</v>
      </c>
      <c r="I375">
        <v>34521629</v>
      </c>
      <c r="J375">
        <f t="shared" ca="1" si="17"/>
        <v>1000</v>
      </c>
      <c r="R375" t="s">
        <v>668</v>
      </c>
    </row>
    <row r="376" spans="1:18" x14ac:dyDescent="0.35">
      <c r="A376">
        <v>76891213516</v>
      </c>
      <c r="B376" t="str">
        <f t="shared" ca="1" si="15"/>
        <v>ML Road Pedal-9Z</v>
      </c>
      <c r="D376" s="2" t="s">
        <v>883</v>
      </c>
      <c r="E376" s="2" t="s">
        <v>884</v>
      </c>
      <c r="G376">
        <v>1</v>
      </c>
      <c r="H376">
        <f t="shared" ca="1" si="16"/>
        <v>6085.3230799454695</v>
      </c>
      <c r="I376">
        <v>34521630</v>
      </c>
      <c r="J376">
        <f t="shared" ca="1" si="17"/>
        <v>800</v>
      </c>
      <c r="R376" t="s">
        <v>669</v>
      </c>
    </row>
    <row r="377" spans="1:18" x14ac:dyDescent="0.35">
      <c r="A377">
        <v>76891213517</v>
      </c>
      <c r="B377" t="str">
        <f t="shared" ca="1" si="15"/>
        <v>Road-650 Black, 44-10Z</v>
      </c>
      <c r="D377" s="2" t="s">
        <v>883</v>
      </c>
      <c r="E377" s="2" t="s">
        <v>884</v>
      </c>
      <c r="G377">
        <v>1</v>
      </c>
      <c r="H377">
        <f t="shared" ca="1" si="16"/>
        <v>9112.1517814969393</v>
      </c>
      <c r="I377">
        <v>34521631</v>
      </c>
      <c r="J377">
        <f t="shared" ca="1" si="17"/>
        <v>1000</v>
      </c>
      <c r="R377" t="s">
        <v>669</v>
      </c>
    </row>
    <row r="378" spans="1:18" x14ac:dyDescent="0.35">
      <c r="A378">
        <v>76891213518</v>
      </c>
      <c r="B378" t="str">
        <f t="shared" ca="1" si="15"/>
        <v>Mountain-200 Black, 38-9Z</v>
      </c>
      <c r="D378" s="2" t="s">
        <v>883</v>
      </c>
      <c r="E378" s="2" t="s">
        <v>884</v>
      </c>
      <c r="G378">
        <v>1</v>
      </c>
      <c r="H378">
        <f t="shared" ca="1" si="16"/>
        <v>898.7544784261562</v>
      </c>
      <c r="I378">
        <v>34521632</v>
      </c>
      <c r="J378">
        <f t="shared" ca="1" si="17"/>
        <v>900</v>
      </c>
      <c r="R378" t="s">
        <v>670</v>
      </c>
    </row>
    <row r="379" spans="1:18" x14ac:dyDescent="0.35">
      <c r="A379">
        <v>76891213519</v>
      </c>
      <c r="B379" t="str">
        <f t="shared" ca="1" si="15"/>
        <v>Short-Sleeve Classic Jersey, M-3T</v>
      </c>
      <c r="D379" s="2" t="s">
        <v>883</v>
      </c>
      <c r="E379" s="2" t="s">
        <v>884</v>
      </c>
      <c r="G379">
        <v>1</v>
      </c>
      <c r="H379">
        <f t="shared" ca="1" si="16"/>
        <v>1938.636158170156</v>
      </c>
      <c r="I379">
        <v>34521633</v>
      </c>
      <c r="J379">
        <f t="shared" ca="1" si="17"/>
        <v>800</v>
      </c>
      <c r="R379" t="s">
        <v>670</v>
      </c>
    </row>
    <row r="380" spans="1:18" x14ac:dyDescent="0.35">
      <c r="A380">
        <v>76891213520</v>
      </c>
      <c r="B380" t="str">
        <f t="shared" ca="1" si="15"/>
        <v>LL Mountain Rim-8S</v>
      </c>
      <c r="D380" s="2" t="s">
        <v>883</v>
      </c>
      <c r="E380" s="2" t="s">
        <v>884</v>
      </c>
      <c r="G380">
        <v>1</v>
      </c>
      <c r="H380">
        <f t="shared" ca="1" si="16"/>
        <v>8201.4304804207313</v>
      </c>
      <c r="I380">
        <v>34521634</v>
      </c>
      <c r="J380">
        <f t="shared" ca="1" si="17"/>
        <v>900</v>
      </c>
      <c r="R380" t="s">
        <v>671</v>
      </c>
    </row>
    <row r="381" spans="1:18" x14ac:dyDescent="0.35">
      <c r="A381">
        <v>76891213521</v>
      </c>
      <c r="B381" t="str">
        <f t="shared" ca="1" si="15"/>
        <v>LL Mountain Frame - Black, 44-10Z</v>
      </c>
      <c r="D381" s="2" t="s">
        <v>883</v>
      </c>
      <c r="E381" s="2" t="s">
        <v>884</v>
      </c>
      <c r="G381">
        <v>1</v>
      </c>
      <c r="H381">
        <f t="shared" ca="1" si="16"/>
        <v>8650.5364272388215</v>
      </c>
      <c r="I381">
        <v>34521635</v>
      </c>
      <c r="J381">
        <f t="shared" ca="1" si="17"/>
        <v>400</v>
      </c>
      <c r="R381" t="s">
        <v>671</v>
      </c>
    </row>
    <row r="382" spans="1:18" x14ac:dyDescent="0.35">
      <c r="A382">
        <v>76891213522</v>
      </c>
      <c r="B382" t="str">
        <f t="shared" ca="1" si="15"/>
        <v>Hex Nut 2-6S</v>
      </c>
      <c r="D382" s="2" t="s">
        <v>883</v>
      </c>
      <c r="E382" s="2" t="s">
        <v>884</v>
      </c>
      <c r="G382">
        <v>1</v>
      </c>
      <c r="H382">
        <f t="shared" ca="1" si="16"/>
        <v>2861.1857686932035</v>
      </c>
      <c r="I382">
        <v>34521636</v>
      </c>
      <c r="J382">
        <f t="shared" ca="1" si="17"/>
        <v>300</v>
      </c>
      <c r="R382" t="s">
        <v>672</v>
      </c>
    </row>
    <row r="383" spans="1:18" x14ac:dyDescent="0.35">
      <c r="A383">
        <v>76891213523</v>
      </c>
      <c r="B383" t="str">
        <f t="shared" ca="1" si="15"/>
        <v>ML Mountain Frame - Black, 44-3T</v>
      </c>
      <c r="D383" s="2" t="s">
        <v>883</v>
      </c>
      <c r="E383" s="2" t="s">
        <v>884</v>
      </c>
      <c r="G383">
        <v>1</v>
      </c>
      <c r="H383">
        <f t="shared" ca="1" si="16"/>
        <v>8374.3911039011728</v>
      </c>
      <c r="I383">
        <v>34521637</v>
      </c>
      <c r="J383">
        <f t="shared" ca="1" si="17"/>
        <v>800</v>
      </c>
      <c r="R383" t="s">
        <v>672</v>
      </c>
    </row>
    <row r="384" spans="1:18" x14ac:dyDescent="0.35">
      <c r="A384">
        <v>76891213524</v>
      </c>
      <c r="B384" t="str">
        <f t="shared" ca="1" si="15"/>
        <v>Thin-Jam Hex Nut 7-6S</v>
      </c>
      <c r="D384" s="2" t="s">
        <v>883</v>
      </c>
      <c r="E384" s="2" t="s">
        <v>884</v>
      </c>
      <c r="G384">
        <v>1</v>
      </c>
      <c r="H384">
        <f t="shared" ca="1" si="16"/>
        <v>2987.1429372726939</v>
      </c>
      <c r="I384">
        <v>34521638</v>
      </c>
      <c r="J384">
        <f t="shared" ca="1" si="17"/>
        <v>800</v>
      </c>
      <c r="R384" t="s">
        <v>673</v>
      </c>
    </row>
    <row r="385" spans="1:18" x14ac:dyDescent="0.35">
      <c r="A385">
        <v>76891213525</v>
      </c>
      <c r="B385" t="str">
        <f t="shared" ca="1" si="15"/>
        <v>Road-650 Black, 44-1T</v>
      </c>
      <c r="D385" s="2" t="s">
        <v>883</v>
      </c>
      <c r="E385" s="2" t="s">
        <v>884</v>
      </c>
      <c r="G385">
        <v>1</v>
      </c>
      <c r="H385">
        <f t="shared" ca="1" si="16"/>
        <v>2407.0786181550084</v>
      </c>
      <c r="I385">
        <v>34521639</v>
      </c>
      <c r="J385">
        <f t="shared" ca="1" si="17"/>
        <v>200</v>
      </c>
      <c r="R385" t="s">
        <v>673</v>
      </c>
    </row>
    <row r="386" spans="1:18" x14ac:dyDescent="0.35">
      <c r="A386">
        <v>76891213526</v>
      </c>
      <c r="B386" t="str">
        <f t="shared" ref="B386:B449" ca="1" si="18">INDEX($R$4:$R$609,RANDBETWEEN(1,606))&amp;"-"&amp;INDEX($S$4:$S$10,RANDBETWEEN(1,7))</f>
        <v>Decal 2-1T</v>
      </c>
      <c r="D386" s="2" t="s">
        <v>883</v>
      </c>
      <c r="E386" s="2" t="s">
        <v>884</v>
      </c>
      <c r="G386">
        <v>1</v>
      </c>
      <c r="H386">
        <f t="shared" ca="1" si="16"/>
        <v>8212.8049543445304</v>
      </c>
      <c r="I386">
        <v>34521640</v>
      </c>
      <c r="J386">
        <f t="shared" ca="1" si="17"/>
        <v>500</v>
      </c>
      <c r="R386" t="s">
        <v>674</v>
      </c>
    </row>
    <row r="387" spans="1:18" x14ac:dyDescent="0.35">
      <c r="A387">
        <v>76891213527</v>
      </c>
      <c r="B387" t="str">
        <f t="shared" ca="1" si="18"/>
        <v>Men's Bib-Shorts, M-9Z</v>
      </c>
      <c r="D387" s="2" t="s">
        <v>883</v>
      </c>
      <c r="E387" s="2" t="s">
        <v>884</v>
      </c>
      <c r="G387">
        <v>1</v>
      </c>
      <c r="H387">
        <f t="shared" ref="H387:H450" ca="1" si="19">RANDBETWEEN(100,10000)+RAND()</f>
        <v>3326.8565914437954</v>
      </c>
      <c r="I387">
        <v>34521641</v>
      </c>
      <c r="J387">
        <f t="shared" ref="J387:J450" ca="1" si="20">INDEX($O$3:$O$12,RANDBETWEEN(1,10))</f>
        <v>300</v>
      </c>
      <c r="R387" t="s">
        <v>674</v>
      </c>
    </row>
    <row r="388" spans="1:18" x14ac:dyDescent="0.35">
      <c r="A388">
        <v>76891213528</v>
      </c>
      <c r="B388" t="str">
        <f t="shared" ca="1" si="18"/>
        <v>HL Road Frame - Red, 52-8S</v>
      </c>
      <c r="D388" s="2" t="s">
        <v>883</v>
      </c>
      <c r="E388" s="2" t="s">
        <v>884</v>
      </c>
      <c r="G388">
        <v>1</v>
      </c>
      <c r="H388">
        <f t="shared" ca="1" si="19"/>
        <v>8635.9221287063683</v>
      </c>
      <c r="I388">
        <v>34521642</v>
      </c>
      <c r="J388">
        <f t="shared" ca="1" si="20"/>
        <v>1000</v>
      </c>
      <c r="R388" t="s">
        <v>675</v>
      </c>
    </row>
    <row r="389" spans="1:18" x14ac:dyDescent="0.35">
      <c r="A389">
        <v>76891213529</v>
      </c>
      <c r="B389" t="str">
        <f t="shared" ca="1" si="18"/>
        <v>Road-350-W Yellow, 40-2T</v>
      </c>
      <c r="D389" s="2" t="s">
        <v>883</v>
      </c>
      <c r="E389" s="2" t="s">
        <v>884</v>
      </c>
      <c r="G389">
        <v>1</v>
      </c>
      <c r="H389">
        <f t="shared" ca="1" si="19"/>
        <v>7017.4414267006596</v>
      </c>
      <c r="I389">
        <v>34521643</v>
      </c>
      <c r="J389">
        <f t="shared" ca="1" si="20"/>
        <v>500</v>
      </c>
      <c r="R389" t="s">
        <v>675</v>
      </c>
    </row>
    <row r="390" spans="1:18" x14ac:dyDescent="0.35">
      <c r="A390">
        <v>76891213530</v>
      </c>
      <c r="B390" t="str">
        <f t="shared" ca="1" si="18"/>
        <v>Mountain-200 Silver, 38-2T</v>
      </c>
      <c r="D390" s="2" t="s">
        <v>883</v>
      </c>
      <c r="E390" s="2" t="s">
        <v>884</v>
      </c>
      <c r="G390">
        <v>1</v>
      </c>
      <c r="H390">
        <f t="shared" ca="1" si="19"/>
        <v>3761.9037329346024</v>
      </c>
      <c r="I390">
        <v>34521644</v>
      </c>
      <c r="J390">
        <f t="shared" ca="1" si="20"/>
        <v>100</v>
      </c>
      <c r="R390" t="s">
        <v>676</v>
      </c>
    </row>
    <row r="391" spans="1:18" x14ac:dyDescent="0.35">
      <c r="A391">
        <v>76891213531</v>
      </c>
      <c r="B391" t="str">
        <f t="shared" ca="1" si="18"/>
        <v>HL Road Frame - Red, 52-3T</v>
      </c>
      <c r="D391" s="2" t="s">
        <v>883</v>
      </c>
      <c r="E391" s="2" t="s">
        <v>884</v>
      </c>
      <c r="G391">
        <v>1</v>
      </c>
      <c r="H391">
        <f t="shared" ca="1" si="19"/>
        <v>9274.9787353542088</v>
      </c>
      <c r="I391">
        <v>34521645</v>
      </c>
      <c r="J391">
        <f t="shared" ca="1" si="20"/>
        <v>300</v>
      </c>
      <c r="R391" t="s">
        <v>676</v>
      </c>
    </row>
    <row r="392" spans="1:18" x14ac:dyDescent="0.35">
      <c r="A392">
        <v>76891213532</v>
      </c>
      <c r="B392" t="str">
        <f t="shared" ca="1" si="18"/>
        <v>LL Road Frame - Black, 44-2T</v>
      </c>
      <c r="D392" s="2" t="s">
        <v>883</v>
      </c>
      <c r="E392" s="2" t="s">
        <v>884</v>
      </c>
      <c r="G392">
        <v>1</v>
      </c>
      <c r="H392">
        <f t="shared" ca="1" si="19"/>
        <v>6778.6036377104647</v>
      </c>
      <c r="I392">
        <v>34521646</v>
      </c>
      <c r="J392">
        <f t="shared" ca="1" si="20"/>
        <v>600</v>
      </c>
      <c r="R392" t="s">
        <v>677</v>
      </c>
    </row>
    <row r="393" spans="1:18" x14ac:dyDescent="0.35">
      <c r="A393">
        <v>76891213533</v>
      </c>
      <c r="B393" t="str">
        <f t="shared" ca="1" si="18"/>
        <v>Road-650 Red, 44-2T</v>
      </c>
      <c r="D393" s="2" t="s">
        <v>883</v>
      </c>
      <c r="E393" s="2" t="s">
        <v>884</v>
      </c>
      <c r="G393">
        <v>1</v>
      </c>
      <c r="H393">
        <f t="shared" ca="1" si="19"/>
        <v>1954.5826259867015</v>
      </c>
      <c r="I393">
        <v>34521647</v>
      </c>
      <c r="J393">
        <f t="shared" ca="1" si="20"/>
        <v>900</v>
      </c>
      <c r="R393" t="s">
        <v>677</v>
      </c>
    </row>
    <row r="394" spans="1:18" x14ac:dyDescent="0.35">
      <c r="A394">
        <v>76891213534</v>
      </c>
      <c r="B394" t="str">
        <f t="shared" ca="1" si="18"/>
        <v>Women's Mountain Shorts, M-1T</v>
      </c>
      <c r="D394" s="2" t="s">
        <v>883</v>
      </c>
      <c r="E394" s="2" t="s">
        <v>884</v>
      </c>
      <c r="G394">
        <v>1</v>
      </c>
      <c r="H394">
        <f t="shared" ca="1" si="19"/>
        <v>5879.3921130267236</v>
      </c>
      <c r="I394">
        <v>34521648</v>
      </c>
      <c r="J394">
        <f t="shared" ca="1" si="20"/>
        <v>700</v>
      </c>
      <c r="R394" t="s">
        <v>678</v>
      </c>
    </row>
    <row r="395" spans="1:18" x14ac:dyDescent="0.35">
      <c r="A395">
        <v>76891213535</v>
      </c>
      <c r="B395" t="str">
        <f t="shared" ca="1" si="18"/>
        <v>HL Road Frame - Black, 52-9Z</v>
      </c>
      <c r="D395" s="2" t="s">
        <v>883</v>
      </c>
      <c r="E395" s="2" t="s">
        <v>884</v>
      </c>
      <c r="G395">
        <v>1</v>
      </c>
      <c r="H395">
        <f t="shared" ca="1" si="19"/>
        <v>468.81906553927877</v>
      </c>
      <c r="I395">
        <v>34521649</v>
      </c>
      <c r="J395">
        <f t="shared" ca="1" si="20"/>
        <v>200</v>
      </c>
      <c r="R395" t="s">
        <v>679</v>
      </c>
    </row>
    <row r="396" spans="1:18" x14ac:dyDescent="0.35">
      <c r="A396">
        <v>76891213536</v>
      </c>
      <c r="B396" t="str">
        <f t="shared" ca="1" si="18"/>
        <v>Women's Mountain Shorts, L-3T</v>
      </c>
      <c r="D396" s="2" t="s">
        <v>883</v>
      </c>
      <c r="E396" s="2" t="s">
        <v>884</v>
      </c>
      <c r="G396">
        <v>1</v>
      </c>
      <c r="H396">
        <f t="shared" ca="1" si="19"/>
        <v>3566.6147595047973</v>
      </c>
      <c r="I396">
        <v>34521650</v>
      </c>
      <c r="J396">
        <f t="shared" ca="1" si="20"/>
        <v>300</v>
      </c>
      <c r="R396" t="s">
        <v>680</v>
      </c>
    </row>
    <row r="397" spans="1:18" x14ac:dyDescent="0.35">
      <c r="A397">
        <v>76891213537</v>
      </c>
      <c r="B397" t="str">
        <f t="shared" ca="1" si="18"/>
        <v>Sport-100 Helmet, Red-9Z</v>
      </c>
      <c r="D397" s="2" t="s">
        <v>883</v>
      </c>
      <c r="E397" s="2" t="s">
        <v>884</v>
      </c>
      <c r="G397">
        <v>1</v>
      </c>
      <c r="H397">
        <f t="shared" ca="1" si="19"/>
        <v>8926.2162855573406</v>
      </c>
      <c r="I397">
        <v>34521651</v>
      </c>
      <c r="J397">
        <f t="shared" ca="1" si="20"/>
        <v>900</v>
      </c>
      <c r="R397" t="s">
        <v>681</v>
      </c>
    </row>
    <row r="398" spans="1:18" x14ac:dyDescent="0.35">
      <c r="A398">
        <v>76891213538</v>
      </c>
      <c r="B398" t="str">
        <f t="shared" ca="1" si="18"/>
        <v>Thin-Jam Hex Nut 10-6S</v>
      </c>
      <c r="D398" s="2" t="s">
        <v>883</v>
      </c>
      <c r="E398" s="2" t="s">
        <v>884</v>
      </c>
      <c r="G398">
        <v>1</v>
      </c>
      <c r="H398">
        <f t="shared" ca="1" si="19"/>
        <v>6616.0040221118334</v>
      </c>
      <c r="I398">
        <v>34521652</v>
      </c>
      <c r="J398">
        <f t="shared" ca="1" si="20"/>
        <v>600</v>
      </c>
      <c r="R398" t="s">
        <v>682</v>
      </c>
    </row>
    <row r="399" spans="1:18" x14ac:dyDescent="0.35">
      <c r="A399">
        <v>76891213539</v>
      </c>
      <c r="B399" t="str">
        <f t="shared" ca="1" si="18"/>
        <v>LL Grip Tape-6S</v>
      </c>
      <c r="D399" s="2" t="s">
        <v>883</v>
      </c>
      <c r="E399" s="2" t="s">
        <v>884</v>
      </c>
      <c r="G399">
        <v>1</v>
      </c>
      <c r="H399">
        <f t="shared" ca="1" si="19"/>
        <v>2018.0212140707813</v>
      </c>
      <c r="I399">
        <v>34521653</v>
      </c>
      <c r="J399">
        <f t="shared" ca="1" si="20"/>
        <v>800</v>
      </c>
      <c r="R399" t="s">
        <v>683</v>
      </c>
    </row>
    <row r="400" spans="1:18" x14ac:dyDescent="0.35">
      <c r="A400">
        <v>76891213540</v>
      </c>
      <c r="B400" t="str">
        <f t="shared" ca="1" si="18"/>
        <v>Internal Lock Washer 9-6S</v>
      </c>
      <c r="D400" s="2" t="s">
        <v>883</v>
      </c>
      <c r="E400" s="2" t="s">
        <v>884</v>
      </c>
      <c r="G400">
        <v>1</v>
      </c>
      <c r="H400">
        <f t="shared" ca="1" si="19"/>
        <v>4363.4287015373038</v>
      </c>
      <c r="I400">
        <v>34521654</v>
      </c>
      <c r="J400">
        <f t="shared" ca="1" si="20"/>
        <v>900</v>
      </c>
      <c r="R400" t="s">
        <v>684</v>
      </c>
    </row>
    <row r="401" spans="1:18" x14ac:dyDescent="0.35">
      <c r="A401">
        <v>76891213541</v>
      </c>
      <c r="B401" t="str">
        <f t="shared" ca="1" si="18"/>
        <v>Decal 1-9Z</v>
      </c>
      <c r="D401" s="2" t="s">
        <v>883</v>
      </c>
      <c r="E401" s="2" t="s">
        <v>884</v>
      </c>
      <c r="G401">
        <v>1</v>
      </c>
      <c r="H401">
        <f t="shared" ca="1" si="19"/>
        <v>8670.1313382850785</v>
      </c>
      <c r="I401">
        <v>34521655</v>
      </c>
      <c r="J401">
        <f t="shared" ca="1" si="20"/>
        <v>200</v>
      </c>
      <c r="R401" t="s">
        <v>684</v>
      </c>
    </row>
    <row r="402" spans="1:18" x14ac:dyDescent="0.35">
      <c r="A402">
        <v>76891213542</v>
      </c>
      <c r="B402" t="str">
        <f t="shared" ca="1" si="18"/>
        <v>Mountain-500 Black, 52-10Z</v>
      </c>
      <c r="D402" s="2" t="s">
        <v>883</v>
      </c>
      <c r="E402" s="2" t="s">
        <v>884</v>
      </c>
      <c r="G402">
        <v>1</v>
      </c>
      <c r="H402">
        <f t="shared" ca="1" si="19"/>
        <v>6787.2982998588732</v>
      </c>
      <c r="I402">
        <v>34521656</v>
      </c>
      <c r="J402">
        <f t="shared" ca="1" si="20"/>
        <v>500</v>
      </c>
      <c r="R402" t="s">
        <v>685</v>
      </c>
    </row>
    <row r="403" spans="1:18" x14ac:dyDescent="0.35">
      <c r="A403">
        <v>76891213543</v>
      </c>
      <c r="B403" t="str">
        <f t="shared" ca="1" si="18"/>
        <v>HL Mountain Rim-1T</v>
      </c>
      <c r="D403" s="2" t="s">
        <v>883</v>
      </c>
      <c r="E403" s="2" t="s">
        <v>884</v>
      </c>
      <c r="G403">
        <v>1</v>
      </c>
      <c r="H403">
        <f t="shared" ca="1" si="19"/>
        <v>645.98032194518066</v>
      </c>
      <c r="I403">
        <v>34521657</v>
      </c>
      <c r="J403">
        <f t="shared" ca="1" si="20"/>
        <v>1000</v>
      </c>
      <c r="R403" t="s">
        <v>685</v>
      </c>
    </row>
    <row r="404" spans="1:18" x14ac:dyDescent="0.35">
      <c r="A404">
        <v>76891213544</v>
      </c>
      <c r="B404" t="str">
        <f t="shared" ca="1" si="18"/>
        <v>ML Road Frame - Red, 60-2T</v>
      </c>
      <c r="D404" s="2" t="s">
        <v>883</v>
      </c>
      <c r="E404" s="2" t="s">
        <v>884</v>
      </c>
      <c r="G404">
        <v>1</v>
      </c>
      <c r="H404">
        <f t="shared" ca="1" si="19"/>
        <v>6242.0124373465778</v>
      </c>
      <c r="I404">
        <v>34521658</v>
      </c>
      <c r="J404">
        <f t="shared" ca="1" si="20"/>
        <v>100</v>
      </c>
      <c r="R404" t="s">
        <v>686</v>
      </c>
    </row>
    <row r="405" spans="1:18" x14ac:dyDescent="0.35">
      <c r="A405">
        <v>76891213545</v>
      </c>
      <c r="B405" t="str">
        <f t="shared" ca="1" si="18"/>
        <v>Seat Tube-1T</v>
      </c>
      <c r="D405" s="2" t="s">
        <v>883</v>
      </c>
      <c r="E405" s="2" t="s">
        <v>884</v>
      </c>
      <c r="G405">
        <v>1</v>
      </c>
      <c r="H405">
        <f t="shared" ca="1" si="19"/>
        <v>4354.6425016633602</v>
      </c>
      <c r="I405">
        <v>34521659</v>
      </c>
      <c r="J405">
        <f t="shared" ca="1" si="20"/>
        <v>400</v>
      </c>
      <c r="R405" t="s">
        <v>686</v>
      </c>
    </row>
    <row r="406" spans="1:18" x14ac:dyDescent="0.35">
      <c r="A406">
        <v>76891213546</v>
      </c>
      <c r="B406" t="str">
        <f t="shared" ca="1" si="18"/>
        <v>Lock Ring-8S</v>
      </c>
      <c r="D406" s="2" t="s">
        <v>883</v>
      </c>
      <c r="E406" s="2" t="s">
        <v>884</v>
      </c>
      <c r="G406">
        <v>1</v>
      </c>
      <c r="H406">
        <f t="shared" ca="1" si="19"/>
        <v>8263.053348102203</v>
      </c>
      <c r="I406">
        <v>34521660</v>
      </c>
      <c r="J406">
        <f t="shared" ca="1" si="20"/>
        <v>300</v>
      </c>
      <c r="R406" t="s">
        <v>687</v>
      </c>
    </row>
    <row r="407" spans="1:18" x14ac:dyDescent="0.35">
      <c r="A407">
        <v>76891213547</v>
      </c>
      <c r="B407" t="str">
        <f t="shared" ca="1" si="18"/>
        <v>Road-250 Black, 44-8S</v>
      </c>
      <c r="D407" s="2" t="s">
        <v>883</v>
      </c>
      <c r="E407" s="2" t="s">
        <v>884</v>
      </c>
      <c r="G407">
        <v>1</v>
      </c>
      <c r="H407">
        <f t="shared" ca="1" si="19"/>
        <v>4233.6833271008645</v>
      </c>
      <c r="I407">
        <v>34521661</v>
      </c>
      <c r="J407">
        <f t="shared" ca="1" si="20"/>
        <v>200</v>
      </c>
      <c r="R407" t="s">
        <v>687</v>
      </c>
    </row>
    <row r="408" spans="1:18" x14ac:dyDescent="0.35">
      <c r="A408">
        <v>76891213548</v>
      </c>
      <c r="B408" t="str">
        <f t="shared" ca="1" si="18"/>
        <v>Long-Sleeve Logo Jersey, XL-10Z</v>
      </c>
      <c r="D408" s="2" t="s">
        <v>883</v>
      </c>
      <c r="E408" s="2" t="s">
        <v>884</v>
      </c>
      <c r="G408">
        <v>1</v>
      </c>
      <c r="H408">
        <f t="shared" ca="1" si="19"/>
        <v>1956.6910493556829</v>
      </c>
      <c r="I408">
        <v>34521662</v>
      </c>
      <c r="J408">
        <f t="shared" ca="1" si="20"/>
        <v>100</v>
      </c>
      <c r="R408" t="s">
        <v>688</v>
      </c>
    </row>
    <row r="409" spans="1:18" x14ac:dyDescent="0.35">
      <c r="A409">
        <v>76891213549</v>
      </c>
      <c r="B409" t="str">
        <f t="shared" ca="1" si="18"/>
        <v>LL Road Frame - Black, 60-6S</v>
      </c>
      <c r="D409" s="2" t="s">
        <v>883</v>
      </c>
      <c r="E409" s="2" t="s">
        <v>884</v>
      </c>
      <c r="G409">
        <v>1</v>
      </c>
      <c r="H409">
        <f t="shared" ca="1" si="19"/>
        <v>5727.7008118950862</v>
      </c>
      <c r="I409">
        <v>34521663</v>
      </c>
      <c r="J409">
        <f t="shared" ca="1" si="20"/>
        <v>900</v>
      </c>
      <c r="R409" t="s">
        <v>688</v>
      </c>
    </row>
    <row r="410" spans="1:18" x14ac:dyDescent="0.35">
      <c r="A410">
        <v>76891213550</v>
      </c>
      <c r="B410" t="str">
        <f t="shared" ca="1" si="18"/>
        <v>Thin-Jam Hex Nut 15-9Z</v>
      </c>
      <c r="D410" s="2" t="s">
        <v>883</v>
      </c>
      <c r="E410" s="2" t="s">
        <v>884</v>
      </c>
      <c r="G410">
        <v>1</v>
      </c>
      <c r="H410">
        <f t="shared" ca="1" si="19"/>
        <v>8587.4277127599253</v>
      </c>
      <c r="I410">
        <v>34521664</v>
      </c>
      <c r="J410">
        <f t="shared" ca="1" si="20"/>
        <v>1000</v>
      </c>
      <c r="R410" t="s">
        <v>689</v>
      </c>
    </row>
    <row r="411" spans="1:18" x14ac:dyDescent="0.35">
      <c r="A411">
        <v>76891213551</v>
      </c>
      <c r="B411" t="str">
        <f t="shared" ca="1" si="18"/>
        <v>LL Road Frame - Black, 44-10Z</v>
      </c>
      <c r="D411" s="2" t="s">
        <v>883</v>
      </c>
      <c r="E411" s="2" t="s">
        <v>884</v>
      </c>
      <c r="G411">
        <v>1</v>
      </c>
      <c r="H411">
        <f t="shared" ca="1" si="19"/>
        <v>8257.6439178880792</v>
      </c>
      <c r="I411">
        <v>34521665</v>
      </c>
      <c r="J411">
        <f t="shared" ca="1" si="20"/>
        <v>800</v>
      </c>
      <c r="R411" t="s">
        <v>689</v>
      </c>
    </row>
    <row r="412" spans="1:18" x14ac:dyDescent="0.35">
      <c r="A412">
        <v>76891213552</v>
      </c>
      <c r="B412" t="str">
        <f t="shared" ca="1" si="18"/>
        <v>Women's Mountain Shorts, M-8S</v>
      </c>
      <c r="D412" s="2" t="s">
        <v>883</v>
      </c>
      <c r="E412" s="2" t="s">
        <v>884</v>
      </c>
      <c r="G412">
        <v>1</v>
      </c>
      <c r="H412">
        <f t="shared" ca="1" si="19"/>
        <v>1307.476350595766</v>
      </c>
      <c r="I412">
        <v>34521666</v>
      </c>
      <c r="J412">
        <f t="shared" ca="1" si="20"/>
        <v>100</v>
      </c>
      <c r="R412" t="s">
        <v>690</v>
      </c>
    </row>
    <row r="413" spans="1:18" x14ac:dyDescent="0.35">
      <c r="A413">
        <v>76891213553</v>
      </c>
      <c r="B413" t="str">
        <f t="shared" ca="1" si="18"/>
        <v>HL Touring Frame - Yellow, 46-2T</v>
      </c>
      <c r="D413" s="2" t="s">
        <v>883</v>
      </c>
      <c r="E413" s="2" t="s">
        <v>884</v>
      </c>
      <c r="G413">
        <v>1</v>
      </c>
      <c r="H413">
        <f t="shared" ca="1" si="19"/>
        <v>6673.2582146081568</v>
      </c>
      <c r="I413">
        <v>34521667</v>
      </c>
      <c r="J413">
        <f t="shared" ca="1" si="20"/>
        <v>700</v>
      </c>
      <c r="R413" t="s">
        <v>691</v>
      </c>
    </row>
    <row r="414" spans="1:18" x14ac:dyDescent="0.35">
      <c r="A414">
        <v>76891213554</v>
      </c>
      <c r="B414" t="str">
        <f t="shared" ca="1" si="18"/>
        <v>ML Crankarm-6S</v>
      </c>
      <c r="D414" s="2" t="s">
        <v>883</v>
      </c>
      <c r="E414" s="2" t="s">
        <v>884</v>
      </c>
      <c r="G414">
        <v>1</v>
      </c>
      <c r="H414">
        <f t="shared" ca="1" si="19"/>
        <v>951.21890056653785</v>
      </c>
      <c r="I414">
        <v>34521668</v>
      </c>
      <c r="J414">
        <f t="shared" ca="1" si="20"/>
        <v>400</v>
      </c>
      <c r="R414" t="s">
        <v>692</v>
      </c>
    </row>
    <row r="415" spans="1:18" x14ac:dyDescent="0.35">
      <c r="A415">
        <v>76891213555</v>
      </c>
      <c r="B415" t="str">
        <f t="shared" ca="1" si="18"/>
        <v>ML Road Handlebars-9Z</v>
      </c>
      <c r="D415" s="2" t="s">
        <v>883</v>
      </c>
      <c r="E415" s="2" t="s">
        <v>884</v>
      </c>
      <c r="G415">
        <v>1</v>
      </c>
      <c r="H415">
        <f t="shared" ca="1" si="19"/>
        <v>6639.131764227679</v>
      </c>
      <c r="I415">
        <v>34521669</v>
      </c>
      <c r="J415">
        <f t="shared" ca="1" si="20"/>
        <v>800</v>
      </c>
      <c r="R415" t="s">
        <v>693</v>
      </c>
    </row>
    <row r="416" spans="1:18" x14ac:dyDescent="0.35">
      <c r="A416">
        <v>76891213556</v>
      </c>
      <c r="B416" t="str">
        <f t="shared" ca="1" si="18"/>
        <v>Hex Nut 2-3T</v>
      </c>
      <c r="D416" s="2" t="s">
        <v>883</v>
      </c>
      <c r="E416" s="2" t="s">
        <v>884</v>
      </c>
      <c r="G416">
        <v>1</v>
      </c>
      <c r="H416">
        <f t="shared" ca="1" si="19"/>
        <v>8388.3334614270243</v>
      </c>
      <c r="I416">
        <v>34521670</v>
      </c>
      <c r="J416">
        <f t="shared" ca="1" si="20"/>
        <v>500</v>
      </c>
      <c r="R416" t="s">
        <v>694</v>
      </c>
    </row>
    <row r="417" spans="1:18" x14ac:dyDescent="0.35">
      <c r="A417">
        <v>76891213557</v>
      </c>
      <c r="B417" t="str">
        <f t="shared" ca="1" si="18"/>
        <v>Thin-Jam Hex Nut 6-8S</v>
      </c>
      <c r="D417" s="2" t="s">
        <v>883</v>
      </c>
      <c r="E417" s="2" t="s">
        <v>884</v>
      </c>
      <c r="G417">
        <v>1</v>
      </c>
      <c r="H417">
        <f t="shared" ca="1" si="19"/>
        <v>942.60995441491764</v>
      </c>
      <c r="I417">
        <v>34521671</v>
      </c>
      <c r="J417">
        <f t="shared" ca="1" si="20"/>
        <v>600</v>
      </c>
      <c r="R417" t="s">
        <v>695</v>
      </c>
    </row>
    <row r="418" spans="1:18" x14ac:dyDescent="0.35">
      <c r="A418">
        <v>76891213558</v>
      </c>
      <c r="B418" t="str">
        <f t="shared" ca="1" si="18"/>
        <v>AWC Logo Cap-6S</v>
      </c>
      <c r="D418" s="2" t="s">
        <v>883</v>
      </c>
      <c r="E418" s="2" t="s">
        <v>884</v>
      </c>
      <c r="G418">
        <v>1</v>
      </c>
      <c r="H418">
        <f t="shared" ca="1" si="19"/>
        <v>2703.1304184049623</v>
      </c>
      <c r="I418">
        <v>34521672</v>
      </c>
      <c r="J418">
        <f t="shared" ca="1" si="20"/>
        <v>100</v>
      </c>
      <c r="R418" t="s">
        <v>696</v>
      </c>
    </row>
    <row r="419" spans="1:18" x14ac:dyDescent="0.35">
      <c r="A419">
        <v>76891213559</v>
      </c>
      <c r="B419" t="str">
        <f t="shared" ca="1" si="18"/>
        <v>Lower Head Race-6S</v>
      </c>
      <c r="D419" s="2" t="s">
        <v>883</v>
      </c>
      <c r="E419" s="2" t="s">
        <v>884</v>
      </c>
      <c r="G419">
        <v>1</v>
      </c>
      <c r="H419">
        <f t="shared" ca="1" si="19"/>
        <v>1085.9694794572913</v>
      </c>
      <c r="I419">
        <v>34521673</v>
      </c>
      <c r="J419">
        <f t="shared" ca="1" si="20"/>
        <v>500</v>
      </c>
      <c r="R419" t="s">
        <v>697</v>
      </c>
    </row>
    <row r="420" spans="1:18" x14ac:dyDescent="0.35">
      <c r="A420">
        <v>76891213560</v>
      </c>
      <c r="B420" t="str">
        <f t="shared" ca="1" si="18"/>
        <v>LL Mountain Frame - Black, 48-2T</v>
      </c>
      <c r="D420" s="2" t="s">
        <v>883</v>
      </c>
      <c r="E420" s="2" t="s">
        <v>884</v>
      </c>
      <c r="G420">
        <v>1</v>
      </c>
      <c r="H420">
        <f t="shared" ca="1" si="19"/>
        <v>9258.5719141936788</v>
      </c>
      <c r="I420">
        <v>34521674</v>
      </c>
      <c r="J420">
        <f t="shared" ca="1" si="20"/>
        <v>100</v>
      </c>
      <c r="R420" t="s">
        <v>698</v>
      </c>
    </row>
    <row r="421" spans="1:18" x14ac:dyDescent="0.35">
      <c r="A421">
        <v>76891213561</v>
      </c>
      <c r="B421" t="str">
        <f t="shared" ca="1" si="18"/>
        <v>Mountain-500 Black, 44-6S</v>
      </c>
      <c r="D421" s="2" t="s">
        <v>883</v>
      </c>
      <c r="E421" s="2" t="s">
        <v>884</v>
      </c>
      <c r="G421">
        <v>1</v>
      </c>
      <c r="H421">
        <f t="shared" ca="1" si="19"/>
        <v>4135.0778560905919</v>
      </c>
      <c r="I421">
        <v>34521675</v>
      </c>
      <c r="J421">
        <f t="shared" ca="1" si="20"/>
        <v>100</v>
      </c>
      <c r="R421" t="s">
        <v>698</v>
      </c>
    </row>
    <row r="422" spans="1:18" x14ac:dyDescent="0.35">
      <c r="A422">
        <v>76891213562</v>
      </c>
      <c r="B422" t="str">
        <f t="shared" ca="1" si="18"/>
        <v>HL Mountain Frame - Silver, 38-3T</v>
      </c>
      <c r="D422" s="2" t="s">
        <v>883</v>
      </c>
      <c r="E422" s="2" t="s">
        <v>884</v>
      </c>
      <c r="G422">
        <v>1</v>
      </c>
      <c r="H422">
        <f t="shared" ca="1" si="19"/>
        <v>740.07486669970649</v>
      </c>
      <c r="I422">
        <v>34521676</v>
      </c>
      <c r="J422">
        <f t="shared" ca="1" si="20"/>
        <v>800</v>
      </c>
      <c r="R422" t="s">
        <v>699</v>
      </c>
    </row>
    <row r="423" spans="1:18" x14ac:dyDescent="0.35">
      <c r="A423">
        <v>76891213563</v>
      </c>
      <c r="B423" t="str">
        <f t="shared" ca="1" si="18"/>
        <v>Mountain-200 Silver, 38-2T</v>
      </c>
      <c r="D423" s="2" t="s">
        <v>883</v>
      </c>
      <c r="E423" s="2" t="s">
        <v>884</v>
      </c>
      <c r="G423">
        <v>1</v>
      </c>
      <c r="H423">
        <f t="shared" ca="1" si="19"/>
        <v>433.9279992072295</v>
      </c>
      <c r="I423">
        <v>34521677</v>
      </c>
      <c r="J423">
        <f t="shared" ca="1" si="20"/>
        <v>700</v>
      </c>
      <c r="R423" t="s">
        <v>700</v>
      </c>
    </row>
    <row r="424" spans="1:18" x14ac:dyDescent="0.35">
      <c r="A424">
        <v>76891213564</v>
      </c>
      <c r="B424" t="str">
        <f t="shared" ca="1" si="18"/>
        <v>Thin-Jam Lock Nut 12-1T</v>
      </c>
      <c r="D424" s="2" t="s">
        <v>883</v>
      </c>
      <c r="E424" s="2" t="s">
        <v>884</v>
      </c>
      <c r="G424">
        <v>1</v>
      </c>
      <c r="H424">
        <f t="shared" ca="1" si="19"/>
        <v>2954.3426312069478</v>
      </c>
      <c r="I424">
        <v>34521678</v>
      </c>
      <c r="J424">
        <f t="shared" ca="1" si="20"/>
        <v>900</v>
      </c>
      <c r="R424" t="s">
        <v>701</v>
      </c>
    </row>
    <row r="425" spans="1:18" x14ac:dyDescent="0.35">
      <c r="A425">
        <v>76891213565</v>
      </c>
      <c r="B425" t="str">
        <f t="shared" ca="1" si="18"/>
        <v>Steerer-6S</v>
      </c>
      <c r="D425" s="2" t="s">
        <v>883</v>
      </c>
      <c r="E425" s="2" t="s">
        <v>884</v>
      </c>
      <c r="G425">
        <v>1</v>
      </c>
      <c r="H425">
        <f t="shared" ca="1" si="19"/>
        <v>5060.9339224760633</v>
      </c>
      <c r="I425">
        <v>34521679</v>
      </c>
      <c r="J425">
        <f t="shared" ca="1" si="20"/>
        <v>700</v>
      </c>
      <c r="R425" t="s">
        <v>702</v>
      </c>
    </row>
    <row r="426" spans="1:18" x14ac:dyDescent="0.35">
      <c r="A426">
        <v>76891213566</v>
      </c>
      <c r="B426" t="str">
        <f t="shared" ca="1" si="18"/>
        <v>Flat Washer 5-9Z</v>
      </c>
      <c r="D426" s="2" t="s">
        <v>883</v>
      </c>
      <c r="E426" s="2" t="s">
        <v>884</v>
      </c>
      <c r="G426">
        <v>1</v>
      </c>
      <c r="H426">
        <f t="shared" ca="1" si="19"/>
        <v>4496.7840844503189</v>
      </c>
      <c r="I426">
        <v>34521680</v>
      </c>
      <c r="J426">
        <f t="shared" ca="1" si="20"/>
        <v>600</v>
      </c>
      <c r="R426" t="s">
        <v>703</v>
      </c>
    </row>
    <row r="427" spans="1:18" x14ac:dyDescent="0.35">
      <c r="A427">
        <v>76891213567</v>
      </c>
      <c r="B427" t="str">
        <f t="shared" ca="1" si="18"/>
        <v>Blade-10Z</v>
      </c>
      <c r="D427" s="2" t="s">
        <v>883</v>
      </c>
      <c r="E427" s="2" t="s">
        <v>884</v>
      </c>
      <c r="G427">
        <v>1</v>
      </c>
      <c r="H427">
        <f t="shared" ca="1" si="19"/>
        <v>8161.6186808956736</v>
      </c>
      <c r="I427">
        <v>34521681</v>
      </c>
      <c r="J427">
        <f t="shared" ca="1" si="20"/>
        <v>200</v>
      </c>
      <c r="R427" t="s">
        <v>704</v>
      </c>
    </row>
    <row r="428" spans="1:18" x14ac:dyDescent="0.35">
      <c r="A428">
        <v>76891213568</v>
      </c>
      <c r="B428" t="str">
        <f t="shared" ca="1" si="18"/>
        <v>HL Nipple-9Z</v>
      </c>
      <c r="D428" s="2" t="s">
        <v>883</v>
      </c>
      <c r="E428" s="2" t="s">
        <v>884</v>
      </c>
      <c r="G428">
        <v>1</v>
      </c>
      <c r="H428">
        <f t="shared" ca="1" si="19"/>
        <v>7832.221940741756</v>
      </c>
      <c r="I428">
        <v>34521682</v>
      </c>
      <c r="J428">
        <f t="shared" ca="1" si="20"/>
        <v>300</v>
      </c>
      <c r="R428" t="s">
        <v>705</v>
      </c>
    </row>
    <row r="429" spans="1:18" x14ac:dyDescent="0.35">
      <c r="A429">
        <v>76891213569</v>
      </c>
      <c r="B429" t="str">
        <f t="shared" ca="1" si="18"/>
        <v>Touring Rear Wheel-8S</v>
      </c>
      <c r="D429" s="2" t="s">
        <v>883</v>
      </c>
      <c r="E429" s="2" t="s">
        <v>884</v>
      </c>
      <c r="G429">
        <v>1</v>
      </c>
      <c r="H429">
        <f t="shared" ca="1" si="19"/>
        <v>1466.4146247139308</v>
      </c>
      <c r="I429">
        <v>34521683</v>
      </c>
      <c r="J429">
        <f t="shared" ca="1" si="20"/>
        <v>500</v>
      </c>
      <c r="R429" t="s">
        <v>706</v>
      </c>
    </row>
    <row r="430" spans="1:18" x14ac:dyDescent="0.35">
      <c r="A430">
        <v>76891213570</v>
      </c>
      <c r="B430" t="str">
        <f t="shared" ca="1" si="18"/>
        <v>Lock Washer 7-6S</v>
      </c>
      <c r="D430" s="2" t="s">
        <v>883</v>
      </c>
      <c r="E430" s="2" t="s">
        <v>884</v>
      </c>
      <c r="G430">
        <v>1</v>
      </c>
      <c r="H430">
        <f t="shared" ca="1" si="19"/>
        <v>9788.963236721278</v>
      </c>
      <c r="I430">
        <v>34521684</v>
      </c>
      <c r="J430">
        <f t="shared" ca="1" si="20"/>
        <v>300</v>
      </c>
      <c r="R430" t="s">
        <v>707</v>
      </c>
    </row>
    <row r="431" spans="1:18" x14ac:dyDescent="0.35">
      <c r="A431">
        <v>76891213571</v>
      </c>
      <c r="B431" t="str">
        <f t="shared" ca="1" si="18"/>
        <v>Sport-100 Helmet, Black-1T</v>
      </c>
      <c r="D431" s="2" t="s">
        <v>883</v>
      </c>
      <c r="E431" s="2" t="s">
        <v>884</v>
      </c>
      <c r="G431">
        <v>1</v>
      </c>
      <c r="H431">
        <f t="shared" ca="1" si="19"/>
        <v>3575.5287130457696</v>
      </c>
      <c r="I431">
        <v>34521685</v>
      </c>
      <c r="J431">
        <f t="shared" ca="1" si="20"/>
        <v>500</v>
      </c>
      <c r="R431" t="s">
        <v>708</v>
      </c>
    </row>
    <row r="432" spans="1:18" x14ac:dyDescent="0.35">
      <c r="A432">
        <v>76891213572</v>
      </c>
      <c r="B432" t="str">
        <f t="shared" ca="1" si="18"/>
        <v>LL Road Rim-8S</v>
      </c>
      <c r="D432" s="2" t="s">
        <v>883</v>
      </c>
      <c r="E432" s="2" t="s">
        <v>884</v>
      </c>
      <c r="G432">
        <v>1</v>
      </c>
      <c r="H432">
        <f t="shared" ca="1" si="19"/>
        <v>8369.1775258535399</v>
      </c>
      <c r="I432">
        <v>34521686</v>
      </c>
      <c r="J432">
        <f t="shared" ca="1" si="20"/>
        <v>700</v>
      </c>
      <c r="R432" t="s">
        <v>709</v>
      </c>
    </row>
    <row r="433" spans="1:18" x14ac:dyDescent="0.35">
      <c r="A433">
        <v>76891213573</v>
      </c>
      <c r="B433" t="str">
        <f t="shared" ca="1" si="18"/>
        <v>Road-650 Black, 60-1T</v>
      </c>
      <c r="D433" s="2" t="s">
        <v>883</v>
      </c>
      <c r="E433" s="2" t="s">
        <v>884</v>
      </c>
      <c r="G433">
        <v>1</v>
      </c>
      <c r="H433">
        <f t="shared" ca="1" si="19"/>
        <v>6067.131933967592</v>
      </c>
      <c r="I433">
        <v>34521687</v>
      </c>
      <c r="J433">
        <f t="shared" ca="1" si="20"/>
        <v>600</v>
      </c>
      <c r="R433" t="s">
        <v>709</v>
      </c>
    </row>
    <row r="434" spans="1:18" x14ac:dyDescent="0.35">
      <c r="A434">
        <v>76891213574</v>
      </c>
      <c r="B434" t="str">
        <f t="shared" ca="1" si="18"/>
        <v>Reflector-3T</v>
      </c>
      <c r="D434" s="2" t="s">
        <v>883</v>
      </c>
      <c r="E434" s="2" t="s">
        <v>884</v>
      </c>
      <c r="G434">
        <v>1</v>
      </c>
      <c r="H434">
        <f t="shared" ca="1" si="19"/>
        <v>464.77139842259504</v>
      </c>
      <c r="I434">
        <v>34521688</v>
      </c>
      <c r="J434">
        <f t="shared" ca="1" si="20"/>
        <v>200</v>
      </c>
      <c r="R434" t="s">
        <v>710</v>
      </c>
    </row>
    <row r="435" spans="1:18" x14ac:dyDescent="0.35">
      <c r="A435">
        <v>76891213575</v>
      </c>
      <c r="B435" t="str">
        <f t="shared" ca="1" si="18"/>
        <v>HL Road Frame - Red, 44-8S</v>
      </c>
      <c r="D435" s="2" t="s">
        <v>883</v>
      </c>
      <c r="E435" s="2" t="s">
        <v>884</v>
      </c>
      <c r="G435">
        <v>1</v>
      </c>
      <c r="H435">
        <f t="shared" ca="1" si="19"/>
        <v>8506.0862336243208</v>
      </c>
      <c r="I435">
        <v>34521689</v>
      </c>
      <c r="J435">
        <f t="shared" ca="1" si="20"/>
        <v>200</v>
      </c>
      <c r="R435" t="s">
        <v>710</v>
      </c>
    </row>
    <row r="436" spans="1:18" x14ac:dyDescent="0.35">
      <c r="A436">
        <v>76891213576</v>
      </c>
      <c r="B436" t="str">
        <f t="shared" ca="1" si="18"/>
        <v>Hex Nut 3-9Z</v>
      </c>
      <c r="D436" s="2" t="s">
        <v>883</v>
      </c>
      <c r="E436" s="2" t="s">
        <v>884</v>
      </c>
      <c r="G436">
        <v>1</v>
      </c>
      <c r="H436">
        <f t="shared" ca="1" si="19"/>
        <v>8640.0306177993825</v>
      </c>
      <c r="I436">
        <v>34521690</v>
      </c>
      <c r="J436">
        <f t="shared" ca="1" si="20"/>
        <v>200</v>
      </c>
      <c r="R436" t="s">
        <v>711</v>
      </c>
    </row>
    <row r="437" spans="1:18" x14ac:dyDescent="0.35">
      <c r="A437">
        <v>76891213577</v>
      </c>
      <c r="B437" t="str">
        <f t="shared" ca="1" si="18"/>
        <v>Mountain-500 Black, 44-6S</v>
      </c>
      <c r="D437" s="2" t="s">
        <v>883</v>
      </c>
      <c r="E437" s="2" t="s">
        <v>884</v>
      </c>
      <c r="G437">
        <v>1</v>
      </c>
      <c r="H437">
        <f t="shared" ca="1" si="19"/>
        <v>1637.7481636374323</v>
      </c>
      <c r="I437">
        <v>34521691</v>
      </c>
      <c r="J437">
        <f t="shared" ca="1" si="20"/>
        <v>300</v>
      </c>
      <c r="R437" t="s">
        <v>711</v>
      </c>
    </row>
    <row r="438" spans="1:18" x14ac:dyDescent="0.35">
      <c r="A438">
        <v>76891213578</v>
      </c>
      <c r="B438" t="str">
        <f t="shared" ca="1" si="18"/>
        <v>Men's Sports Shorts, S-8S</v>
      </c>
      <c r="D438" s="2" t="s">
        <v>883</v>
      </c>
      <c r="E438" s="2" t="s">
        <v>884</v>
      </c>
      <c r="G438">
        <v>1</v>
      </c>
      <c r="H438">
        <f t="shared" ca="1" si="19"/>
        <v>9231.1246594035256</v>
      </c>
      <c r="I438">
        <v>34521692</v>
      </c>
      <c r="J438">
        <f t="shared" ca="1" si="20"/>
        <v>300</v>
      </c>
      <c r="R438" t="s">
        <v>712</v>
      </c>
    </row>
    <row r="439" spans="1:18" x14ac:dyDescent="0.35">
      <c r="A439">
        <v>76891213579</v>
      </c>
      <c r="B439" t="str">
        <f t="shared" ca="1" si="18"/>
        <v>Touring-2000 Blue, 54-1T</v>
      </c>
      <c r="D439" s="2" t="s">
        <v>883</v>
      </c>
      <c r="E439" s="2" t="s">
        <v>884</v>
      </c>
      <c r="G439">
        <v>1</v>
      </c>
      <c r="H439">
        <f t="shared" ca="1" si="19"/>
        <v>7916.3108134357099</v>
      </c>
      <c r="I439">
        <v>34521693</v>
      </c>
      <c r="J439">
        <f t="shared" ca="1" si="20"/>
        <v>200</v>
      </c>
      <c r="R439" t="s">
        <v>712</v>
      </c>
    </row>
    <row r="440" spans="1:18" x14ac:dyDescent="0.35">
      <c r="A440">
        <v>76891213580</v>
      </c>
      <c r="B440" t="str">
        <f t="shared" ca="1" si="18"/>
        <v>Road-450 Red, 60-2T</v>
      </c>
      <c r="D440" s="2" t="s">
        <v>883</v>
      </c>
      <c r="E440" s="2" t="s">
        <v>884</v>
      </c>
      <c r="G440">
        <v>1</v>
      </c>
      <c r="H440">
        <f t="shared" ca="1" si="19"/>
        <v>5355.6561404349168</v>
      </c>
      <c r="I440">
        <v>34521694</v>
      </c>
      <c r="J440">
        <f t="shared" ca="1" si="20"/>
        <v>700</v>
      </c>
      <c r="R440" t="s">
        <v>713</v>
      </c>
    </row>
    <row r="441" spans="1:18" x14ac:dyDescent="0.35">
      <c r="A441">
        <v>76891213581</v>
      </c>
      <c r="B441" t="str">
        <f t="shared" ca="1" si="18"/>
        <v>Paint - Silver-1T</v>
      </c>
      <c r="D441" s="2" t="s">
        <v>883</v>
      </c>
      <c r="E441" s="2" t="s">
        <v>884</v>
      </c>
      <c r="G441">
        <v>1</v>
      </c>
      <c r="H441">
        <f t="shared" ca="1" si="19"/>
        <v>733.6925503639776</v>
      </c>
      <c r="I441">
        <v>34521695</v>
      </c>
      <c r="J441">
        <f t="shared" ca="1" si="20"/>
        <v>100</v>
      </c>
      <c r="R441" t="s">
        <v>713</v>
      </c>
    </row>
    <row r="442" spans="1:18" x14ac:dyDescent="0.35">
      <c r="A442">
        <v>76891213582</v>
      </c>
      <c r="B442" t="str">
        <f t="shared" ca="1" si="18"/>
        <v>HL Road Frame - Red, 44-1T</v>
      </c>
      <c r="D442" s="2" t="s">
        <v>883</v>
      </c>
      <c r="E442" s="2" t="s">
        <v>884</v>
      </c>
      <c r="G442">
        <v>1</v>
      </c>
      <c r="H442">
        <f t="shared" ca="1" si="19"/>
        <v>8124.1598690113979</v>
      </c>
      <c r="I442">
        <v>34521696</v>
      </c>
      <c r="J442">
        <f t="shared" ca="1" si="20"/>
        <v>700</v>
      </c>
      <c r="R442" t="s">
        <v>714</v>
      </c>
    </row>
    <row r="443" spans="1:18" x14ac:dyDescent="0.35">
      <c r="A443">
        <v>76891213583</v>
      </c>
      <c r="B443" t="str">
        <f t="shared" ca="1" si="18"/>
        <v>Internal Lock Washer 6-3T</v>
      </c>
      <c r="D443" s="2" t="s">
        <v>883</v>
      </c>
      <c r="E443" s="2" t="s">
        <v>884</v>
      </c>
      <c r="G443">
        <v>1</v>
      </c>
      <c r="H443">
        <f t="shared" ca="1" si="19"/>
        <v>6521.760940905634</v>
      </c>
      <c r="I443">
        <v>34521697</v>
      </c>
      <c r="J443">
        <f t="shared" ca="1" si="20"/>
        <v>500</v>
      </c>
      <c r="R443" t="s">
        <v>714</v>
      </c>
    </row>
    <row r="444" spans="1:18" x14ac:dyDescent="0.35">
      <c r="A444">
        <v>76891213584</v>
      </c>
      <c r="B444" t="str">
        <f t="shared" ca="1" si="18"/>
        <v>Cable Lock-10Z</v>
      </c>
      <c r="D444" s="2" t="s">
        <v>883</v>
      </c>
      <c r="E444" s="2" t="s">
        <v>884</v>
      </c>
      <c r="G444">
        <v>1</v>
      </c>
      <c r="H444">
        <f t="shared" ca="1" si="19"/>
        <v>6945.1848902307947</v>
      </c>
      <c r="I444">
        <v>34521698</v>
      </c>
      <c r="J444">
        <f t="shared" ca="1" si="20"/>
        <v>800</v>
      </c>
      <c r="R444" t="s">
        <v>715</v>
      </c>
    </row>
    <row r="445" spans="1:18" x14ac:dyDescent="0.35">
      <c r="A445">
        <v>76891213585</v>
      </c>
      <c r="B445" t="str">
        <f t="shared" ca="1" si="18"/>
        <v>LL Mountain Seat/Saddle-6S</v>
      </c>
      <c r="D445" s="2" t="s">
        <v>883</v>
      </c>
      <c r="E445" s="2" t="s">
        <v>884</v>
      </c>
      <c r="G445">
        <v>1</v>
      </c>
      <c r="H445">
        <f t="shared" ca="1" si="19"/>
        <v>7205.2405986070289</v>
      </c>
      <c r="I445">
        <v>34521699</v>
      </c>
      <c r="J445">
        <f t="shared" ca="1" si="20"/>
        <v>1000</v>
      </c>
      <c r="R445" t="s">
        <v>715</v>
      </c>
    </row>
    <row r="446" spans="1:18" x14ac:dyDescent="0.35">
      <c r="A446">
        <v>76891213586</v>
      </c>
      <c r="B446" t="str">
        <f t="shared" ca="1" si="18"/>
        <v>Road-450 Red, 48-6S</v>
      </c>
      <c r="D446" s="2" t="s">
        <v>883</v>
      </c>
      <c r="E446" s="2" t="s">
        <v>884</v>
      </c>
      <c r="G446">
        <v>1</v>
      </c>
      <c r="H446">
        <f t="shared" ca="1" si="19"/>
        <v>8795.5935082912856</v>
      </c>
      <c r="I446">
        <v>34521700</v>
      </c>
      <c r="J446">
        <f t="shared" ca="1" si="20"/>
        <v>200</v>
      </c>
      <c r="R446" t="s">
        <v>716</v>
      </c>
    </row>
    <row r="447" spans="1:18" x14ac:dyDescent="0.35">
      <c r="A447">
        <v>76891213587</v>
      </c>
      <c r="B447" t="str">
        <f t="shared" ca="1" si="18"/>
        <v>LL Mountain Frame - Black, 44-2T</v>
      </c>
      <c r="D447" s="2" t="s">
        <v>883</v>
      </c>
      <c r="E447" s="2" t="s">
        <v>884</v>
      </c>
      <c r="G447">
        <v>1</v>
      </c>
      <c r="H447">
        <f t="shared" ca="1" si="19"/>
        <v>402.21981378530177</v>
      </c>
      <c r="I447">
        <v>34521701</v>
      </c>
      <c r="J447">
        <f t="shared" ca="1" si="20"/>
        <v>300</v>
      </c>
      <c r="R447" t="s">
        <v>716</v>
      </c>
    </row>
    <row r="448" spans="1:18" x14ac:dyDescent="0.35">
      <c r="A448">
        <v>76891213588</v>
      </c>
      <c r="B448" t="str">
        <f t="shared" ca="1" si="18"/>
        <v>Seat Post-6S</v>
      </c>
      <c r="D448" s="2" t="s">
        <v>883</v>
      </c>
      <c r="E448" s="2" t="s">
        <v>884</v>
      </c>
      <c r="G448">
        <v>1</v>
      </c>
      <c r="H448">
        <f t="shared" ca="1" si="19"/>
        <v>8034.7750134766238</v>
      </c>
      <c r="I448">
        <v>34521702</v>
      </c>
      <c r="J448">
        <f t="shared" ca="1" si="20"/>
        <v>200</v>
      </c>
      <c r="R448" t="s">
        <v>717</v>
      </c>
    </row>
    <row r="449" spans="1:18" x14ac:dyDescent="0.35">
      <c r="A449">
        <v>76891213589</v>
      </c>
      <c r="B449" t="str">
        <f t="shared" ca="1" si="18"/>
        <v>Men's Sports Shorts, S-1T</v>
      </c>
      <c r="D449" s="2" t="s">
        <v>883</v>
      </c>
      <c r="E449" s="2" t="s">
        <v>884</v>
      </c>
      <c r="G449">
        <v>1</v>
      </c>
      <c r="H449">
        <f t="shared" ca="1" si="19"/>
        <v>3128.167531064591</v>
      </c>
      <c r="I449">
        <v>34521703</v>
      </c>
      <c r="J449">
        <f t="shared" ca="1" si="20"/>
        <v>900</v>
      </c>
      <c r="R449" t="s">
        <v>718</v>
      </c>
    </row>
    <row r="450" spans="1:18" x14ac:dyDescent="0.35">
      <c r="A450">
        <v>76891213590</v>
      </c>
      <c r="B450" t="str">
        <f t="shared" ref="B450:B508" ca="1" si="21">INDEX($R$4:$R$609,RANDBETWEEN(1,606))&amp;"-"&amp;INDEX($S$4:$S$10,RANDBETWEEN(1,7))</f>
        <v>HL Touring Frame - Yellow, 50-1T</v>
      </c>
      <c r="D450" s="2" t="s">
        <v>883</v>
      </c>
      <c r="E450" s="2" t="s">
        <v>884</v>
      </c>
      <c r="G450">
        <v>1</v>
      </c>
      <c r="H450">
        <f t="shared" ca="1" si="19"/>
        <v>7917.0484239555426</v>
      </c>
      <c r="I450">
        <v>34521704</v>
      </c>
      <c r="J450">
        <f t="shared" ca="1" si="20"/>
        <v>200</v>
      </c>
      <c r="R450" t="s">
        <v>719</v>
      </c>
    </row>
    <row r="451" spans="1:18" x14ac:dyDescent="0.35">
      <c r="A451">
        <v>76891213591</v>
      </c>
      <c r="B451" t="str">
        <f t="shared" ca="1" si="21"/>
        <v>Classic Vest, L-10Z</v>
      </c>
      <c r="D451" s="2" t="s">
        <v>883</v>
      </c>
      <c r="E451" s="2" t="s">
        <v>884</v>
      </c>
      <c r="G451">
        <v>1</v>
      </c>
      <c r="H451">
        <f t="shared" ref="H451:H508" ca="1" si="22">RANDBETWEEN(100,10000)+RAND()</f>
        <v>6944.0526942245015</v>
      </c>
      <c r="I451">
        <v>34521705</v>
      </c>
      <c r="J451">
        <f t="shared" ref="J451:J508" ca="1" si="23">INDEX($O$3:$O$12,RANDBETWEEN(1,10))</f>
        <v>700</v>
      </c>
      <c r="R451" t="s">
        <v>720</v>
      </c>
    </row>
    <row r="452" spans="1:18" x14ac:dyDescent="0.35">
      <c r="A452">
        <v>76891213592</v>
      </c>
      <c r="B452" t="str">
        <f t="shared" ca="1" si="21"/>
        <v>Thin-Jam Lock Nut 8-3T</v>
      </c>
      <c r="D452" s="2" t="s">
        <v>883</v>
      </c>
      <c r="E452" s="2" t="s">
        <v>884</v>
      </c>
      <c r="G452">
        <v>1</v>
      </c>
      <c r="H452">
        <f t="shared" ca="1" si="22"/>
        <v>4470.4135541857659</v>
      </c>
      <c r="I452">
        <v>34521706</v>
      </c>
      <c r="J452">
        <f t="shared" ca="1" si="23"/>
        <v>100</v>
      </c>
      <c r="R452" t="s">
        <v>721</v>
      </c>
    </row>
    <row r="453" spans="1:18" x14ac:dyDescent="0.35">
      <c r="A453">
        <v>76891213593</v>
      </c>
      <c r="B453" t="str">
        <f t="shared" ca="1" si="21"/>
        <v>LL Road Frame - Red, 58-8S</v>
      </c>
      <c r="D453" s="2" t="s">
        <v>883</v>
      </c>
      <c r="E453" s="2" t="s">
        <v>884</v>
      </c>
      <c r="G453">
        <v>1</v>
      </c>
      <c r="H453">
        <f t="shared" ca="1" si="22"/>
        <v>2737.5203426229455</v>
      </c>
      <c r="I453">
        <v>34521707</v>
      </c>
      <c r="J453">
        <f t="shared" ca="1" si="23"/>
        <v>400</v>
      </c>
      <c r="R453" t="s">
        <v>722</v>
      </c>
    </row>
    <row r="454" spans="1:18" x14ac:dyDescent="0.35">
      <c r="A454">
        <v>76891213594</v>
      </c>
      <c r="B454" t="str">
        <f t="shared" ca="1" si="21"/>
        <v>Lock Nut 8-1T</v>
      </c>
      <c r="D454" s="2" t="s">
        <v>883</v>
      </c>
      <c r="E454" s="2" t="s">
        <v>884</v>
      </c>
      <c r="G454">
        <v>1</v>
      </c>
      <c r="H454">
        <f t="shared" ca="1" si="22"/>
        <v>2771.4029436005667</v>
      </c>
      <c r="I454">
        <v>34521708</v>
      </c>
      <c r="J454">
        <f t="shared" ca="1" si="23"/>
        <v>100</v>
      </c>
      <c r="R454" t="s">
        <v>723</v>
      </c>
    </row>
    <row r="455" spans="1:18" x14ac:dyDescent="0.35">
      <c r="A455">
        <v>76891213595</v>
      </c>
      <c r="B455" t="str">
        <f t="shared" ca="1" si="21"/>
        <v>HL Road Frame - Red, 52-8S</v>
      </c>
      <c r="D455" s="2" t="s">
        <v>883</v>
      </c>
      <c r="E455" s="2" t="s">
        <v>884</v>
      </c>
      <c r="G455">
        <v>1</v>
      </c>
      <c r="H455">
        <f t="shared" ca="1" si="22"/>
        <v>2658.4140040926222</v>
      </c>
      <c r="I455">
        <v>34521709</v>
      </c>
      <c r="J455">
        <f t="shared" ca="1" si="23"/>
        <v>900</v>
      </c>
      <c r="R455" t="s">
        <v>724</v>
      </c>
    </row>
    <row r="456" spans="1:18" x14ac:dyDescent="0.35">
      <c r="A456">
        <v>76891213596</v>
      </c>
      <c r="B456" t="str">
        <f t="shared" ca="1" si="21"/>
        <v>Thin-Jam Lock Nut 8-10Z</v>
      </c>
      <c r="D456" s="2" t="s">
        <v>883</v>
      </c>
      <c r="E456" s="2" t="s">
        <v>884</v>
      </c>
      <c r="G456">
        <v>1</v>
      </c>
      <c r="H456">
        <f t="shared" ca="1" si="22"/>
        <v>4771.1199477066812</v>
      </c>
      <c r="I456">
        <v>34521710</v>
      </c>
      <c r="J456">
        <f t="shared" ca="1" si="23"/>
        <v>500</v>
      </c>
      <c r="R456" t="s">
        <v>725</v>
      </c>
    </row>
    <row r="457" spans="1:18" x14ac:dyDescent="0.35">
      <c r="A457">
        <v>76891213597</v>
      </c>
      <c r="B457" t="str">
        <f t="shared" ca="1" si="21"/>
        <v>Mountain-500 Silver, 44-10Z</v>
      </c>
      <c r="D457" s="2" t="s">
        <v>883</v>
      </c>
      <c r="E457" s="2" t="s">
        <v>884</v>
      </c>
      <c r="G457">
        <v>1</v>
      </c>
      <c r="H457">
        <f t="shared" ca="1" si="22"/>
        <v>6407.6591066993278</v>
      </c>
      <c r="I457">
        <v>34521711</v>
      </c>
      <c r="J457">
        <f t="shared" ca="1" si="23"/>
        <v>800</v>
      </c>
      <c r="R457" t="s">
        <v>726</v>
      </c>
    </row>
    <row r="458" spans="1:18" x14ac:dyDescent="0.35">
      <c r="A458">
        <v>76891213598</v>
      </c>
      <c r="B458" t="str">
        <f t="shared" ca="1" si="21"/>
        <v>HL Hub-8S</v>
      </c>
      <c r="D458" s="2" t="s">
        <v>883</v>
      </c>
      <c r="E458" s="2" t="s">
        <v>884</v>
      </c>
      <c r="G458">
        <v>1</v>
      </c>
      <c r="H458">
        <f t="shared" ca="1" si="22"/>
        <v>3209.0538132389734</v>
      </c>
      <c r="I458">
        <v>34521712</v>
      </c>
      <c r="J458">
        <f t="shared" ca="1" si="23"/>
        <v>400</v>
      </c>
      <c r="R458" t="s">
        <v>727</v>
      </c>
    </row>
    <row r="459" spans="1:18" x14ac:dyDescent="0.35">
      <c r="A459">
        <v>76891213599</v>
      </c>
      <c r="B459" t="str">
        <f t="shared" ca="1" si="21"/>
        <v>HL Mountain Pedal-6S</v>
      </c>
      <c r="D459" s="2" t="s">
        <v>883</v>
      </c>
      <c r="E459" s="2" t="s">
        <v>884</v>
      </c>
      <c r="G459">
        <v>1</v>
      </c>
      <c r="H459">
        <f t="shared" ca="1" si="22"/>
        <v>5445.9165158335209</v>
      </c>
      <c r="I459">
        <v>34521713</v>
      </c>
      <c r="J459">
        <f t="shared" ca="1" si="23"/>
        <v>200</v>
      </c>
      <c r="R459" t="s">
        <v>728</v>
      </c>
    </row>
    <row r="460" spans="1:18" x14ac:dyDescent="0.35">
      <c r="A460">
        <v>76891213600</v>
      </c>
      <c r="B460" t="str">
        <f t="shared" ca="1" si="21"/>
        <v>HL Hub-2T</v>
      </c>
      <c r="D460" s="2" t="s">
        <v>883</v>
      </c>
      <c r="E460" s="2" t="s">
        <v>884</v>
      </c>
      <c r="G460">
        <v>1</v>
      </c>
      <c r="H460">
        <f t="shared" ca="1" si="22"/>
        <v>7451.9049034169639</v>
      </c>
      <c r="I460">
        <v>34521714</v>
      </c>
      <c r="J460">
        <f t="shared" ca="1" si="23"/>
        <v>600</v>
      </c>
      <c r="R460" t="s">
        <v>729</v>
      </c>
    </row>
    <row r="461" spans="1:18" x14ac:dyDescent="0.35">
      <c r="A461">
        <v>76891213601</v>
      </c>
      <c r="B461" t="str">
        <f t="shared" ca="1" si="21"/>
        <v>ML Mountain Frame-W - Silver, 42-6S</v>
      </c>
      <c r="D461" s="2" t="s">
        <v>883</v>
      </c>
      <c r="E461" s="2" t="s">
        <v>884</v>
      </c>
      <c r="G461">
        <v>1</v>
      </c>
      <c r="H461">
        <f t="shared" ca="1" si="22"/>
        <v>3260.9614068008614</v>
      </c>
      <c r="I461">
        <v>34521715</v>
      </c>
      <c r="J461">
        <f t="shared" ca="1" si="23"/>
        <v>600</v>
      </c>
      <c r="R461" t="s">
        <v>730</v>
      </c>
    </row>
    <row r="462" spans="1:18" x14ac:dyDescent="0.35">
      <c r="A462">
        <v>76891213602</v>
      </c>
      <c r="B462" t="str">
        <f t="shared" ca="1" si="21"/>
        <v>HL Mountain Frame - Black, 46-2T</v>
      </c>
      <c r="D462" s="2" t="s">
        <v>883</v>
      </c>
      <c r="E462" s="2" t="s">
        <v>884</v>
      </c>
      <c r="G462">
        <v>1</v>
      </c>
      <c r="H462">
        <f t="shared" ca="1" si="22"/>
        <v>5855.41619034215</v>
      </c>
      <c r="I462">
        <v>34521716</v>
      </c>
      <c r="J462">
        <f t="shared" ca="1" si="23"/>
        <v>700</v>
      </c>
      <c r="R462" t="s">
        <v>731</v>
      </c>
    </row>
    <row r="463" spans="1:18" x14ac:dyDescent="0.35">
      <c r="A463">
        <v>76891213603</v>
      </c>
      <c r="B463" t="str">
        <f t="shared" ca="1" si="21"/>
        <v>HL Crankset-1T</v>
      </c>
      <c r="D463" s="2" t="s">
        <v>883</v>
      </c>
      <c r="E463" s="2" t="s">
        <v>884</v>
      </c>
      <c r="G463">
        <v>1</v>
      </c>
      <c r="H463">
        <f t="shared" ca="1" si="22"/>
        <v>4831.6381960821909</v>
      </c>
      <c r="I463">
        <v>34521717</v>
      </c>
      <c r="J463">
        <f t="shared" ca="1" si="23"/>
        <v>500</v>
      </c>
      <c r="R463" t="s">
        <v>732</v>
      </c>
    </row>
    <row r="464" spans="1:18" x14ac:dyDescent="0.35">
      <c r="A464">
        <v>76891213604</v>
      </c>
      <c r="B464" t="str">
        <f t="shared" ca="1" si="21"/>
        <v>LL Road Frame - Black, 52-10Z</v>
      </c>
      <c r="D464" s="2" t="s">
        <v>883</v>
      </c>
      <c r="E464" s="2" t="s">
        <v>884</v>
      </c>
      <c r="G464">
        <v>1</v>
      </c>
      <c r="H464">
        <f t="shared" ca="1" si="22"/>
        <v>6398.1672211601835</v>
      </c>
      <c r="I464">
        <v>34521718</v>
      </c>
      <c r="J464">
        <f t="shared" ca="1" si="23"/>
        <v>1000</v>
      </c>
      <c r="R464" t="s">
        <v>733</v>
      </c>
    </row>
    <row r="465" spans="1:18" x14ac:dyDescent="0.35">
      <c r="A465">
        <v>76891213605</v>
      </c>
      <c r="B465" t="str">
        <f t="shared" ca="1" si="21"/>
        <v>Mountain-200 Silver, 42-3T</v>
      </c>
      <c r="D465" s="2" t="s">
        <v>883</v>
      </c>
      <c r="E465" s="2" t="s">
        <v>884</v>
      </c>
      <c r="G465">
        <v>1</v>
      </c>
      <c r="H465">
        <f t="shared" ca="1" si="22"/>
        <v>4769.9072072228973</v>
      </c>
      <c r="I465">
        <v>34521719</v>
      </c>
      <c r="J465">
        <f t="shared" ca="1" si="23"/>
        <v>600</v>
      </c>
      <c r="R465" t="s">
        <v>734</v>
      </c>
    </row>
    <row r="466" spans="1:18" x14ac:dyDescent="0.35">
      <c r="A466">
        <v>76891213606</v>
      </c>
      <c r="B466" t="str">
        <f t="shared" ca="1" si="21"/>
        <v>LL Mountain Frame - Black, 52-2T</v>
      </c>
      <c r="D466" s="2" t="s">
        <v>883</v>
      </c>
      <c r="E466" s="2" t="s">
        <v>884</v>
      </c>
      <c r="G466">
        <v>1</v>
      </c>
      <c r="H466">
        <f t="shared" ca="1" si="22"/>
        <v>2599.1188743033085</v>
      </c>
      <c r="I466">
        <v>34521720</v>
      </c>
      <c r="J466">
        <f t="shared" ca="1" si="23"/>
        <v>300</v>
      </c>
      <c r="R466" t="s">
        <v>734</v>
      </c>
    </row>
    <row r="467" spans="1:18" x14ac:dyDescent="0.35">
      <c r="A467">
        <v>76891213607</v>
      </c>
      <c r="B467" t="str">
        <f t="shared" ca="1" si="21"/>
        <v>ML Road Frame-W - Yellow, 48-1T</v>
      </c>
      <c r="D467" s="2" t="s">
        <v>883</v>
      </c>
      <c r="E467" s="2" t="s">
        <v>884</v>
      </c>
      <c r="G467">
        <v>1</v>
      </c>
      <c r="H467">
        <f t="shared" ca="1" si="22"/>
        <v>2128.5929882153723</v>
      </c>
      <c r="I467">
        <v>34521721</v>
      </c>
      <c r="J467">
        <f t="shared" ca="1" si="23"/>
        <v>1000</v>
      </c>
      <c r="R467" t="s">
        <v>735</v>
      </c>
    </row>
    <row r="468" spans="1:18" x14ac:dyDescent="0.35">
      <c r="A468">
        <v>76891213608</v>
      </c>
      <c r="B468" t="str">
        <f t="shared" ca="1" si="21"/>
        <v>HL Mountain Frame - Black, 46-9Z</v>
      </c>
      <c r="D468" s="2" t="s">
        <v>883</v>
      </c>
      <c r="E468" s="2" t="s">
        <v>884</v>
      </c>
      <c r="G468">
        <v>1</v>
      </c>
      <c r="H468">
        <f t="shared" ca="1" si="22"/>
        <v>6891.3132509062052</v>
      </c>
      <c r="I468">
        <v>34521722</v>
      </c>
      <c r="J468">
        <f t="shared" ca="1" si="23"/>
        <v>600</v>
      </c>
      <c r="R468" t="s">
        <v>735</v>
      </c>
    </row>
    <row r="469" spans="1:18" x14ac:dyDescent="0.35">
      <c r="A469">
        <v>76891213609</v>
      </c>
      <c r="B469" t="str">
        <f t="shared" ca="1" si="21"/>
        <v>LL Mountain Seat/Saddle-9Z</v>
      </c>
      <c r="D469" s="2" t="s">
        <v>883</v>
      </c>
      <c r="E469" s="2" t="s">
        <v>884</v>
      </c>
      <c r="G469">
        <v>1</v>
      </c>
      <c r="H469">
        <f t="shared" ca="1" si="22"/>
        <v>9297.028903944276</v>
      </c>
      <c r="I469">
        <v>34521723</v>
      </c>
      <c r="J469">
        <f t="shared" ca="1" si="23"/>
        <v>700</v>
      </c>
      <c r="R469" t="s">
        <v>736</v>
      </c>
    </row>
    <row r="470" spans="1:18" x14ac:dyDescent="0.35">
      <c r="A470">
        <v>76891213610</v>
      </c>
      <c r="B470" t="str">
        <f t="shared" ca="1" si="21"/>
        <v>Road-650 Red, 62-1T</v>
      </c>
      <c r="D470" s="2" t="s">
        <v>883</v>
      </c>
      <c r="E470" s="2" t="s">
        <v>884</v>
      </c>
      <c r="G470">
        <v>1</v>
      </c>
      <c r="H470">
        <f t="shared" ca="1" si="22"/>
        <v>9496.0640582896649</v>
      </c>
      <c r="I470">
        <v>34521724</v>
      </c>
      <c r="J470">
        <f t="shared" ca="1" si="23"/>
        <v>300</v>
      </c>
      <c r="R470" t="s">
        <v>736</v>
      </c>
    </row>
    <row r="471" spans="1:18" x14ac:dyDescent="0.35">
      <c r="A471">
        <v>76891213611</v>
      </c>
      <c r="B471" t="str">
        <f t="shared" ca="1" si="21"/>
        <v>HL Road Rear Wheel-3T</v>
      </c>
      <c r="D471" s="2" t="s">
        <v>883</v>
      </c>
      <c r="E471" s="2" t="s">
        <v>884</v>
      </c>
      <c r="G471">
        <v>1</v>
      </c>
      <c r="H471">
        <f t="shared" ca="1" si="22"/>
        <v>4928.5850256166741</v>
      </c>
      <c r="I471">
        <v>34521725</v>
      </c>
      <c r="J471">
        <f t="shared" ca="1" si="23"/>
        <v>700</v>
      </c>
      <c r="R471" t="s">
        <v>737</v>
      </c>
    </row>
    <row r="472" spans="1:18" x14ac:dyDescent="0.35">
      <c r="A472">
        <v>76891213612</v>
      </c>
      <c r="B472" t="str">
        <f t="shared" ca="1" si="21"/>
        <v>Road-150 Red, 62-9Z</v>
      </c>
      <c r="D472" s="2" t="s">
        <v>883</v>
      </c>
      <c r="E472" s="2" t="s">
        <v>884</v>
      </c>
      <c r="G472">
        <v>1</v>
      </c>
      <c r="H472">
        <f t="shared" ca="1" si="22"/>
        <v>7526.7928414753633</v>
      </c>
      <c r="I472">
        <v>34521726</v>
      </c>
      <c r="J472">
        <f t="shared" ca="1" si="23"/>
        <v>800</v>
      </c>
      <c r="R472" t="s">
        <v>738</v>
      </c>
    </row>
    <row r="473" spans="1:18" x14ac:dyDescent="0.35">
      <c r="A473">
        <v>76891213613</v>
      </c>
      <c r="B473" t="str">
        <f t="shared" ca="1" si="21"/>
        <v>ML Road Frame-W - Yellow, 40-6S</v>
      </c>
      <c r="D473" s="2" t="s">
        <v>883</v>
      </c>
      <c r="E473" s="2" t="s">
        <v>884</v>
      </c>
      <c r="G473">
        <v>1</v>
      </c>
      <c r="H473">
        <f t="shared" ca="1" si="22"/>
        <v>6056.8631163138916</v>
      </c>
      <c r="I473">
        <v>34521727</v>
      </c>
      <c r="J473">
        <f t="shared" ca="1" si="23"/>
        <v>800</v>
      </c>
      <c r="R473" t="s">
        <v>739</v>
      </c>
    </row>
    <row r="474" spans="1:18" x14ac:dyDescent="0.35">
      <c r="A474">
        <v>76891213614</v>
      </c>
      <c r="B474" t="str">
        <f t="shared" ca="1" si="21"/>
        <v>Lock Nut 12-8S</v>
      </c>
      <c r="D474" s="2" t="s">
        <v>883</v>
      </c>
      <c r="E474" s="2" t="s">
        <v>884</v>
      </c>
      <c r="G474">
        <v>1</v>
      </c>
      <c r="H474">
        <f t="shared" ca="1" si="22"/>
        <v>9839.139054816611</v>
      </c>
      <c r="I474">
        <v>34521728</v>
      </c>
      <c r="J474">
        <f t="shared" ca="1" si="23"/>
        <v>300</v>
      </c>
      <c r="R474" t="s">
        <v>740</v>
      </c>
    </row>
    <row r="475" spans="1:18" x14ac:dyDescent="0.35">
      <c r="A475">
        <v>76891213615</v>
      </c>
      <c r="B475" t="str">
        <f t="shared" ca="1" si="21"/>
        <v>Long-Sleeve Logo Jersey, M-10Z</v>
      </c>
      <c r="D475" s="2" t="s">
        <v>883</v>
      </c>
      <c r="E475" s="2" t="s">
        <v>884</v>
      </c>
      <c r="G475">
        <v>1</v>
      </c>
      <c r="H475">
        <f t="shared" ca="1" si="22"/>
        <v>8114.5563501764591</v>
      </c>
      <c r="I475">
        <v>34521729</v>
      </c>
      <c r="J475">
        <f t="shared" ca="1" si="23"/>
        <v>700</v>
      </c>
      <c r="R475" t="s">
        <v>741</v>
      </c>
    </row>
    <row r="476" spans="1:18" x14ac:dyDescent="0.35">
      <c r="A476">
        <v>76891213616</v>
      </c>
      <c r="B476" t="str">
        <f t="shared" ca="1" si="21"/>
        <v>Mountain-400-W Silver, 46-10Z</v>
      </c>
      <c r="D476" s="2" t="s">
        <v>883</v>
      </c>
      <c r="E476" s="2" t="s">
        <v>884</v>
      </c>
      <c r="G476">
        <v>1</v>
      </c>
      <c r="H476">
        <f t="shared" ca="1" si="22"/>
        <v>4776.4116895077213</v>
      </c>
      <c r="I476">
        <v>34521730</v>
      </c>
      <c r="J476">
        <f t="shared" ca="1" si="23"/>
        <v>600</v>
      </c>
      <c r="R476" t="s">
        <v>742</v>
      </c>
    </row>
    <row r="477" spans="1:18" x14ac:dyDescent="0.35">
      <c r="A477">
        <v>76891213617</v>
      </c>
      <c r="B477" t="str">
        <f t="shared" ca="1" si="21"/>
        <v>LL Road Frame - Red, 48-9Z</v>
      </c>
      <c r="D477" s="2" t="s">
        <v>883</v>
      </c>
      <c r="E477" s="2" t="s">
        <v>884</v>
      </c>
      <c r="G477">
        <v>1</v>
      </c>
      <c r="H477">
        <f t="shared" ca="1" si="22"/>
        <v>9826.6313103954708</v>
      </c>
      <c r="I477">
        <v>34521731</v>
      </c>
      <c r="J477">
        <f t="shared" ca="1" si="23"/>
        <v>400</v>
      </c>
      <c r="R477" t="s">
        <v>743</v>
      </c>
    </row>
    <row r="478" spans="1:18" x14ac:dyDescent="0.35">
      <c r="A478">
        <v>76891213618</v>
      </c>
      <c r="B478" t="str">
        <f t="shared" ca="1" si="21"/>
        <v>Racing Socks, M-10Z</v>
      </c>
      <c r="D478" s="2" t="s">
        <v>883</v>
      </c>
      <c r="E478" s="2" t="s">
        <v>884</v>
      </c>
      <c r="G478">
        <v>1</v>
      </c>
      <c r="H478">
        <f t="shared" ca="1" si="22"/>
        <v>3216.4328612514669</v>
      </c>
      <c r="I478">
        <v>34521732</v>
      </c>
      <c r="J478">
        <f t="shared" ca="1" si="23"/>
        <v>700</v>
      </c>
      <c r="R478" t="s">
        <v>744</v>
      </c>
    </row>
    <row r="479" spans="1:18" x14ac:dyDescent="0.35">
      <c r="A479">
        <v>76891213619</v>
      </c>
      <c r="B479" t="str">
        <f t="shared" ca="1" si="21"/>
        <v>ML Road Frame - Red, 44-9Z</v>
      </c>
      <c r="D479" s="2" t="s">
        <v>883</v>
      </c>
      <c r="E479" s="2" t="s">
        <v>884</v>
      </c>
      <c r="G479">
        <v>1</v>
      </c>
      <c r="H479">
        <f t="shared" ca="1" si="22"/>
        <v>1441.1583775333718</v>
      </c>
      <c r="I479">
        <v>34521733</v>
      </c>
      <c r="J479">
        <f t="shared" ca="1" si="23"/>
        <v>600</v>
      </c>
      <c r="R479" t="s">
        <v>745</v>
      </c>
    </row>
    <row r="480" spans="1:18" x14ac:dyDescent="0.35">
      <c r="A480">
        <v>76891213620</v>
      </c>
      <c r="B480" t="str">
        <f t="shared" ca="1" si="21"/>
        <v>HL Mountain Frame - Silver, 46-9Z</v>
      </c>
      <c r="D480" s="2" t="s">
        <v>883</v>
      </c>
      <c r="E480" s="2" t="s">
        <v>884</v>
      </c>
      <c r="G480">
        <v>1</v>
      </c>
      <c r="H480">
        <f t="shared" ca="1" si="22"/>
        <v>261.77946432896999</v>
      </c>
      <c r="I480">
        <v>34521734</v>
      </c>
      <c r="J480">
        <f t="shared" ca="1" si="23"/>
        <v>1000</v>
      </c>
      <c r="R480" t="s">
        <v>746</v>
      </c>
    </row>
    <row r="481" spans="1:18" x14ac:dyDescent="0.35">
      <c r="A481">
        <v>76891213621</v>
      </c>
      <c r="B481" t="str">
        <f t="shared" ca="1" si="21"/>
        <v>Metal Sheet 7-3T</v>
      </c>
      <c r="D481" s="2" t="s">
        <v>883</v>
      </c>
      <c r="E481" s="2" t="s">
        <v>884</v>
      </c>
      <c r="G481">
        <v>1</v>
      </c>
      <c r="H481">
        <f t="shared" ca="1" si="22"/>
        <v>383.23093758483282</v>
      </c>
      <c r="I481">
        <v>34521735</v>
      </c>
      <c r="J481">
        <f t="shared" ca="1" si="23"/>
        <v>800</v>
      </c>
      <c r="R481" t="s">
        <v>747</v>
      </c>
    </row>
    <row r="482" spans="1:18" x14ac:dyDescent="0.35">
      <c r="A482">
        <v>76891213622</v>
      </c>
      <c r="B482" t="str">
        <f t="shared" ca="1" si="21"/>
        <v>LL Road Frame - Red, 48-2T</v>
      </c>
      <c r="D482" s="2" t="s">
        <v>883</v>
      </c>
      <c r="E482" s="2" t="s">
        <v>884</v>
      </c>
      <c r="G482">
        <v>1</v>
      </c>
      <c r="H482">
        <f t="shared" ca="1" si="22"/>
        <v>7391.767855280551</v>
      </c>
      <c r="I482">
        <v>34521736</v>
      </c>
      <c r="J482">
        <f t="shared" ca="1" si="23"/>
        <v>600</v>
      </c>
      <c r="R482" t="s">
        <v>748</v>
      </c>
    </row>
    <row r="483" spans="1:18" x14ac:dyDescent="0.35">
      <c r="A483">
        <v>76891213623</v>
      </c>
      <c r="B483" t="str">
        <f t="shared" ca="1" si="21"/>
        <v>ML Mountain Frame - Black, 48-3T</v>
      </c>
      <c r="D483" s="2" t="s">
        <v>883</v>
      </c>
      <c r="E483" s="2" t="s">
        <v>884</v>
      </c>
      <c r="G483">
        <v>1</v>
      </c>
      <c r="H483">
        <f t="shared" ca="1" si="22"/>
        <v>4363.5889927044145</v>
      </c>
      <c r="I483">
        <v>34521737</v>
      </c>
      <c r="J483">
        <f t="shared" ca="1" si="23"/>
        <v>1000</v>
      </c>
      <c r="R483" t="s">
        <v>749</v>
      </c>
    </row>
    <row r="484" spans="1:18" x14ac:dyDescent="0.35">
      <c r="A484">
        <v>76891213624</v>
      </c>
      <c r="B484" t="str">
        <f t="shared" ca="1" si="21"/>
        <v>Road-550-W Yellow, 40-1T</v>
      </c>
      <c r="D484" s="2" t="s">
        <v>883</v>
      </c>
      <c r="E484" s="2" t="s">
        <v>884</v>
      </c>
      <c r="G484">
        <v>1</v>
      </c>
      <c r="H484">
        <f t="shared" ca="1" si="22"/>
        <v>4975.1506502302827</v>
      </c>
      <c r="I484">
        <v>34521738</v>
      </c>
      <c r="J484">
        <f t="shared" ca="1" si="23"/>
        <v>600</v>
      </c>
      <c r="R484" t="s">
        <v>750</v>
      </c>
    </row>
    <row r="485" spans="1:18" x14ac:dyDescent="0.35">
      <c r="A485">
        <v>76891213625</v>
      </c>
      <c r="B485" t="str">
        <f t="shared" ca="1" si="21"/>
        <v>ML Road Handlebars-6S</v>
      </c>
      <c r="D485" s="2" t="s">
        <v>883</v>
      </c>
      <c r="E485" s="2" t="s">
        <v>884</v>
      </c>
      <c r="G485">
        <v>1</v>
      </c>
      <c r="H485">
        <f t="shared" ca="1" si="22"/>
        <v>197.86735476950216</v>
      </c>
      <c r="I485">
        <v>34521739</v>
      </c>
      <c r="J485">
        <f t="shared" ca="1" si="23"/>
        <v>400</v>
      </c>
      <c r="R485" t="s">
        <v>751</v>
      </c>
    </row>
    <row r="486" spans="1:18" x14ac:dyDescent="0.35">
      <c r="A486">
        <v>76891213626</v>
      </c>
      <c r="B486" t="str">
        <f t="shared" ca="1" si="21"/>
        <v>Lock Nut 15-1T</v>
      </c>
      <c r="D486" s="2" t="s">
        <v>883</v>
      </c>
      <c r="E486" s="2" t="s">
        <v>884</v>
      </c>
      <c r="G486">
        <v>1</v>
      </c>
      <c r="H486">
        <f t="shared" ca="1" si="22"/>
        <v>5785.3222518353095</v>
      </c>
      <c r="I486">
        <v>34521740</v>
      </c>
      <c r="J486">
        <f t="shared" ca="1" si="23"/>
        <v>200</v>
      </c>
      <c r="R486" t="s">
        <v>752</v>
      </c>
    </row>
    <row r="487" spans="1:18" x14ac:dyDescent="0.35">
      <c r="A487">
        <v>76891213627</v>
      </c>
      <c r="B487" t="str">
        <f t="shared" ca="1" si="21"/>
        <v>HL Mountain Rear Wheel-9Z</v>
      </c>
      <c r="D487" s="2" t="s">
        <v>883</v>
      </c>
      <c r="E487" s="2" t="s">
        <v>884</v>
      </c>
      <c r="G487">
        <v>1</v>
      </c>
      <c r="H487">
        <f t="shared" ca="1" si="22"/>
        <v>7533.0368434425118</v>
      </c>
      <c r="I487">
        <v>34521741</v>
      </c>
      <c r="J487">
        <f t="shared" ca="1" si="23"/>
        <v>200</v>
      </c>
      <c r="R487" t="s">
        <v>753</v>
      </c>
    </row>
    <row r="488" spans="1:18" x14ac:dyDescent="0.35">
      <c r="A488">
        <v>76891213628</v>
      </c>
      <c r="B488" t="str">
        <f t="shared" ca="1" si="21"/>
        <v>ML Road Rim-1T</v>
      </c>
      <c r="D488" s="2" t="s">
        <v>883</v>
      </c>
      <c r="E488" s="2" t="s">
        <v>884</v>
      </c>
      <c r="G488">
        <v>1</v>
      </c>
      <c r="H488">
        <f t="shared" ca="1" si="22"/>
        <v>4923.6408749761031</v>
      </c>
      <c r="I488">
        <v>34521742</v>
      </c>
      <c r="J488">
        <f t="shared" ca="1" si="23"/>
        <v>800</v>
      </c>
      <c r="R488" t="s">
        <v>754</v>
      </c>
    </row>
    <row r="489" spans="1:18" x14ac:dyDescent="0.35">
      <c r="A489">
        <v>76891213629</v>
      </c>
      <c r="B489" t="str">
        <f t="shared" ca="1" si="21"/>
        <v>Road-450 Red, 44-2T</v>
      </c>
      <c r="D489" s="2" t="s">
        <v>883</v>
      </c>
      <c r="E489" s="2" t="s">
        <v>884</v>
      </c>
      <c r="G489">
        <v>1</v>
      </c>
      <c r="H489">
        <f t="shared" ca="1" si="22"/>
        <v>3163.7564415224051</v>
      </c>
      <c r="I489">
        <v>34521743</v>
      </c>
      <c r="J489">
        <f t="shared" ca="1" si="23"/>
        <v>500</v>
      </c>
      <c r="R489" t="s">
        <v>755</v>
      </c>
    </row>
    <row r="490" spans="1:18" x14ac:dyDescent="0.35">
      <c r="A490">
        <v>76891213630</v>
      </c>
      <c r="B490" t="str">
        <f t="shared" ca="1" si="21"/>
        <v>HL Mountain Frame - Black, 42-6S</v>
      </c>
      <c r="D490" s="2" t="s">
        <v>883</v>
      </c>
      <c r="E490" s="2" t="s">
        <v>884</v>
      </c>
      <c r="G490">
        <v>1</v>
      </c>
      <c r="H490">
        <f t="shared" ca="1" si="22"/>
        <v>135.20849454455922</v>
      </c>
      <c r="I490">
        <v>34521744</v>
      </c>
      <c r="J490">
        <f t="shared" ca="1" si="23"/>
        <v>400</v>
      </c>
      <c r="R490" t="s">
        <v>756</v>
      </c>
    </row>
    <row r="491" spans="1:18" x14ac:dyDescent="0.35">
      <c r="A491">
        <v>76891213631</v>
      </c>
      <c r="B491" t="str">
        <f t="shared" ca="1" si="21"/>
        <v>Hex Nut 14-10Z</v>
      </c>
      <c r="D491" s="2" t="s">
        <v>883</v>
      </c>
      <c r="E491" s="2" t="s">
        <v>884</v>
      </c>
      <c r="G491">
        <v>1</v>
      </c>
      <c r="H491">
        <f t="shared" ca="1" si="22"/>
        <v>7502.4606119206692</v>
      </c>
      <c r="I491">
        <v>34521745</v>
      </c>
      <c r="J491">
        <f t="shared" ca="1" si="23"/>
        <v>1000</v>
      </c>
      <c r="R491" t="s">
        <v>757</v>
      </c>
    </row>
    <row r="492" spans="1:18" x14ac:dyDescent="0.35">
      <c r="A492">
        <v>76891213632</v>
      </c>
      <c r="B492" t="str">
        <f t="shared" ca="1" si="21"/>
        <v>Road-650 Black, 44-10Z</v>
      </c>
      <c r="D492" s="2" t="s">
        <v>883</v>
      </c>
      <c r="E492" s="2" t="s">
        <v>884</v>
      </c>
      <c r="G492">
        <v>1</v>
      </c>
      <c r="H492">
        <f t="shared" ca="1" si="22"/>
        <v>2684.3182600797395</v>
      </c>
      <c r="I492">
        <v>34521746</v>
      </c>
      <c r="J492">
        <f t="shared" ca="1" si="23"/>
        <v>700</v>
      </c>
      <c r="R492" t="s">
        <v>758</v>
      </c>
    </row>
    <row r="493" spans="1:18" x14ac:dyDescent="0.35">
      <c r="A493">
        <v>76891213633</v>
      </c>
      <c r="B493" t="str">
        <f t="shared" ca="1" si="21"/>
        <v>ML Road Handlebars-9Z</v>
      </c>
      <c r="D493" s="2" t="s">
        <v>883</v>
      </c>
      <c r="E493" s="2" t="s">
        <v>884</v>
      </c>
      <c r="G493">
        <v>1</v>
      </c>
      <c r="H493">
        <f t="shared" ca="1" si="22"/>
        <v>4821.8382192090185</v>
      </c>
      <c r="I493">
        <v>34521747</v>
      </c>
      <c r="J493">
        <f t="shared" ca="1" si="23"/>
        <v>200</v>
      </c>
      <c r="R493" t="s">
        <v>759</v>
      </c>
    </row>
    <row r="494" spans="1:18" x14ac:dyDescent="0.35">
      <c r="A494">
        <v>76891213634</v>
      </c>
      <c r="B494" t="str">
        <f t="shared" ca="1" si="21"/>
        <v>ML Road Frame-W - Yellow, 48-8S</v>
      </c>
      <c r="D494" s="2" t="s">
        <v>883</v>
      </c>
      <c r="E494" s="2" t="s">
        <v>884</v>
      </c>
      <c r="G494">
        <v>1</v>
      </c>
      <c r="H494">
        <f t="shared" ca="1" si="22"/>
        <v>2985.7810504762028</v>
      </c>
      <c r="I494">
        <v>34521748</v>
      </c>
      <c r="J494">
        <f t="shared" ca="1" si="23"/>
        <v>600</v>
      </c>
      <c r="R494" t="s">
        <v>760</v>
      </c>
    </row>
    <row r="495" spans="1:18" x14ac:dyDescent="0.35">
      <c r="A495">
        <v>76891213635</v>
      </c>
      <c r="B495" t="str">
        <f t="shared" ca="1" si="21"/>
        <v>ML Mountain Frame - Black, 48-10Z</v>
      </c>
      <c r="D495" s="2" t="s">
        <v>883</v>
      </c>
      <c r="E495" s="2" t="s">
        <v>884</v>
      </c>
      <c r="G495">
        <v>1</v>
      </c>
      <c r="H495">
        <f t="shared" ca="1" si="22"/>
        <v>683.81529686480883</v>
      </c>
      <c r="I495">
        <v>34521749</v>
      </c>
      <c r="J495">
        <f t="shared" ca="1" si="23"/>
        <v>100</v>
      </c>
      <c r="R495" t="s">
        <v>761</v>
      </c>
    </row>
    <row r="496" spans="1:18" x14ac:dyDescent="0.35">
      <c r="A496">
        <v>76891213636</v>
      </c>
      <c r="B496" t="str">
        <f t="shared" ca="1" si="21"/>
        <v>ML Road Frame - Red, 44-10Z</v>
      </c>
      <c r="D496" s="2" t="s">
        <v>883</v>
      </c>
      <c r="E496" s="2" t="s">
        <v>884</v>
      </c>
      <c r="G496">
        <v>1</v>
      </c>
      <c r="H496">
        <f t="shared" ca="1" si="22"/>
        <v>7418.628439377374</v>
      </c>
      <c r="I496">
        <v>34521750</v>
      </c>
      <c r="J496">
        <f t="shared" ca="1" si="23"/>
        <v>100</v>
      </c>
      <c r="R496" t="s">
        <v>762</v>
      </c>
    </row>
    <row r="497" spans="1:18" x14ac:dyDescent="0.35">
      <c r="A497">
        <v>76891213637</v>
      </c>
      <c r="B497" t="str">
        <f t="shared" ca="1" si="21"/>
        <v>Touring-3000 Yellow, 50-6S</v>
      </c>
      <c r="D497" s="2" t="s">
        <v>883</v>
      </c>
      <c r="E497" s="2" t="s">
        <v>884</v>
      </c>
      <c r="G497">
        <v>1</v>
      </c>
      <c r="H497">
        <f t="shared" ca="1" si="22"/>
        <v>5862.4718067063704</v>
      </c>
      <c r="I497">
        <v>34521751</v>
      </c>
      <c r="J497">
        <f t="shared" ca="1" si="23"/>
        <v>1000</v>
      </c>
      <c r="R497" t="s">
        <v>763</v>
      </c>
    </row>
    <row r="498" spans="1:18" x14ac:dyDescent="0.35">
      <c r="A498">
        <v>76891213638</v>
      </c>
      <c r="B498" t="str">
        <f t="shared" ca="1" si="21"/>
        <v>HL Mountain Frame - Black, 38-1T</v>
      </c>
      <c r="D498" s="2" t="s">
        <v>883</v>
      </c>
      <c r="E498" s="2" t="s">
        <v>884</v>
      </c>
      <c r="G498">
        <v>1</v>
      </c>
      <c r="H498">
        <f t="shared" ca="1" si="22"/>
        <v>7759.84821332092</v>
      </c>
      <c r="I498">
        <v>34521752</v>
      </c>
      <c r="J498">
        <f t="shared" ca="1" si="23"/>
        <v>1000</v>
      </c>
      <c r="R498" t="s">
        <v>764</v>
      </c>
    </row>
    <row r="499" spans="1:18" x14ac:dyDescent="0.35">
      <c r="A499">
        <v>76891213639</v>
      </c>
      <c r="B499" t="str">
        <f t="shared" ca="1" si="21"/>
        <v>Lock Nut 4-6S</v>
      </c>
      <c r="D499" s="2" t="s">
        <v>883</v>
      </c>
      <c r="E499" s="2" t="s">
        <v>884</v>
      </c>
      <c r="G499">
        <v>1</v>
      </c>
      <c r="H499">
        <f t="shared" ca="1" si="22"/>
        <v>1848.476115085952</v>
      </c>
      <c r="I499">
        <v>34521753</v>
      </c>
      <c r="J499">
        <f t="shared" ca="1" si="23"/>
        <v>400</v>
      </c>
      <c r="R499" t="s">
        <v>765</v>
      </c>
    </row>
    <row r="500" spans="1:18" x14ac:dyDescent="0.35">
      <c r="A500">
        <v>76891213640</v>
      </c>
      <c r="B500" t="str">
        <f t="shared" ca="1" si="21"/>
        <v>Metal Plate 2-1T</v>
      </c>
      <c r="D500" s="2" t="s">
        <v>883</v>
      </c>
      <c r="E500" s="2" t="s">
        <v>884</v>
      </c>
      <c r="G500">
        <v>1</v>
      </c>
      <c r="H500">
        <f t="shared" ca="1" si="22"/>
        <v>2958.2589954516907</v>
      </c>
      <c r="I500">
        <v>34521754</v>
      </c>
      <c r="J500">
        <f t="shared" ca="1" si="23"/>
        <v>900</v>
      </c>
      <c r="R500" t="s">
        <v>766</v>
      </c>
    </row>
    <row r="501" spans="1:18" x14ac:dyDescent="0.35">
      <c r="A501">
        <v>76891213641</v>
      </c>
      <c r="B501" t="str">
        <f t="shared" ca="1" si="21"/>
        <v>HL Road Seat Assembly-10Z</v>
      </c>
      <c r="D501" s="2" t="s">
        <v>883</v>
      </c>
      <c r="E501" s="2" t="s">
        <v>884</v>
      </c>
      <c r="G501">
        <v>1</v>
      </c>
      <c r="H501">
        <f t="shared" ca="1" si="22"/>
        <v>5514.86649240525</v>
      </c>
      <c r="I501">
        <v>34521755</v>
      </c>
      <c r="J501">
        <f t="shared" ca="1" si="23"/>
        <v>700</v>
      </c>
      <c r="R501" t="s">
        <v>767</v>
      </c>
    </row>
    <row r="502" spans="1:18" x14ac:dyDescent="0.35">
      <c r="A502">
        <v>76891213642</v>
      </c>
      <c r="B502" t="str">
        <f t="shared" ca="1" si="21"/>
        <v>LL Touring Frame - Yellow, 44-9Z</v>
      </c>
      <c r="D502" s="2" t="s">
        <v>883</v>
      </c>
      <c r="E502" s="2" t="s">
        <v>884</v>
      </c>
      <c r="G502">
        <v>1</v>
      </c>
      <c r="H502">
        <f t="shared" ca="1" si="22"/>
        <v>652.06807464995325</v>
      </c>
      <c r="I502">
        <v>34521756</v>
      </c>
      <c r="J502">
        <f t="shared" ca="1" si="23"/>
        <v>900</v>
      </c>
      <c r="R502" t="s">
        <v>768</v>
      </c>
    </row>
    <row r="503" spans="1:18" x14ac:dyDescent="0.35">
      <c r="A503">
        <v>76891213643</v>
      </c>
      <c r="B503" t="str">
        <f t="shared" ca="1" si="21"/>
        <v>LL Crankarm-3T</v>
      </c>
      <c r="D503" s="2" t="s">
        <v>883</v>
      </c>
      <c r="E503" s="2" t="s">
        <v>884</v>
      </c>
      <c r="G503">
        <v>1</v>
      </c>
      <c r="H503">
        <f t="shared" ca="1" si="22"/>
        <v>8685.1074375723474</v>
      </c>
      <c r="I503">
        <v>34521757</v>
      </c>
      <c r="J503">
        <f t="shared" ca="1" si="23"/>
        <v>700</v>
      </c>
      <c r="R503" t="s">
        <v>769</v>
      </c>
    </row>
    <row r="504" spans="1:18" x14ac:dyDescent="0.35">
      <c r="A504">
        <v>76891213644</v>
      </c>
      <c r="B504" t="str">
        <f t="shared" ca="1" si="21"/>
        <v>Touring-1000 Blue, 54-6S</v>
      </c>
      <c r="D504" s="2" t="s">
        <v>883</v>
      </c>
      <c r="E504" s="2" t="s">
        <v>884</v>
      </c>
      <c r="G504">
        <v>1</v>
      </c>
      <c r="H504">
        <f t="shared" ca="1" si="22"/>
        <v>5790.527830813593</v>
      </c>
      <c r="I504">
        <v>34521758</v>
      </c>
      <c r="J504">
        <f t="shared" ca="1" si="23"/>
        <v>500</v>
      </c>
      <c r="R504" t="s">
        <v>770</v>
      </c>
    </row>
    <row r="505" spans="1:18" x14ac:dyDescent="0.35">
      <c r="A505">
        <v>76891213645</v>
      </c>
      <c r="B505" t="str">
        <f t="shared" ca="1" si="21"/>
        <v>Touring-1000 Blue, 60-9Z</v>
      </c>
      <c r="D505" s="2" t="s">
        <v>883</v>
      </c>
      <c r="E505" s="2" t="s">
        <v>884</v>
      </c>
      <c r="G505">
        <v>1</v>
      </c>
      <c r="H505">
        <f t="shared" ca="1" si="22"/>
        <v>1408.617518982536</v>
      </c>
      <c r="I505">
        <v>34521759</v>
      </c>
      <c r="J505">
        <f t="shared" ca="1" si="23"/>
        <v>300</v>
      </c>
      <c r="R505" t="s">
        <v>771</v>
      </c>
    </row>
    <row r="506" spans="1:18" x14ac:dyDescent="0.35">
      <c r="A506">
        <v>76891213646</v>
      </c>
      <c r="B506" t="str">
        <f t="shared" ca="1" si="21"/>
        <v>Lock Nut 3-10Z</v>
      </c>
      <c r="D506" s="2" t="s">
        <v>883</v>
      </c>
      <c r="E506" s="2" t="s">
        <v>884</v>
      </c>
      <c r="G506">
        <v>1</v>
      </c>
      <c r="H506">
        <f t="shared" ca="1" si="22"/>
        <v>7861.2064405043939</v>
      </c>
      <c r="I506">
        <v>34521760</v>
      </c>
      <c r="J506">
        <f t="shared" ca="1" si="23"/>
        <v>200</v>
      </c>
      <c r="R506" t="s">
        <v>772</v>
      </c>
    </row>
    <row r="507" spans="1:18" x14ac:dyDescent="0.35">
      <c r="A507">
        <v>76891213647</v>
      </c>
      <c r="B507" t="str">
        <f t="shared" ca="1" si="21"/>
        <v>Lock Washer 8-1T</v>
      </c>
      <c r="D507" s="2" t="s">
        <v>883</v>
      </c>
      <c r="E507" s="2" t="s">
        <v>884</v>
      </c>
      <c r="G507">
        <v>1</v>
      </c>
      <c r="H507">
        <f t="shared" ca="1" si="22"/>
        <v>984.72817855547089</v>
      </c>
      <c r="I507">
        <v>34521761</v>
      </c>
      <c r="J507">
        <f t="shared" ca="1" si="23"/>
        <v>300</v>
      </c>
      <c r="R507" t="s">
        <v>773</v>
      </c>
    </row>
    <row r="508" spans="1:18" x14ac:dyDescent="0.35">
      <c r="A508">
        <v>76891213648</v>
      </c>
      <c r="B508" t="str">
        <f t="shared" ca="1" si="21"/>
        <v>Mountain-200 Black, 42-3T</v>
      </c>
      <c r="D508" s="2" t="s">
        <v>883</v>
      </c>
      <c r="E508" s="2" t="s">
        <v>884</v>
      </c>
      <c r="G508">
        <v>1</v>
      </c>
      <c r="H508">
        <f t="shared" ca="1" si="22"/>
        <v>2614.0753822204342</v>
      </c>
      <c r="I508">
        <v>34521762</v>
      </c>
      <c r="J508">
        <f t="shared" ca="1" si="23"/>
        <v>200</v>
      </c>
      <c r="R508" t="s">
        <v>774</v>
      </c>
    </row>
    <row r="509" spans="1:18" x14ac:dyDescent="0.35">
      <c r="R509" t="s">
        <v>775</v>
      </c>
    </row>
    <row r="510" spans="1:18" x14ac:dyDescent="0.35">
      <c r="R510" t="s">
        <v>776</v>
      </c>
    </row>
    <row r="511" spans="1:18" x14ac:dyDescent="0.35">
      <c r="R511" t="s">
        <v>777</v>
      </c>
    </row>
    <row r="512" spans="1:18" x14ac:dyDescent="0.35">
      <c r="R512" t="s">
        <v>778</v>
      </c>
    </row>
    <row r="513" spans="18:18" x14ac:dyDescent="0.35">
      <c r="R513" t="s">
        <v>779</v>
      </c>
    </row>
    <row r="514" spans="18:18" x14ac:dyDescent="0.35">
      <c r="R514" t="s">
        <v>780</v>
      </c>
    </row>
    <row r="515" spans="18:18" x14ac:dyDescent="0.35">
      <c r="R515" t="s">
        <v>781</v>
      </c>
    </row>
    <row r="516" spans="18:18" x14ac:dyDescent="0.35">
      <c r="R516" t="s">
        <v>782</v>
      </c>
    </row>
    <row r="517" spans="18:18" x14ac:dyDescent="0.35">
      <c r="R517" t="s">
        <v>783</v>
      </c>
    </row>
    <row r="518" spans="18:18" x14ac:dyDescent="0.35">
      <c r="R518" t="s">
        <v>784</v>
      </c>
    </row>
    <row r="519" spans="18:18" x14ac:dyDescent="0.35">
      <c r="R519" t="s">
        <v>785</v>
      </c>
    </row>
    <row r="520" spans="18:18" x14ac:dyDescent="0.35">
      <c r="R520" t="s">
        <v>786</v>
      </c>
    </row>
    <row r="521" spans="18:18" x14ac:dyDescent="0.35">
      <c r="R521" t="s">
        <v>787</v>
      </c>
    </row>
    <row r="522" spans="18:18" x14ac:dyDescent="0.35">
      <c r="R522" t="s">
        <v>788</v>
      </c>
    </row>
    <row r="523" spans="18:18" x14ac:dyDescent="0.35">
      <c r="R523" t="s">
        <v>789</v>
      </c>
    </row>
    <row r="524" spans="18:18" x14ac:dyDescent="0.35">
      <c r="R524" t="s">
        <v>790</v>
      </c>
    </row>
    <row r="525" spans="18:18" x14ac:dyDescent="0.35">
      <c r="R525" t="s">
        <v>791</v>
      </c>
    </row>
    <row r="526" spans="18:18" x14ac:dyDescent="0.35">
      <c r="R526" t="s">
        <v>792</v>
      </c>
    </row>
    <row r="527" spans="18:18" x14ac:dyDescent="0.35">
      <c r="R527" t="s">
        <v>793</v>
      </c>
    </row>
    <row r="528" spans="18:18" x14ac:dyDescent="0.35">
      <c r="R528" t="s">
        <v>794</v>
      </c>
    </row>
    <row r="529" spans="18:18" x14ac:dyDescent="0.35">
      <c r="R529" t="s">
        <v>795</v>
      </c>
    </row>
    <row r="530" spans="18:18" x14ac:dyDescent="0.35">
      <c r="R530" t="s">
        <v>796</v>
      </c>
    </row>
    <row r="531" spans="18:18" x14ac:dyDescent="0.35">
      <c r="R531" t="s">
        <v>797</v>
      </c>
    </row>
    <row r="532" spans="18:18" x14ac:dyDescent="0.35">
      <c r="R532" t="s">
        <v>798</v>
      </c>
    </row>
    <row r="533" spans="18:18" x14ac:dyDescent="0.35">
      <c r="R533" t="s">
        <v>799</v>
      </c>
    </row>
    <row r="534" spans="18:18" x14ac:dyDescent="0.35">
      <c r="R534" t="s">
        <v>800</v>
      </c>
    </row>
    <row r="535" spans="18:18" x14ac:dyDescent="0.35">
      <c r="R535" t="s">
        <v>801</v>
      </c>
    </row>
    <row r="536" spans="18:18" x14ac:dyDescent="0.35">
      <c r="R536" t="s">
        <v>802</v>
      </c>
    </row>
    <row r="537" spans="18:18" x14ac:dyDescent="0.35">
      <c r="R537" t="s">
        <v>803</v>
      </c>
    </row>
    <row r="538" spans="18:18" x14ac:dyDescent="0.35">
      <c r="R538" t="s">
        <v>804</v>
      </c>
    </row>
    <row r="539" spans="18:18" x14ac:dyDescent="0.35">
      <c r="R539" t="s">
        <v>805</v>
      </c>
    </row>
    <row r="540" spans="18:18" x14ac:dyDescent="0.35">
      <c r="R540" t="s">
        <v>806</v>
      </c>
    </row>
    <row r="541" spans="18:18" x14ac:dyDescent="0.35">
      <c r="R541" t="s">
        <v>807</v>
      </c>
    </row>
    <row r="542" spans="18:18" x14ac:dyDescent="0.35">
      <c r="R542" t="s">
        <v>808</v>
      </c>
    </row>
    <row r="543" spans="18:18" x14ac:dyDescent="0.35">
      <c r="R543" t="s">
        <v>809</v>
      </c>
    </row>
    <row r="544" spans="18:18" x14ac:dyDescent="0.35">
      <c r="R544" t="s">
        <v>810</v>
      </c>
    </row>
    <row r="545" spans="18:18" x14ac:dyDescent="0.35">
      <c r="R545" t="s">
        <v>811</v>
      </c>
    </row>
    <row r="546" spans="18:18" x14ac:dyDescent="0.35">
      <c r="R546" t="s">
        <v>812</v>
      </c>
    </row>
    <row r="547" spans="18:18" x14ac:dyDescent="0.35">
      <c r="R547" t="s">
        <v>813</v>
      </c>
    </row>
    <row r="548" spans="18:18" x14ac:dyDescent="0.35">
      <c r="R548" t="s">
        <v>814</v>
      </c>
    </row>
    <row r="549" spans="18:18" x14ac:dyDescent="0.35">
      <c r="R549" t="s">
        <v>815</v>
      </c>
    </row>
    <row r="550" spans="18:18" x14ac:dyDescent="0.35">
      <c r="R550" t="s">
        <v>816</v>
      </c>
    </row>
    <row r="551" spans="18:18" x14ac:dyDescent="0.35">
      <c r="R551" t="s">
        <v>817</v>
      </c>
    </row>
    <row r="552" spans="18:18" x14ac:dyDescent="0.35">
      <c r="R552" t="s">
        <v>818</v>
      </c>
    </row>
    <row r="553" spans="18:18" x14ac:dyDescent="0.35">
      <c r="R553" t="s">
        <v>819</v>
      </c>
    </row>
    <row r="554" spans="18:18" x14ac:dyDescent="0.35">
      <c r="R554" t="s">
        <v>820</v>
      </c>
    </row>
    <row r="555" spans="18:18" x14ac:dyDescent="0.35">
      <c r="R555" t="s">
        <v>821</v>
      </c>
    </row>
    <row r="556" spans="18:18" x14ac:dyDescent="0.35">
      <c r="R556" t="s">
        <v>822</v>
      </c>
    </row>
    <row r="557" spans="18:18" x14ac:dyDescent="0.35">
      <c r="R557" t="s">
        <v>823</v>
      </c>
    </row>
    <row r="558" spans="18:18" x14ac:dyDescent="0.35">
      <c r="R558" t="s">
        <v>824</v>
      </c>
    </row>
    <row r="559" spans="18:18" x14ac:dyDescent="0.35">
      <c r="R559" t="s">
        <v>825</v>
      </c>
    </row>
    <row r="560" spans="18:18" x14ac:dyDescent="0.35">
      <c r="R560" t="s">
        <v>826</v>
      </c>
    </row>
    <row r="561" spans="18:18" x14ac:dyDescent="0.35">
      <c r="R561" t="s">
        <v>827</v>
      </c>
    </row>
    <row r="562" spans="18:18" x14ac:dyDescent="0.35">
      <c r="R562" t="s">
        <v>828</v>
      </c>
    </row>
    <row r="563" spans="18:18" x14ac:dyDescent="0.35">
      <c r="R563" t="s">
        <v>829</v>
      </c>
    </row>
    <row r="564" spans="18:18" x14ac:dyDescent="0.35">
      <c r="R564" t="s">
        <v>830</v>
      </c>
    </row>
    <row r="565" spans="18:18" x14ac:dyDescent="0.35">
      <c r="R565" t="s">
        <v>831</v>
      </c>
    </row>
    <row r="566" spans="18:18" x14ac:dyDescent="0.35">
      <c r="R566" t="s">
        <v>832</v>
      </c>
    </row>
    <row r="567" spans="18:18" x14ac:dyDescent="0.35">
      <c r="R567" t="s">
        <v>833</v>
      </c>
    </row>
    <row r="568" spans="18:18" x14ac:dyDescent="0.35">
      <c r="R568" t="s">
        <v>834</v>
      </c>
    </row>
    <row r="569" spans="18:18" x14ac:dyDescent="0.35">
      <c r="R569" t="s">
        <v>835</v>
      </c>
    </row>
    <row r="570" spans="18:18" x14ac:dyDescent="0.35">
      <c r="R570" t="s">
        <v>836</v>
      </c>
    </row>
    <row r="571" spans="18:18" x14ac:dyDescent="0.35">
      <c r="R571" t="s">
        <v>837</v>
      </c>
    </row>
    <row r="572" spans="18:18" x14ac:dyDescent="0.35">
      <c r="R572" t="s">
        <v>838</v>
      </c>
    </row>
    <row r="573" spans="18:18" x14ac:dyDescent="0.35">
      <c r="R573" t="s">
        <v>839</v>
      </c>
    </row>
    <row r="574" spans="18:18" x14ac:dyDescent="0.35">
      <c r="R574" t="s">
        <v>840</v>
      </c>
    </row>
    <row r="575" spans="18:18" x14ac:dyDescent="0.35">
      <c r="R575" t="s">
        <v>841</v>
      </c>
    </row>
    <row r="576" spans="18:18" x14ac:dyDescent="0.35">
      <c r="R576" t="s">
        <v>842</v>
      </c>
    </row>
    <row r="577" spans="18:18" x14ac:dyDescent="0.35">
      <c r="R577" t="s">
        <v>843</v>
      </c>
    </row>
    <row r="578" spans="18:18" x14ac:dyDescent="0.35">
      <c r="R578" t="s">
        <v>844</v>
      </c>
    </row>
    <row r="579" spans="18:18" x14ac:dyDescent="0.35">
      <c r="R579" t="s">
        <v>845</v>
      </c>
    </row>
    <row r="580" spans="18:18" x14ac:dyDescent="0.35">
      <c r="R580" t="s">
        <v>846</v>
      </c>
    </row>
    <row r="581" spans="18:18" x14ac:dyDescent="0.35">
      <c r="R581" t="s">
        <v>847</v>
      </c>
    </row>
    <row r="582" spans="18:18" x14ac:dyDescent="0.35">
      <c r="R582" t="s">
        <v>848</v>
      </c>
    </row>
    <row r="583" spans="18:18" x14ac:dyDescent="0.35">
      <c r="R583" t="s">
        <v>849</v>
      </c>
    </row>
    <row r="584" spans="18:18" x14ac:dyDescent="0.35">
      <c r="R584" t="s">
        <v>850</v>
      </c>
    </row>
    <row r="585" spans="18:18" x14ac:dyDescent="0.35">
      <c r="R585" t="s">
        <v>851</v>
      </c>
    </row>
    <row r="586" spans="18:18" x14ac:dyDescent="0.35">
      <c r="R586" t="s">
        <v>852</v>
      </c>
    </row>
    <row r="587" spans="18:18" x14ac:dyDescent="0.35">
      <c r="R587" t="s">
        <v>853</v>
      </c>
    </row>
    <row r="588" spans="18:18" x14ac:dyDescent="0.35">
      <c r="R588" t="s">
        <v>854</v>
      </c>
    </row>
    <row r="589" spans="18:18" x14ac:dyDescent="0.35">
      <c r="R589" t="s">
        <v>855</v>
      </c>
    </row>
    <row r="590" spans="18:18" x14ac:dyDescent="0.35">
      <c r="R590" t="s">
        <v>856</v>
      </c>
    </row>
    <row r="591" spans="18:18" x14ac:dyDescent="0.35">
      <c r="R591" t="s">
        <v>857</v>
      </c>
    </row>
    <row r="592" spans="18:18" x14ac:dyDescent="0.35">
      <c r="R592" t="s">
        <v>858</v>
      </c>
    </row>
    <row r="593" spans="18:18" x14ac:dyDescent="0.35">
      <c r="R593" t="s">
        <v>859</v>
      </c>
    </row>
    <row r="594" spans="18:18" x14ac:dyDescent="0.35">
      <c r="R594" t="s">
        <v>860</v>
      </c>
    </row>
    <row r="595" spans="18:18" x14ac:dyDescent="0.35">
      <c r="R595" t="s">
        <v>861</v>
      </c>
    </row>
    <row r="596" spans="18:18" x14ac:dyDescent="0.35">
      <c r="R596" t="s">
        <v>862</v>
      </c>
    </row>
    <row r="597" spans="18:18" x14ac:dyDescent="0.35">
      <c r="R597" t="s">
        <v>863</v>
      </c>
    </row>
    <row r="598" spans="18:18" x14ac:dyDescent="0.35">
      <c r="R598" t="s">
        <v>864</v>
      </c>
    </row>
    <row r="599" spans="18:18" x14ac:dyDescent="0.35">
      <c r="R599" t="s">
        <v>865</v>
      </c>
    </row>
    <row r="600" spans="18:18" x14ac:dyDescent="0.35">
      <c r="R600" t="s">
        <v>866</v>
      </c>
    </row>
    <row r="601" spans="18:18" x14ac:dyDescent="0.35">
      <c r="R601" t="s">
        <v>867</v>
      </c>
    </row>
    <row r="602" spans="18:18" x14ac:dyDescent="0.35">
      <c r="R602" t="s">
        <v>868</v>
      </c>
    </row>
    <row r="603" spans="18:18" x14ac:dyDescent="0.35">
      <c r="R603" t="s">
        <v>869</v>
      </c>
    </row>
    <row r="604" spans="18:18" x14ac:dyDescent="0.35">
      <c r="R604" t="s">
        <v>870</v>
      </c>
    </row>
    <row r="605" spans="18:18" x14ac:dyDescent="0.35">
      <c r="R605" t="s">
        <v>871</v>
      </c>
    </row>
    <row r="606" spans="18:18" x14ac:dyDescent="0.35">
      <c r="R606" t="s">
        <v>872</v>
      </c>
    </row>
    <row r="607" spans="18:18" x14ac:dyDescent="0.35">
      <c r="R607" t="s">
        <v>873</v>
      </c>
    </row>
    <row r="608" spans="18:18" x14ac:dyDescent="0.35">
      <c r="R608" t="s">
        <v>874</v>
      </c>
    </row>
    <row r="609" spans="18:18" x14ac:dyDescent="0.35">
      <c r="R609" t="s">
        <v>875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F23"/>
  <sheetViews>
    <sheetView workbookViewId="0">
      <selection sqref="A1:F1"/>
    </sheetView>
  </sheetViews>
  <sheetFormatPr defaultRowHeight="14.5" x14ac:dyDescent="0.35"/>
  <cols>
    <col min="1" max="1" width="9.81640625" bestFit="1" customWidth="1"/>
    <col min="2" max="2" width="13.1796875" bestFit="1" customWidth="1"/>
    <col min="3" max="3" width="28" customWidth="1"/>
    <col min="4" max="4" width="25.36328125" customWidth="1"/>
    <col min="5" max="5" width="15.1796875" bestFit="1" customWidth="1"/>
    <col min="6" max="6" width="8.81640625" bestFit="1" customWidth="1"/>
  </cols>
  <sheetData>
    <row r="1" spans="1:6" x14ac:dyDescent="0.35">
      <c r="A1" t="s">
        <v>49</v>
      </c>
      <c r="B1" t="s">
        <v>95</v>
      </c>
      <c r="C1" t="s">
        <v>96</v>
      </c>
      <c r="D1" t="s">
        <v>97</v>
      </c>
      <c r="E1" t="s">
        <v>50</v>
      </c>
      <c r="F1" t="s">
        <v>16</v>
      </c>
    </row>
    <row r="2" spans="1:6" x14ac:dyDescent="0.35">
      <c r="A2">
        <v>100</v>
      </c>
      <c r="B2" t="s">
        <v>362</v>
      </c>
      <c r="D2" s="2" t="s">
        <v>883</v>
      </c>
      <c r="E2">
        <v>1</v>
      </c>
      <c r="F2">
        <v>29836432</v>
      </c>
    </row>
    <row r="3" spans="1:6" x14ac:dyDescent="0.35">
      <c r="A3">
        <v>200</v>
      </c>
      <c r="B3" t="s">
        <v>363</v>
      </c>
      <c r="D3" s="2" t="s">
        <v>883</v>
      </c>
      <c r="E3">
        <v>2</v>
      </c>
      <c r="F3">
        <v>29836433</v>
      </c>
    </row>
    <row r="4" spans="1:6" x14ac:dyDescent="0.35">
      <c r="A4">
        <v>300</v>
      </c>
      <c r="B4" t="s">
        <v>364</v>
      </c>
      <c r="D4" s="2" t="s">
        <v>883</v>
      </c>
      <c r="E4">
        <v>2</v>
      </c>
      <c r="F4">
        <v>29836434</v>
      </c>
    </row>
    <row r="5" spans="1:6" x14ac:dyDescent="0.35">
      <c r="A5">
        <v>400</v>
      </c>
      <c r="B5" t="s">
        <v>365</v>
      </c>
      <c r="D5" s="2" t="s">
        <v>883</v>
      </c>
      <c r="E5">
        <v>2</v>
      </c>
      <c r="F5">
        <v>29836435</v>
      </c>
    </row>
    <row r="6" spans="1:6" x14ac:dyDescent="0.35">
      <c r="A6">
        <v>500</v>
      </c>
      <c r="B6" t="s">
        <v>366</v>
      </c>
      <c r="D6" s="2" t="s">
        <v>883</v>
      </c>
      <c r="E6">
        <v>3</v>
      </c>
      <c r="F6">
        <v>29836436</v>
      </c>
    </row>
    <row r="7" spans="1:6" x14ac:dyDescent="0.35">
      <c r="A7">
        <v>600</v>
      </c>
      <c r="B7" t="s">
        <v>367</v>
      </c>
      <c r="D7" s="2" t="s">
        <v>883</v>
      </c>
      <c r="E7">
        <v>4</v>
      </c>
      <c r="F7">
        <v>29836437</v>
      </c>
    </row>
    <row r="8" spans="1:6" x14ac:dyDescent="0.35">
      <c r="A8">
        <v>700</v>
      </c>
      <c r="B8" t="s">
        <v>368</v>
      </c>
      <c r="D8" s="2" t="s">
        <v>883</v>
      </c>
      <c r="E8">
        <v>5</v>
      </c>
      <c r="F8">
        <v>29836438</v>
      </c>
    </row>
    <row r="9" spans="1:6" x14ac:dyDescent="0.35">
      <c r="A9">
        <v>800</v>
      </c>
      <c r="B9" t="s">
        <v>369</v>
      </c>
      <c r="D9" s="2" t="s">
        <v>883</v>
      </c>
      <c r="E9">
        <v>6</v>
      </c>
      <c r="F9">
        <v>29836439</v>
      </c>
    </row>
    <row r="10" spans="1:6" x14ac:dyDescent="0.35">
      <c r="A10">
        <v>900</v>
      </c>
      <c r="B10" t="s">
        <v>370</v>
      </c>
      <c r="D10" s="2" t="s">
        <v>883</v>
      </c>
      <c r="E10">
        <v>7</v>
      </c>
      <c r="F10">
        <v>29836440</v>
      </c>
    </row>
    <row r="11" spans="1:6" x14ac:dyDescent="0.35">
      <c r="A11">
        <v>1000</v>
      </c>
      <c r="B11" t="s">
        <v>371</v>
      </c>
      <c r="D11" s="2" t="s">
        <v>883</v>
      </c>
      <c r="E11">
        <v>8</v>
      </c>
      <c r="F11">
        <v>29836441</v>
      </c>
    </row>
    <row r="12" spans="1:6" x14ac:dyDescent="0.35">
      <c r="D12" s="2"/>
    </row>
    <row r="13" spans="1:6" x14ac:dyDescent="0.35">
      <c r="D13" s="2"/>
    </row>
    <row r="14" spans="1:6" x14ac:dyDescent="0.35">
      <c r="D14" s="2"/>
    </row>
    <row r="15" spans="1:6" x14ac:dyDescent="0.35">
      <c r="D15" s="2"/>
    </row>
    <row r="16" spans="1:6" x14ac:dyDescent="0.35">
      <c r="D16" s="2"/>
    </row>
    <row r="17" spans="4:4" x14ac:dyDescent="0.35">
      <c r="D17" s="2"/>
    </row>
    <row r="18" spans="4:4" x14ac:dyDescent="0.35">
      <c r="D18" s="2"/>
    </row>
    <row r="19" spans="4:4" x14ac:dyDescent="0.35">
      <c r="D19" s="2"/>
    </row>
    <row r="20" spans="4:4" x14ac:dyDescent="0.35">
      <c r="D20" s="2"/>
    </row>
    <row r="21" spans="4:4" x14ac:dyDescent="0.35">
      <c r="D21" s="2"/>
    </row>
    <row r="22" spans="4:4" x14ac:dyDescent="0.35">
      <c r="D22" s="2"/>
    </row>
    <row r="23" spans="4:4" x14ac:dyDescent="0.35">
      <c r="D23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C1:F26"/>
  <sheetViews>
    <sheetView showGridLines="0" topLeftCell="A13" zoomScale="85" zoomScaleNormal="85" workbookViewId="0">
      <selection activeCell="C1" sqref="C1:F26"/>
    </sheetView>
  </sheetViews>
  <sheetFormatPr defaultRowHeight="14.5" x14ac:dyDescent="0.35"/>
  <cols>
    <col min="3" max="3" width="14.6328125" bestFit="1" customWidth="1"/>
    <col min="4" max="4" width="30.1796875" customWidth="1"/>
    <col min="5" max="5" width="12.453125" bestFit="1" customWidth="1"/>
    <col min="6" max="6" width="19.453125" bestFit="1" customWidth="1"/>
  </cols>
  <sheetData>
    <row r="1" spans="3:6" x14ac:dyDescent="0.35">
      <c r="E1" s="1" t="s">
        <v>888</v>
      </c>
    </row>
    <row r="2" spans="3:6" x14ac:dyDescent="0.35">
      <c r="C2" s="1" t="s">
        <v>885</v>
      </c>
      <c r="D2" t="s">
        <v>886</v>
      </c>
      <c r="E2" t="s">
        <v>10</v>
      </c>
    </row>
    <row r="3" spans="3:6" x14ac:dyDescent="0.35">
      <c r="D3" t="s">
        <v>887</v>
      </c>
      <c r="E3" t="s">
        <v>18</v>
      </c>
    </row>
    <row r="5" spans="3:6" x14ac:dyDescent="0.35">
      <c r="C5" s="1" t="s">
        <v>894</v>
      </c>
      <c r="D5" s="6" t="s">
        <v>893</v>
      </c>
    </row>
    <row r="7" spans="3:6" x14ac:dyDescent="0.35">
      <c r="C7" s="7" t="s">
        <v>889</v>
      </c>
      <c r="D7" s="7" t="s">
        <v>890</v>
      </c>
      <c r="E7" s="7" t="s">
        <v>891</v>
      </c>
      <c r="F7" s="7" t="s">
        <v>892</v>
      </c>
    </row>
    <row r="8" spans="3:6" x14ac:dyDescent="0.35">
      <c r="C8" s="8" t="s">
        <v>886</v>
      </c>
      <c r="D8" s="8" t="s">
        <v>10</v>
      </c>
      <c r="E8" s="8"/>
      <c r="F8" s="8"/>
    </row>
    <row r="9" spans="3:6" x14ac:dyDescent="0.35">
      <c r="C9" s="8" t="s">
        <v>886</v>
      </c>
      <c r="D9" s="8" t="s">
        <v>895</v>
      </c>
      <c r="E9" s="8"/>
      <c r="F9" s="8"/>
    </row>
    <row r="10" spans="3:6" x14ac:dyDescent="0.35">
      <c r="C10" s="8" t="s">
        <v>886</v>
      </c>
      <c r="D10" s="8" t="s">
        <v>96</v>
      </c>
      <c r="E10" s="8"/>
      <c r="F10" s="8"/>
    </row>
    <row r="11" spans="3:6" x14ac:dyDescent="0.35">
      <c r="C11" s="8" t="s">
        <v>886</v>
      </c>
      <c r="D11" s="8" t="s">
        <v>97</v>
      </c>
      <c r="E11" s="9" t="s">
        <v>896</v>
      </c>
      <c r="F11" s="8"/>
    </row>
    <row r="12" spans="3:6" x14ac:dyDescent="0.35">
      <c r="C12" s="8" t="s">
        <v>886</v>
      </c>
      <c r="D12" s="8" t="s">
        <v>13</v>
      </c>
      <c r="E12" s="8"/>
      <c r="F12" s="8"/>
    </row>
    <row r="13" spans="3:6" x14ac:dyDescent="0.35">
      <c r="C13" s="8" t="s">
        <v>886</v>
      </c>
      <c r="D13" s="8" t="s">
        <v>12</v>
      </c>
      <c r="E13" s="9" t="s">
        <v>896</v>
      </c>
      <c r="F13" s="8"/>
    </row>
    <row r="14" spans="3:6" x14ac:dyDescent="0.35">
      <c r="C14" s="8" t="s">
        <v>886</v>
      </c>
      <c r="D14" s="8" t="s">
        <v>14</v>
      </c>
      <c r="E14" s="8"/>
      <c r="F14" s="8"/>
    </row>
    <row r="15" spans="3:6" x14ac:dyDescent="0.35">
      <c r="C15" s="8" t="s">
        <v>886</v>
      </c>
      <c r="D15" s="8" t="s">
        <v>15</v>
      </c>
      <c r="E15" s="8"/>
      <c r="F15" s="8"/>
    </row>
    <row r="16" spans="3:6" x14ac:dyDescent="0.35">
      <c r="C16" s="8" t="s">
        <v>886</v>
      </c>
      <c r="D16" s="8" t="s">
        <v>16</v>
      </c>
      <c r="E16" s="8"/>
      <c r="F16" s="10" t="s">
        <v>897</v>
      </c>
    </row>
    <row r="17" spans="3:6" x14ac:dyDescent="0.35">
      <c r="C17" s="8" t="s">
        <v>886</v>
      </c>
      <c r="D17" s="8" t="s">
        <v>17</v>
      </c>
      <c r="E17" s="8"/>
      <c r="F17" s="8"/>
    </row>
    <row r="18" spans="3:6" x14ac:dyDescent="0.35">
      <c r="C18" s="8" t="s">
        <v>887</v>
      </c>
      <c r="D18" s="8" t="s">
        <v>19</v>
      </c>
      <c r="E18" s="8"/>
      <c r="F18" s="8"/>
    </row>
    <row r="19" spans="3:6" x14ac:dyDescent="0.35">
      <c r="C19" s="8" t="s">
        <v>887</v>
      </c>
      <c r="D19" s="8" t="s">
        <v>20</v>
      </c>
      <c r="E19" s="8"/>
      <c r="F19" s="8"/>
    </row>
    <row r="20" spans="3:6" x14ac:dyDescent="0.35">
      <c r="C20" s="8" t="s">
        <v>887</v>
      </c>
      <c r="D20" s="8" t="s">
        <v>21</v>
      </c>
      <c r="E20" s="8"/>
      <c r="F20" s="8"/>
    </row>
    <row r="21" spans="3:6" x14ac:dyDescent="0.35">
      <c r="C21" s="8" t="s">
        <v>887</v>
      </c>
      <c r="D21" s="8" t="s">
        <v>22</v>
      </c>
      <c r="E21" s="8"/>
      <c r="F21" s="8"/>
    </row>
    <row r="22" spans="3:6" x14ac:dyDescent="0.35">
      <c r="C22" s="8" t="s">
        <v>887</v>
      </c>
      <c r="D22" s="8" t="s">
        <v>24</v>
      </c>
      <c r="E22" s="8"/>
      <c r="F22" s="8"/>
    </row>
    <row r="23" spans="3:6" x14ac:dyDescent="0.35">
      <c r="C23" s="8" t="s">
        <v>887</v>
      </c>
      <c r="D23" s="8" t="s">
        <v>23</v>
      </c>
      <c r="E23" s="8"/>
      <c r="F23" s="8"/>
    </row>
    <row r="24" spans="3:6" x14ac:dyDescent="0.35">
      <c r="C24" s="8" t="s">
        <v>887</v>
      </c>
      <c r="D24" s="8" t="s">
        <v>25</v>
      </c>
      <c r="E24" s="9" t="s">
        <v>896</v>
      </c>
      <c r="F24" s="8"/>
    </row>
    <row r="25" spans="3:6" x14ac:dyDescent="0.35">
      <c r="C25" s="8" t="s">
        <v>887</v>
      </c>
      <c r="D25" s="8" t="s">
        <v>26</v>
      </c>
      <c r="E25" s="9" t="s">
        <v>896</v>
      </c>
      <c r="F25" s="8"/>
    </row>
    <row r="26" spans="3:6" x14ac:dyDescent="0.35">
      <c r="C26" s="8" t="s">
        <v>887</v>
      </c>
      <c r="D26" s="8" t="s">
        <v>16</v>
      </c>
      <c r="E26" s="8"/>
      <c r="F26" s="10" t="s">
        <v>898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C1:G24"/>
  <sheetViews>
    <sheetView showGridLines="0" zoomScale="85" zoomScaleNormal="85" workbookViewId="0">
      <selection activeCell="F8" sqref="F8"/>
    </sheetView>
  </sheetViews>
  <sheetFormatPr defaultRowHeight="14.5" x14ac:dyDescent="0.35"/>
  <cols>
    <col min="3" max="3" width="14.6328125" bestFit="1" customWidth="1"/>
    <col min="4" max="4" width="30.1796875" customWidth="1"/>
    <col min="5" max="5" width="13.26953125" bestFit="1" customWidth="1"/>
    <col min="6" max="6" width="19.453125" bestFit="1" customWidth="1"/>
    <col min="7" max="7" width="90.453125" bestFit="1" customWidth="1"/>
  </cols>
  <sheetData>
    <row r="1" spans="3:7" x14ac:dyDescent="0.35">
      <c r="E1" s="1"/>
    </row>
    <row r="2" spans="3:7" x14ac:dyDescent="0.35">
      <c r="C2" s="1" t="s">
        <v>885</v>
      </c>
      <c r="D2" t="s">
        <v>57</v>
      </c>
    </row>
    <row r="5" spans="3:7" x14ac:dyDescent="0.35">
      <c r="C5" s="1" t="s">
        <v>894</v>
      </c>
      <c r="D5" s="6" t="s">
        <v>893</v>
      </c>
    </row>
    <row r="7" spans="3:7" x14ac:dyDescent="0.35">
      <c r="C7" s="7" t="s">
        <v>889</v>
      </c>
      <c r="D7" s="7" t="s">
        <v>890</v>
      </c>
      <c r="E7" s="7" t="s">
        <v>891</v>
      </c>
      <c r="F7" s="7" t="s">
        <v>892</v>
      </c>
      <c r="G7" s="11" t="s">
        <v>902</v>
      </c>
    </row>
    <row r="8" spans="3:7" x14ac:dyDescent="0.35">
      <c r="C8" s="8" t="s">
        <v>57</v>
      </c>
      <c r="D8" s="8" t="s">
        <v>27</v>
      </c>
      <c r="E8" s="8"/>
      <c r="F8" s="8" t="s">
        <v>904</v>
      </c>
      <c r="G8" s="8"/>
    </row>
    <row r="9" spans="3:7" x14ac:dyDescent="0.35">
      <c r="C9" s="8" t="s">
        <v>57</v>
      </c>
      <c r="D9" s="8" t="s">
        <v>28</v>
      </c>
      <c r="E9" s="8"/>
      <c r="F9" s="8"/>
      <c r="G9" s="8"/>
    </row>
    <row r="10" spans="3:7" x14ac:dyDescent="0.35">
      <c r="C10" s="8" t="s">
        <v>57</v>
      </c>
      <c r="D10" s="8" t="s">
        <v>96</v>
      </c>
      <c r="E10" s="8"/>
      <c r="F10" s="8"/>
      <c r="G10" s="8"/>
    </row>
    <row r="11" spans="3:7" x14ac:dyDescent="0.35">
      <c r="C11" s="8" t="s">
        <v>57</v>
      </c>
      <c r="D11" s="8" t="s">
        <v>97</v>
      </c>
      <c r="E11" s="9" t="s">
        <v>896</v>
      </c>
      <c r="F11" s="8"/>
      <c r="G11" s="8"/>
    </row>
    <row r="12" spans="3:7" x14ac:dyDescent="0.35">
      <c r="C12" s="8" t="s">
        <v>57</v>
      </c>
      <c r="D12" s="8" t="s">
        <v>19</v>
      </c>
      <c r="E12" s="8"/>
      <c r="F12" s="8"/>
      <c r="G12" s="8"/>
    </row>
    <row r="13" spans="3:7" x14ac:dyDescent="0.35">
      <c r="C13" s="8" t="s">
        <v>57</v>
      </c>
      <c r="D13" s="8" t="s">
        <v>20</v>
      </c>
      <c r="E13" s="8"/>
      <c r="F13" s="8"/>
      <c r="G13" s="8"/>
    </row>
    <row r="14" spans="3:7" x14ac:dyDescent="0.35">
      <c r="C14" s="8" t="s">
        <v>57</v>
      </c>
      <c r="D14" s="8" t="s">
        <v>21</v>
      </c>
      <c r="E14" s="8"/>
      <c r="F14" s="8"/>
      <c r="G14" s="8"/>
    </row>
    <row r="15" spans="3:7" x14ac:dyDescent="0.35">
      <c r="C15" s="8" t="s">
        <v>57</v>
      </c>
      <c r="D15" s="8" t="s">
        <v>22</v>
      </c>
      <c r="E15" s="8"/>
      <c r="F15" s="8"/>
      <c r="G15" s="8"/>
    </row>
    <row r="16" spans="3:7" x14ac:dyDescent="0.35">
      <c r="C16" s="8" t="s">
        <v>57</v>
      </c>
      <c r="D16" s="8" t="s">
        <v>24</v>
      </c>
      <c r="E16" s="8"/>
      <c r="F16" s="8"/>
      <c r="G16" s="8"/>
    </row>
    <row r="17" spans="3:7" x14ac:dyDescent="0.35">
      <c r="C17" s="8" t="s">
        <v>57</v>
      </c>
      <c r="D17" s="8" t="s">
        <v>23</v>
      </c>
      <c r="E17" s="8"/>
      <c r="F17" s="8"/>
      <c r="G17" s="8"/>
    </row>
    <row r="18" spans="3:7" x14ac:dyDescent="0.35">
      <c r="C18" s="8" t="s">
        <v>57</v>
      </c>
      <c r="D18" s="8" t="s">
        <v>25</v>
      </c>
      <c r="E18" s="9" t="s">
        <v>896</v>
      </c>
      <c r="F18" s="8"/>
      <c r="G18" s="8"/>
    </row>
    <row r="19" spans="3:7" x14ac:dyDescent="0.35">
      <c r="C19" s="8" t="s">
        <v>57</v>
      </c>
      <c r="D19" s="8" t="s">
        <v>26</v>
      </c>
      <c r="E19" s="9" t="s">
        <v>896</v>
      </c>
      <c r="F19" s="8"/>
      <c r="G19" s="8"/>
    </row>
    <row r="20" spans="3:7" x14ac:dyDescent="0.35">
      <c r="C20" s="8" t="s">
        <v>57</v>
      </c>
      <c r="D20" s="8" t="s">
        <v>29</v>
      </c>
      <c r="E20" s="8"/>
      <c r="F20" s="8"/>
      <c r="G20" s="8"/>
    </row>
    <row r="21" spans="3:7" x14ac:dyDescent="0.35">
      <c r="C21" s="8" t="s">
        <v>57</v>
      </c>
      <c r="D21" s="8" t="s">
        <v>16</v>
      </c>
      <c r="E21" s="8"/>
      <c r="F21" s="10" t="s">
        <v>899</v>
      </c>
      <c r="G21" s="8"/>
    </row>
    <row r="22" spans="3:7" x14ac:dyDescent="0.35">
      <c r="C22" s="8" t="s">
        <v>57</v>
      </c>
      <c r="D22" s="8" t="s">
        <v>17</v>
      </c>
      <c r="E22" s="8"/>
      <c r="F22" s="8"/>
      <c r="G22" s="8"/>
    </row>
    <row r="23" spans="3:7" x14ac:dyDescent="0.35">
      <c r="C23" s="8" t="s">
        <v>57</v>
      </c>
      <c r="D23" s="8" t="s">
        <v>30</v>
      </c>
      <c r="E23" s="8"/>
      <c r="F23" s="8"/>
      <c r="G23" s="8"/>
    </row>
    <row r="24" spans="3:7" x14ac:dyDescent="0.35">
      <c r="C24" s="8" t="s">
        <v>57</v>
      </c>
      <c r="D24" s="12" t="s">
        <v>900</v>
      </c>
      <c r="E24" s="13" t="s">
        <v>901</v>
      </c>
      <c r="F24" s="8"/>
      <c r="G24" s="13" t="s">
        <v>903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C1:F13"/>
  <sheetViews>
    <sheetView showGridLines="0" zoomScale="85" zoomScaleNormal="85" workbookViewId="0">
      <selection activeCell="D13" sqref="D13"/>
    </sheetView>
  </sheetViews>
  <sheetFormatPr defaultRowHeight="14.5" x14ac:dyDescent="0.35"/>
  <cols>
    <col min="3" max="3" width="14.6328125" bestFit="1" customWidth="1"/>
    <col min="4" max="4" width="30.1796875" customWidth="1"/>
    <col min="5" max="5" width="13.26953125" bestFit="1" customWidth="1"/>
    <col min="6" max="6" width="20.81640625" bestFit="1" customWidth="1"/>
    <col min="7" max="7" width="90.453125" bestFit="1" customWidth="1"/>
  </cols>
  <sheetData>
    <row r="1" spans="3:6" x14ac:dyDescent="0.35">
      <c r="E1" s="1"/>
    </row>
    <row r="2" spans="3:6" x14ac:dyDescent="0.35">
      <c r="C2" s="1" t="s">
        <v>885</v>
      </c>
      <c r="D2" t="s">
        <v>63</v>
      </c>
    </row>
    <row r="5" spans="3:6" x14ac:dyDescent="0.35">
      <c r="C5" s="1" t="s">
        <v>894</v>
      </c>
      <c r="D5" s="6" t="s">
        <v>893</v>
      </c>
    </row>
    <row r="7" spans="3:6" x14ac:dyDescent="0.35">
      <c r="C7" s="7" t="s">
        <v>889</v>
      </c>
      <c r="D7" s="7" t="s">
        <v>890</v>
      </c>
      <c r="E7" s="7" t="s">
        <v>891</v>
      </c>
      <c r="F7" s="7" t="s">
        <v>892</v>
      </c>
    </row>
    <row r="8" spans="3:6" x14ac:dyDescent="0.35">
      <c r="C8" s="8" t="s">
        <v>63</v>
      </c>
      <c r="D8" s="8" t="s">
        <v>49</v>
      </c>
      <c r="E8" s="8"/>
      <c r="F8" s="8"/>
    </row>
    <row r="9" spans="3:6" x14ac:dyDescent="0.35">
      <c r="C9" s="8" t="s">
        <v>63</v>
      </c>
      <c r="D9" s="8" t="s">
        <v>95</v>
      </c>
      <c r="E9" s="8"/>
      <c r="F9" s="8"/>
    </row>
    <row r="10" spans="3:6" x14ac:dyDescent="0.35">
      <c r="C10" s="8" t="s">
        <v>63</v>
      </c>
      <c r="D10" s="8" t="s">
        <v>96</v>
      </c>
      <c r="E10" s="8"/>
      <c r="F10" s="8"/>
    </row>
    <row r="11" spans="3:6" x14ac:dyDescent="0.35">
      <c r="C11" s="8" t="s">
        <v>63</v>
      </c>
      <c r="D11" s="8" t="s">
        <v>97</v>
      </c>
      <c r="E11" s="9" t="s">
        <v>896</v>
      </c>
      <c r="F11" s="8"/>
    </row>
    <row r="12" spans="3:6" x14ac:dyDescent="0.35">
      <c r="C12" s="8" t="s">
        <v>63</v>
      </c>
      <c r="D12" s="8" t="s">
        <v>50</v>
      </c>
      <c r="E12" s="8"/>
      <c r="F12" s="8"/>
    </row>
    <row r="13" spans="3:6" x14ac:dyDescent="0.35">
      <c r="C13" s="8" t="s">
        <v>63</v>
      </c>
      <c r="D13" s="8" t="s">
        <v>16</v>
      </c>
      <c r="E13" s="8"/>
      <c r="F13" s="8" t="s">
        <v>905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C1:F16"/>
  <sheetViews>
    <sheetView showGridLines="0" zoomScale="85" zoomScaleNormal="85" workbookViewId="0">
      <selection activeCell="D8" sqref="D8"/>
    </sheetView>
  </sheetViews>
  <sheetFormatPr defaultRowHeight="14.5" x14ac:dyDescent="0.35"/>
  <cols>
    <col min="3" max="3" width="14.6328125" bestFit="1" customWidth="1"/>
    <col min="4" max="4" width="30.1796875" customWidth="1"/>
    <col min="5" max="5" width="13.26953125" bestFit="1" customWidth="1"/>
    <col min="6" max="6" width="20.81640625" bestFit="1" customWidth="1"/>
    <col min="7" max="7" width="90.453125" bestFit="1" customWidth="1"/>
  </cols>
  <sheetData>
    <row r="1" spans="3:6" x14ac:dyDescent="0.35">
      <c r="E1" s="1"/>
    </row>
    <row r="2" spans="3:6" x14ac:dyDescent="0.35">
      <c r="C2" s="1" t="s">
        <v>885</v>
      </c>
      <c r="D2" t="s">
        <v>62</v>
      </c>
    </row>
    <row r="5" spans="3:6" x14ac:dyDescent="0.35">
      <c r="C5" s="1" t="s">
        <v>894</v>
      </c>
      <c r="D5" s="6" t="s">
        <v>893</v>
      </c>
    </row>
    <row r="7" spans="3:6" x14ac:dyDescent="0.35">
      <c r="C7" s="7" t="s">
        <v>889</v>
      </c>
      <c r="D7" s="7" t="s">
        <v>890</v>
      </c>
      <c r="E7" s="7" t="s">
        <v>891</v>
      </c>
      <c r="F7" s="7" t="s">
        <v>892</v>
      </c>
    </row>
    <row r="8" spans="3:6" x14ac:dyDescent="0.35">
      <c r="C8" s="8" t="s">
        <v>62</v>
      </c>
      <c r="D8" s="8" t="s">
        <v>43</v>
      </c>
      <c r="E8" s="8"/>
      <c r="F8" s="8"/>
    </row>
    <row r="9" spans="3:6" x14ac:dyDescent="0.35">
      <c r="C9" s="8" t="s">
        <v>62</v>
      </c>
      <c r="D9" s="8" t="s">
        <v>44</v>
      </c>
      <c r="E9" s="8"/>
      <c r="F9" s="8" t="s">
        <v>907</v>
      </c>
    </row>
    <row r="10" spans="3:6" x14ac:dyDescent="0.35">
      <c r="C10" s="8" t="s">
        <v>62</v>
      </c>
      <c r="D10" s="8" t="s">
        <v>96</v>
      </c>
      <c r="E10" s="8"/>
      <c r="F10" s="8"/>
    </row>
    <row r="11" spans="3:6" x14ac:dyDescent="0.35">
      <c r="C11" s="8" t="s">
        <v>62</v>
      </c>
      <c r="D11" s="8" t="s">
        <v>97</v>
      </c>
      <c r="E11" s="9" t="s">
        <v>896</v>
      </c>
      <c r="F11" s="8"/>
    </row>
    <row r="12" spans="3:6" x14ac:dyDescent="0.35">
      <c r="C12" s="8" t="s">
        <v>62</v>
      </c>
      <c r="D12" s="8" t="s">
        <v>25</v>
      </c>
      <c r="E12" s="9" t="s">
        <v>896</v>
      </c>
      <c r="F12" s="8"/>
    </row>
    <row r="13" spans="3:6" x14ac:dyDescent="0.35">
      <c r="C13" s="8" t="s">
        <v>62</v>
      </c>
      <c r="D13" s="8" t="s">
        <v>26</v>
      </c>
      <c r="E13" s="9" t="s">
        <v>896</v>
      </c>
      <c r="F13" s="8"/>
    </row>
    <row r="14" spans="3:6" x14ac:dyDescent="0.35">
      <c r="C14" s="8" t="s">
        <v>62</v>
      </c>
      <c r="D14" s="8" t="s">
        <v>47</v>
      </c>
      <c r="E14" s="8"/>
      <c r="F14" s="8" t="s">
        <v>908</v>
      </c>
    </row>
    <row r="15" spans="3:6" x14ac:dyDescent="0.35">
      <c r="C15" s="8" t="s">
        <v>62</v>
      </c>
      <c r="D15" s="8" t="s">
        <v>16</v>
      </c>
      <c r="E15" s="8"/>
      <c r="F15" s="8" t="s">
        <v>906</v>
      </c>
    </row>
    <row r="16" spans="3:6" x14ac:dyDescent="0.35">
      <c r="C16" s="8" t="s">
        <v>62</v>
      </c>
      <c r="D16" s="8" t="s">
        <v>48</v>
      </c>
      <c r="E16" s="8"/>
      <c r="F16" s="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C1:F12"/>
  <sheetViews>
    <sheetView showGridLines="0" zoomScale="85" zoomScaleNormal="85" workbookViewId="0">
      <selection activeCell="F12" sqref="F12"/>
    </sheetView>
  </sheetViews>
  <sheetFormatPr defaultRowHeight="14.5" x14ac:dyDescent="0.35"/>
  <cols>
    <col min="3" max="3" width="14.6328125" bestFit="1" customWidth="1"/>
    <col min="4" max="4" width="30.1796875" customWidth="1"/>
    <col min="5" max="5" width="13.26953125" bestFit="1" customWidth="1"/>
    <col min="6" max="6" width="20.81640625" bestFit="1" customWidth="1"/>
    <col min="7" max="7" width="90.453125" bestFit="1" customWidth="1"/>
  </cols>
  <sheetData>
    <row r="1" spans="3:6" x14ac:dyDescent="0.35">
      <c r="E1" s="1"/>
    </row>
    <row r="2" spans="3:6" x14ac:dyDescent="0.35">
      <c r="C2" s="1" t="s">
        <v>885</v>
      </c>
      <c r="D2" t="s">
        <v>959</v>
      </c>
    </row>
    <row r="5" spans="3:6" x14ac:dyDescent="0.35">
      <c r="C5" s="1" t="s">
        <v>894</v>
      </c>
      <c r="D5" s="6" t="s">
        <v>893</v>
      </c>
    </row>
    <row r="7" spans="3:6" x14ac:dyDescent="0.35">
      <c r="C7" s="7" t="s">
        <v>889</v>
      </c>
      <c r="D7" s="7" t="s">
        <v>890</v>
      </c>
      <c r="E7" s="7" t="s">
        <v>891</v>
      </c>
      <c r="F7" s="7" t="s">
        <v>892</v>
      </c>
    </row>
    <row r="8" spans="3:6" x14ac:dyDescent="0.35">
      <c r="C8" s="8" t="s">
        <v>959</v>
      </c>
      <c r="D8" s="8" t="s">
        <v>957</v>
      </c>
      <c r="E8" s="8"/>
      <c r="F8" s="8"/>
    </row>
    <row r="9" spans="3:6" x14ac:dyDescent="0.35">
      <c r="C9" s="8" t="s">
        <v>959</v>
      </c>
      <c r="D9" s="8" t="s">
        <v>96</v>
      </c>
      <c r="E9" s="8"/>
      <c r="F9" s="8"/>
    </row>
    <row r="10" spans="3:6" x14ac:dyDescent="0.35">
      <c r="C10" s="8" t="s">
        <v>959</v>
      </c>
      <c r="D10" s="23" t="s">
        <v>97</v>
      </c>
      <c r="E10" s="9" t="s">
        <v>896</v>
      </c>
      <c r="F10" s="8"/>
    </row>
    <row r="11" spans="3:6" x14ac:dyDescent="0.35">
      <c r="C11" s="8" t="s">
        <v>959</v>
      </c>
      <c r="D11" s="24" t="s">
        <v>958</v>
      </c>
      <c r="E11" s="8"/>
      <c r="F11" s="8"/>
    </row>
    <row r="12" spans="3:6" x14ac:dyDescent="0.35">
      <c r="C12" s="8" t="s">
        <v>959</v>
      </c>
      <c r="D12" s="8" t="s">
        <v>16</v>
      </c>
      <c r="E12" s="8"/>
      <c r="F12" s="8" t="s">
        <v>960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D24"/>
  <sheetViews>
    <sheetView workbookViewId="0">
      <selection activeCell="B1" sqref="B1:C1048576"/>
    </sheetView>
  </sheetViews>
  <sheetFormatPr defaultRowHeight="14.5" x14ac:dyDescent="0.35"/>
  <cols>
    <col min="1" max="1" width="17" bestFit="1" customWidth="1"/>
    <col min="2" max="2" width="28" bestFit="1" customWidth="1"/>
    <col min="3" max="3" width="27" bestFit="1" customWidth="1"/>
  </cols>
  <sheetData>
    <row r="1" spans="1:4" x14ac:dyDescent="0.35">
      <c r="A1" t="s">
        <v>957</v>
      </c>
      <c r="B1" t="s">
        <v>96</v>
      </c>
      <c r="C1" t="s">
        <v>97</v>
      </c>
      <c r="D1" t="s">
        <v>958</v>
      </c>
    </row>
    <row r="2" spans="1:4" x14ac:dyDescent="0.35">
      <c r="A2">
        <v>76852</v>
      </c>
      <c r="C2" s="2" t="s">
        <v>883</v>
      </c>
      <c r="D2" s="3">
        <f t="shared" ref="D2:D24" ca="1" si="0">RANDBETWEEN(4,6.5)/100</f>
        <v>0.06</v>
      </c>
    </row>
    <row r="3" spans="1:4" x14ac:dyDescent="0.35">
      <c r="A3">
        <v>76853</v>
      </c>
      <c r="C3" s="2" t="s">
        <v>883</v>
      </c>
      <c r="D3" s="3">
        <f t="shared" ca="1" si="0"/>
        <v>0.05</v>
      </c>
    </row>
    <row r="4" spans="1:4" x14ac:dyDescent="0.35">
      <c r="A4">
        <v>76854</v>
      </c>
      <c r="C4" s="2" t="s">
        <v>883</v>
      </c>
      <c r="D4" s="3">
        <f t="shared" ca="1" si="0"/>
        <v>0.04</v>
      </c>
    </row>
    <row r="5" spans="1:4" x14ac:dyDescent="0.35">
      <c r="A5">
        <v>76855</v>
      </c>
      <c r="C5" s="2" t="s">
        <v>883</v>
      </c>
      <c r="D5" s="3">
        <f t="shared" ca="1" si="0"/>
        <v>0.06</v>
      </c>
    </row>
    <row r="6" spans="1:4" x14ac:dyDescent="0.35">
      <c r="A6">
        <v>76856</v>
      </c>
      <c r="C6" s="2" t="s">
        <v>883</v>
      </c>
      <c r="D6" s="3">
        <f t="shared" ca="1" si="0"/>
        <v>0.05</v>
      </c>
    </row>
    <row r="7" spans="1:4" x14ac:dyDescent="0.35">
      <c r="A7">
        <v>76857</v>
      </c>
      <c r="C7" s="2" t="s">
        <v>883</v>
      </c>
      <c r="D7" s="3">
        <f t="shared" ca="1" si="0"/>
        <v>0.06</v>
      </c>
    </row>
    <row r="8" spans="1:4" x14ac:dyDescent="0.35">
      <c r="A8">
        <v>76858</v>
      </c>
      <c r="C8" s="2" t="s">
        <v>883</v>
      </c>
      <c r="D8" s="3">
        <f t="shared" ca="1" si="0"/>
        <v>0.05</v>
      </c>
    </row>
    <row r="9" spans="1:4" x14ac:dyDescent="0.35">
      <c r="A9">
        <v>76859</v>
      </c>
      <c r="C9" s="2" t="s">
        <v>883</v>
      </c>
      <c r="D9" s="3">
        <f t="shared" ca="1" si="0"/>
        <v>0.05</v>
      </c>
    </row>
    <row r="10" spans="1:4" x14ac:dyDescent="0.35">
      <c r="A10">
        <v>76860</v>
      </c>
      <c r="C10" s="2" t="s">
        <v>883</v>
      </c>
      <c r="D10" s="3">
        <f t="shared" ca="1" si="0"/>
        <v>0.04</v>
      </c>
    </row>
    <row r="11" spans="1:4" x14ac:dyDescent="0.35">
      <c r="A11">
        <v>76861</v>
      </c>
      <c r="C11" s="2" t="s">
        <v>883</v>
      </c>
      <c r="D11" s="3">
        <f t="shared" ca="1" si="0"/>
        <v>0.06</v>
      </c>
    </row>
    <row r="12" spans="1:4" x14ac:dyDescent="0.35">
      <c r="A12">
        <v>76862</v>
      </c>
      <c r="C12" s="2" t="s">
        <v>883</v>
      </c>
      <c r="D12" s="3">
        <f t="shared" ca="1" si="0"/>
        <v>0.04</v>
      </c>
    </row>
    <row r="13" spans="1:4" x14ac:dyDescent="0.35">
      <c r="A13">
        <v>76863</v>
      </c>
      <c r="C13" s="2" t="s">
        <v>883</v>
      </c>
      <c r="D13" s="3">
        <f t="shared" ca="1" si="0"/>
        <v>0.04</v>
      </c>
    </row>
    <row r="14" spans="1:4" x14ac:dyDescent="0.35">
      <c r="A14">
        <v>76864</v>
      </c>
      <c r="C14" s="2" t="s">
        <v>883</v>
      </c>
      <c r="D14" s="3">
        <f t="shared" ca="1" si="0"/>
        <v>0.04</v>
      </c>
    </row>
    <row r="15" spans="1:4" x14ac:dyDescent="0.35">
      <c r="A15">
        <v>76865</v>
      </c>
      <c r="C15" s="2" t="s">
        <v>883</v>
      </c>
      <c r="D15" s="3">
        <f t="shared" ca="1" si="0"/>
        <v>0.06</v>
      </c>
    </row>
    <row r="16" spans="1:4" x14ac:dyDescent="0.35">
      <c r="A16">
        <v>76866</v>
      </c>
      <c r="C16" s="2" t="s">
        <v>883</v>
      </c>
      <c r="D16" s="3">
        <f t="shared" ca="1" si="0"/>
        <v>0.06</v>
      </c>
    </row>
    <row r="17" spans="1:4" x14ac:dyDescent="0.35">
      <c r="A17">
        <v>76867</v>
      </c>
      <c r="C17" s="2" t="s">
        <v>883</v>
      </c>
      <c r="D17" s="3">
        <f t="shared" ca="1" si="0"/>
        <v>0.06</v>
      </c>
    </row>
    <row r="18" spans="1:4" x14ac:dyDescent="0.35">
      <c r="A18">
        <v>76868</v>
      </c>
      <c r="C18" s="2" t="s">
        <v>883</v>
      </c>
      <c r="D18" s="3">
        <f t="shared" ca="1" si="0"/>
        <v>0.06</v>
      </c>
    </row>
    <row r="19" spans="1:4" x14ac:dyDescent="0.35">
      <c r="A19">
        <v>76869</v>
      </c>
      <c r="C19" s="2" t="s">
        <v>883</v>
      </c>
      <c r="D19" s="3">
        <f t="shared" ca="1" si="0"/>
        <v>0.06</v>
      </c>
    </row>
    <row r="20" spans="1:4" x14ac:dyDescent="0.35">
      <c r="A20">
        <v>76870</v>
      </c>
      <c r="C20" s="2" t="s">
        <v>883</v>
      </c>
      <c r="D20" s="3">
        <f t="shared" ca="1" si="0"/>
        <v>0.05</v>
      </c>
    </row>
    <row r="21" spans="1:4" x14ac:dyDescent="0.35">
      <c r="A21">
        <v>76871</v>
      </c>
      <c r="C21" s="2" t="s">
        <v>883</v>
      </c>
      <c r="D21" s="3">
        <f t="shared" ca="1" si="0"/>
        <v>0.06</v>
      </c>
    </row>
    <row r="22" spans="1:4" x14ac:dyDescent="0.35">
      <c r="A22">
        <v>76872</v>
      </c>
      <c r="C22" s="2" t="s">
        <v>883</v>
      </c>
      <c r="D22" s="3">
        <f t="shared" ca="1" si="0"/>
        <v>0.04</v>
      </c>
    </row>
    <row r="23" spans="1:4" x14ac:dyDescent="0.35">
      <c r="A23">
        <v>76873</v>
      </c>
      <c r="C23" s="2" t="s">
        <v>883</v>
      </c>
      <c r="D23" s="3">
        <f t="shared" ca="1" si="0"/>
        <v>0.05</v>
      </c>
    </row>
    <row r="24" spans="1:4" x14ac:dyDescent="0.35">
      <c r="A24">
        <v>76874</v>
      </c>
      <c r="C24" s="2" t="s">
        <v>883</v>
      </c>
      <c r="D24" s="3">
        <f t="shared" ca="1" si="0"/>
        <v>0.06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C1:G35"/>
  <sheetViews>
    <sheetView showGridLines="0" topLeftCell="B1" zoomScale="85" zoomScaleNormal="85" workbookViewId="0">
      <selection activeCell="E15" sqref="E15"/>
    </sheetView>
  </sheetViews>
  <sheetFormatPr defaultRowHeight="14.5" x14ac:dyDescent="0.35"/>
  <cols>
    <col min="3" max="3" width="14.6328125" bestFit="1" customWidth="1"/>
    <col min="4" max="4" width="30.1796875" customWidth="1"/>
    <col min="5" max="5" width="27.1796875" bestFit="1" customWidth="1"/>
    <col min="6" max="6" width="20.81640625" bestFit="1" customWidth="1"/>
    <col min="7" max="7" width="90.453125" bestFit="1" customWidth="1"/>
  </cols>
  <sheetData>
    <row r="1" spans="3:7" x14ac:dyDescent="0.35">
      <c r="C1" s="1" t="s">
        <v>889</v>
      </c>
      <c r="D1" s="1" t="s">
        <v>888</v>
      </c>
      <c r="E1" s="1" t="s">
        <v>889</v>
      </c>
      <c r="F1" s="1" t="s">
        <v>888</v>
      </c>
    </row>
    <row r="3" spans="3:7" x14ac:dyDescent="0.35">
      <c r="C3" s="7" t="s">
        <v>60</v>
      </c>
      <c r="D3" s="8" t="s">
        <v>959</v>
      </c>
      <c r="E3" s="7" t="s">
        <v>972</v>
      </c>
      <c r="F3" s="8" t="s">
        <v>957</v>
      </c>
    </row>
    <row r="4" spans="3:7" x14ac:dyDescent="0.35">
      <c r="C4" s="7" t="s">
        <v>60</v>
      </c>
      <c r="D4" s="8" t="s">
        <v>42</v>
      </c>
      <c r="E4" s="7" t="s">
        <v>973</v>
      </c>
      <c r="F4" s="8" t="s">
        <v>43</v>
      </c>
    </row>
    <row r="5" spans="3:7" x14ac:dyDescent="0.35">
      <c r="C5" s="7" t="s">
        <v>60</v>
      </c>
      <c r="D5" s="8" t="s">
        <v>38</v>
      </c>
      <c r="E5" s="20" t="s">
        <v>969</v>
      </c>
      <c r="F5" s="8" t="s">
        <v>30</v>
      </c>
    </row>
    <row r="8" spans="3:7" x14ac:dyDescent="0.35">
      <c r="C8" s="1" t="s">
        <v>894</v>
      </c>
      <c r="D8" s="6" t="s">
        <v>893</v>
      </c>
    </row>
    <row r="10" spans="3:7" x14ac:dyDescent="0.35">
      <c r="C10" s="7" t="s">
        <v>889</v>
      </c>
      <c r="D10" s="7" t="s">
        <v>890</v>
      </c>
      <c r="E10" s="7" t="s">
        <v>891</v>
      </c>
      <c r="F10" s="7" t="s">
        <v>892</v>
      </c>
      <c r="G10" s="11" t="s">
        <v>902</v>
      </c>
    </row>
    <row r="11" spans="3:7" x14ac:dyDescent="0.35">
      <c r="C11" s="8" t="s">
        <v>60</v>
      </c>
      <c r="D11" s="8" t="s">
        <v>33</v>
      </c>
      <c r="E11" s="8"/>
      <c r="F11" s="8"/>
      <c r="G11" s="8"/>
    </row>
    <row r="12" spans="3:7" x14ac:dyDescent="0.35">
      <c r="C12" s="8" t="s">
        <v>60</v>
      </c>
      <c r="D12" s="8" t="s">
        <v>909</v>
      </c>
      <c r="E12" s="8"/>
      <c r="F12" s="8"/>
      <c r="G12" s="8"/>
    </row>
    <row r="13" spans="3:7" x14ac:dyDescent="0.35">
      <c r="C13" s="8" t="s">
        <v>60</v>
      </c>
      <c r="D13" s="8" t="s">
        <v>27</v>
      </c>
      <c r="E13" s="8"/>
      <c r="F13" s="8" t="s">
        <v>970</v>
      </c>
      <c r="G13" s="8"/>
    </row>
    <row r="14" spans="3:7" x14ac:dyDescent="0.35">
      <c r="C14" s="8" t="s">
        <v>60</v>
      </c>
      <c r="D14" s="8" t="s">
        <v>96</v>
      </c>
      <c r="E14" s="8"/>
      <c r="F14" s="8"/>
      <c r="G14" s="8"/>
    </row>
    <row r="15" spans="3:7" x14ac:dyDescent="0.35">
      <c r="C15" s="8" t="s">
        <v>60</v>
      </c>
      <c r="D15" s="8" t="s">
        <v>97</v>
      </c>
      <c r="E15" s="9" t="s">
        <v>896</v>
      </c>
      <c r="F15" s="8"/>
      <c r="G15" s="8"/>
    </row>
    <row r="16" spans="3:7" x14ac:dyDescent="0.35">
      <c r="C16" s="8" t="s">
        <v>60</v>
      </c>
      <c r="D16" s="8" t="s">
        <v>34</v>
      </c>
      <c r="E16" s="8"/>
      <c r="F16" s="8"/>
      <c r="G16" s="8"/>
    </row>
    <row r="17" spans="3:7" x14ac:dyDescent="0.35">
      <c r="C17" s="8" t="s">
        <v>60</v>
      </c>
      <c r="D17" s="8" t="s">
        <v>35</v>
      </c>
      <c r="E17" s="8"/>
      <c r="F17" s="8"/>
      <c r="G17" s="8"/>
    </row>
    <row r="18" spans="3:7" x14ac:dyDescent="0.35">
      <c r="C18" s="8" t="s">
        <v>60</v>
      </c>
      <c r="D18" s="8" t="s">
        <v>46</v>
      </c>
      <c r="E18" s="8"/>
      <c r="F18" s="8"/>
      <c r="G18" s="8"/>
    </row>
    <row r="19" spans="3:7" x14ac:dyDescent="0.35">
      <c r="C19" s="8" t="s">
        <v>60</v>
      </c>
      <c r="D19" s="8" t="s">
        <v>959</v>
      </c>
      <c r="E19" s="8"/>
      <c r="F19" s="8" t="s">
        <v>961</v>
      </c>
      <c r="G19" s="8"/>
    </row>
    <row r="20" spans="3:7" x14ac:dyDescent="0.35">
      <c r="C20" s="8" t="s">
        <v>959</v>
      </c>
      <c r="D20" s="8" t="s">
        <v>958</v>
      </c>
      <c r="E20" s="8"/>
      <c r="F20" s="8" t="s">
        <v>66</v>
      </c>
      <c r="G20" s="8"/>
    </row>
    <row r="21" spans="3:7" x14ac:dyDescent="0.35">
      <c r="C21" s="8"/>
      <c r="D21" s="8" t="s">
        <v>974</v>
      </c>
      <c r="E21" s="8" t="s">
        <v>975</v>
      </c>
      <c r="F21" s="8" t="s">
        <v>974</v>
      </c>
      <c r="G21" s="12" t="s">
        <v>977</v>
      </c>
    </row>
    <row r="22" spans="3:7" x14ac:dyDescent="0.35">
      <c r="C22" s="8" t="s">
        <v>60</v>
      </c>
      <c r="D22" s="8" t="s">
        <v>36</v>
      </c>
      <c r="E22" s="8"/>
      <c r="F22" s="8"/>
      <c r="G22" s="8"/>
    </row>
    <row r="23" spans="3:7" x14ac:dyDescent="0.35">
      <c r="C23" s="8" t="s">
        <v>60</v>
      </c>
      <c r="D23" s="8" t="s">
        <v>42</v>
      </c>
      <c r="E23" s="8"/>
      <c r="F23" s="8"/>
      <c r="G23" s="8"/>
    </row>
    <row r="24" spans="3:7" x14ac:dyDescent="0.35">
      <c r="C24" s="25" t="s">
        <v>969</v>
      </c>
      <c r="D24" s="25" t="s">
        <v>926</v>
      </c>
      <c r="E24" s="8"/>
      <c r="F24" s="8" t="s">
        <v>962</v>
      </c>
      <c r="G24" s="8"/>
    </row>
    <row r="25" spans="3:7" x14ac:dyDescent="0.35">
      <c r="C25" s="8" t="s">
        <v>60</v>
      </c>
      <c r="D25" s="8" t="s">
        <v>39</v>
      </c>
      <c r="E25" s="9" t="s">
        <v>896</v>
      </c>
      <c r="F25" s="8"/>
      <c r="G25" s="8"/>
    </row>
    <row r="26" spans="3:7" x14ac:dyDescent="0.35">
      <c r="C26" s="8" t="s">
        <v>60</v>
      </c>
      <c r="D26" s="8" t="s">
        <v>40</v>
      </c>
      <c r="E26" s="9" t="s">
        <v>896</v>
      </c>
      <c r="F26" s="8"/>
      <c r="G26" s="8"/>
    </row>
    <row r="27" spans="3:7" x14ac:dyDescent="0.35">
      <c r="C27" s="8" t="s">
        <v>60</v>
      </c>
      <c r="D27" s="8" t="s">
        <v>51</v>
      </c>
      <c r="E27" s="9" t="s">
        <v>896</v>
      </c>
      <c r="F27" s="8"/>
      <c r="G27" s="8"/>
    </row>
    <row r="28" spans="3:7" x14ac:dyDescent="0.35">
      <c r="C28" s="8" t="s">
        <v>60</v>
      </c>
      <c r="D28" s="8" t="s">
        <v>39</v>
      </c>
      <c r="E28" s="8" t="s">
        <v>971</v>
      </c>
      <c r="F28" s="8" t="s">
        <v>964</v>
      </c>
      <c r="G28" s="8"/>
    </row>
    <row r="29" spans="3:7" x14ac:dyDescent="0.35">
      <c r="C29" s="8" t="s">
        <v>60</v>
      </c>
      <c r="D29" s="8" t="s">
        <v>40</v>
      </c>
      <c r="E29" s="8" t="s">
        <v>971</v>
      </c>
      <c r="F29" s="8" t="s">
        <v>965</v>
      </c>
      <c r="G29" s="8"/>
    </row>
    <row r="30" spans="3:7" x14ac:dyDescent="0.35">
      <c r="C30" s="8" t="s">
        <v>60</v>
      </c>
      <c r="D30" s="8" t="s">
        <v>51</v>
      </c>
      <c r="E30" s="8" t="s">
        <v>971</v>
      </c>
      <c r="F30" s="8" t="s">
        <v>966</v>
      </c>
      <c r="G30" s="8"/>
    </row>
    <row r="31" spans="3:7" x14ac:dyDescent="0.35">
      <c r="C31" s="8" t="s">
        <v>60</v>
      </c>
      <c r="D31" s="8" t="s">
        <v>52</v>
      </c>
      <c r="E31" s="8"/>
      <c r="F31" s="8"/>
      <c r="G31" s="8"/>
    </row>
    <row r="32" spans="3:7" x14ac:dyDescent="0.35">
      <c r="C32" s="8" t="s">
        <v>60</v>
      </c>
      <c r="D32" s="8" t="s">
        <v>967</v>
      </c>
      <c r="E32" s="8"/>
      <c r="F32" s="8" t="s">
        <v>976</v>
      </c>
      <c r="G32" s="8"/>
    </row>
    <row r="33" spans="3:7" x14ac:dyDescent="0.35">
      <c r="C33" s="8" t="s">
        <v>60</v>
      </c>
      <c r="D33" s="8" t="s">
        <v>45</v>
      </c>
      <c r="E33" s="8"/>
      <c r="F33" s="8"/>
      <c r="G33" s="8"/>
    </row>
    <row r="34" spans="3:7" x14ac:dyDescent="0.35">
      <c r="C34" s="8" t="s">
        <v>60</v>
      </c>
      <c r="D34" s="8" t="s">
        <v>16</v>
      </c>
      <c r="E34" s="8"/>
      <c r="F34" s="8" t="s">
        <v>968</v>
      </c>
      <c r="G34" s="8"/>
    </row>
    <row r="35" spans="3:7" x14ac:dyDescent="0.35">
      <c r="C35" s="8" t="s">
        <v>60</v>
      </c>
      <c r="D35" s="8" t="s">
        <v>48</v>
      </c>
      <c r="E35" s="8"/>
      <c r="F35" s="8" t="s">
        <v>963</v>
      </c>
      <c r="G35" s="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5"/>
  </sheetPr>
  <dimension ref="A1"/>
  <sheetViews>
    <sheetView workbookViewId="0">
      <selection activeCell="J17" sqref="J17"/>
    </sheetView>
  </sheetViews>
  <sheetFormatPr defaultRowHeight="14.5" x14ac:dyDescent="0.35"/>
  <cols>
    <col min="1" max="1" width="13.6328125" bestFit="1" customWidth="1"/>
    <col min="2" max="2" width="15.26953125" bestFit="1" customWidth="1"/>
    <col min="3" max="3" width="6.26953125" bestFit="1" customWidth="1"/>
    <col min="4" max="4" width="3.7265625" bestFit="1" customWidth="1"/>
    <col min="5" max="5" width="4.81640625" bestFit="1" customWidth="1"/>
    <col min="6" max="6" width="11.7265625" bestFit="1" customWidth="1"/>
    <col min="7" max="7" width="10.26953125" bestFit="1" customWidth="1"/>
    <col min="8" max="8" width="12.54296875" bestFit="1" customWidth="1"/>
    <col min="9" max="9" width="8.90625" bestFit="1" customWidth="1"/>
    <col min="10" max="10" width="11.453125" bestFit="1" customWidth="1"/>
    <col min="11" max="11" width="20.453125" bestFit="1" customWidth="1"/>
    <col min="12" max="12" width="12.6328125" bestFit="1" customWidth="1"/>
    <col min="13" max="13" width="14.6328125" bestFit="1" customWidth="1"/>
    <col min="16" max="16" width="12.08984375" bestFit="1" customWidth="1"/>
  </cols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5"/>
  </sheetPr>
  <dimension ref="A1:P2000"/>
  <sheetViews>
    <sheetView topLeftCell="E1" workbookViewId="0">
      <selection sqref="A1:P1"/>
    </sheetView>
  </sheetViews>
  <sheetFormatPr defaultRowHeight="14.5" x14ac:dyDescent="0.35"/>
  <cols>
    <col min="1" max="1" width="20.26953125" bestFit="1" customWidth="1"/>
    <col min="2" max="2" width="28" customWidth="1"/>
    <col min="3" max="3" width="25.36328125" customWidth="1"/>
    <col min="4" max="4" width="15.26953125" bestFit="1" customWidth="1"/>
    <col min="5" max="5" width="11.81640625" bestFit="1" customWidth="1"/>
    <col min="6" max="6" width="3.7265625" bestFit="1" customWidth="1"/>
    <col min="7" max="7" width="4.81640625" bestFit="1" customWidth="1"/>
    <col min="8" max="8" width="12.7265625" bestFit="1" customWidth="1"/>
    <col min="9" max="9" width="12.54296875" bestFit="1" customWidth="1"/>
    <col min="10" max="11" width="19.26953125" bestFit="1" customWidth="1"/>
    <col min="12" max="12" width="19.26953125" customWidth="1"/>
    <col min="13" max="13" width="30.81640625" customWidth="1"/>
    <col min="15" max="15" width="16.08984375" bestFit="1" customWidth="1"/>
  </cols>
  <sheetData>
    <row r="1" spans="1:16" x14ac:dyDescent="0.35">
      <c r="A1" t="s">
        <v>4611</v>
      </c>
      <c r="B1" t="s">
        <v>96</v>
      </c>
      <c r="C1" t="s">
        <v>97</v>
      </c>
      <c r="D1" t="s">
        <v>4612</v>
      </c>
      <c r="E1" t="s">
        <v>43</v>
      </c>
      <c r="F1" t="s">
        <v>34</v>
      </c>
      <c r="G1" t="s">
        <v>47</v>
      </c>
      <c r="H1" t="s">
        <v>70</v>
      </c>
      <c r="I1" t="s">
        <v>30</v>
      </c>
      <c r="J1" t="s">
        <v>67</v>
      </c>
      <c r="K1" t="s">
        <v>68</v>
      </c>
      <c r="L1" t="s">
        <v>51</v>
      </c>
      <c r="M1" t="s">
        <v>52</v>
      </c>
      <c r="N1" t="s">
        <v>69</v>
      </c>
      <c r="O1" t="s">
        <v>4613</v>
      </c>
      <c r="P1" t="s">
        <v>16</v>
      </c>
    </row>
    <row r="2" spans="1:16" x14ac:dyDescent="0.35">
      <c r="A2">
        <v>93827211982</v>
      </c>
      <c r="C2" s="2" t="s">
        <v>883</v>
      </c>
      <c r="D2">
        <v>1</v>
      </c>
      <c r="E2">
        <v>76891213323</v>
      </c>
      <c r="F2">
        <f ca="1">RANDBETWEEN(1,100)</f>
        <v>65</v>
      </c>
      <c r="G2">
        <f ca="1">VLOOKUP(E2,PurchItem!$A$2:$H$508,8,0)</f>
        <v>2479.1591943264802</v>
      </c>
      <c r="H2">
        <v>0.04</v>
      </c>
      <c r="I2" t="s">
        <v>244</v>
      </c>
      <c r="J2" s="5">
        <v>44601.594524409724</v>
      </c>
      <c r="K2" s="5">
        <v>44602.189048819448</v>
      </c>
      <c r="L2" s="5">
        <v>44608.783573229171</v>
      </c>
      <c r="M2">
        <v>10029727212</v>
      </c>
      <c r="N2">
        <v>11000</v>
      </c>
      <c r="O2" t="s">
        <v>1001</v>
      </c>
      <c r="P2">
        <v>52936136</v>
      </c>
    </row>
    <row r="3" spans="1:16" x14ac:dyDescent="0.35">
      <c r="A3">
        <v>93827211982</v>
      </c>
      <c r="C3" s="2" t="s">
        <v>883</v>
      </c>
      <c r="D3">
        <v>2</v>
      </c>
      <c r="E3">
        <v>76891213151</v>
      </c>
      <c r="F3">
        <f t="shared" ref="F3:F66" ca="1" si="0">RANDBETWEEN(1,100)</f>
        <v>79</v>
      </c>
      <c r="G3">
        <f ca="1">VLOOKUP(E3,PurchItem!$A$2:$H$508,8,0)</f>
        <v>6578.9489505152096</v>
      </c>
      <c r="H3">
        <v>0.05</v>
      </c>
      <c r="I3" t="s">
        <v>244</v>
      </c>
      <c r="J3" s="5">
        <v>44933.594524409724</v>
      </c>
      <c r="K3" s="5">
        <v>44935.189048819448</v>
      </c>
      <c r="L3" s="5">
        <v>44942.783573229171</v>
      </c>
      <c r="M3">
        <f>IF(A3&lt;&gt;A2,M2+1,M2)</f>
        <v>10029727212</v>
      </c>
      <c r="N3">
        <f ca="1">IF(M3&lt;&gt;M2,INDEX(CustInfo!$A$2:$A$1001,RANDBETWEEN(1,1000)),N2)</f>
        <v>11000</v>
      </c>
      <c r="O3" t="s">
        <v>1001</v>
      </c>
      <c r="P3">
        <v>52936137</v>
      </c>
    </row>
    <row r="4" spans="1:16" x14ac:dyDescent="0.35">
      <c r="A4">
        <v>93827211982</v>
      </c>
      <c r="C4" s="2" t="s">
        <v>883</v>
      </c>
      <c r="D4">
        <v>3</v>
      </c>
      <c r="E4">
        <v>76891213394</v>
      </c>
      <c r="F4">
        <f t="shared" ca="1" si="0"/>
        <v>52</v>
      </c>
      <c r="G4">
        <f ca="1">VLOOKUP(E4,PurchItem!$A$2:$H$508,8,0)</f>
        <v>4295.2254967828821</v>
      </c>
      <c r="H4">
        <v>0.04</v>
      </c>
      <c r="I4" t="s">
        <v>244</v>
      </c>
      <c r="J4" s="5">
        <v>45524.594524409724</v>
      </c>
      <c r="K4" s="5">
        <v>45525.189048819448</v>
      </c>
      <c r="L4" s="5">
        <v>45527.783573229171</v>
      </c>
      <c r="M4">
        <f>IF(A4&lt;&gt;A3,M3+1,M3)</f>
        <v>10029727212</v>
      </c>
      <c r="N4">
        <f ca="1">IF(M4&lt;&gt;M3,INDEX(CustInfo!$A$2:$A$1001,RANDBETWEEN(1,1000)),N3)</f>
        <v>11000</v>
      </c>
      <c r="O4" t="s">
        <v>1001</v>
      </c>
      <c r="P4">
        <v>52936138</v>
      </c>
    </row>
    <row r="5" spans="1:16" x14ac:dyDescent="0.35">
      <c r="A5">
        <v>93827211982</v>
      </c>
      <c r="C5" s="2" t="s">
        <v>883</v>
      </c>
      <c r="D5">
        <v>4</v>
      </c>
      <c r="E5">
        <v>76891213290</v>
      </c>
      <c r="F5">
        <f t="shared" ca="1" si="0"/>
        <v>84</v>
      </c>
      <c r="G5">
        <f ca="1">VLOOKUP(E5,PurchItem!$A$2:$H$508,8,0)</f>
        <v>8789.9228489399866</v>
      </c>
      <c r="H5">
        <v>0.05</v>
      </c>
      <c r="I5" t="s">
        <v>244</v>
      </c>
      <c r="J5" s="5">
        <v>45282.594524409724</v>
      </c>
      <c r="K5" s="5">
        <v>45283.189048819448</v>
      </c>
      <c r="L5" s="5">
        <v>45293.783573229171</v>
      </c>
      <c r="M5">
        <f t="shared" ref="M5:M68" si="1">IF(A5&lt;&gt;A4,M4+1,M4)</f>
        <v>10029727212</v>
      </c>
      <c r="N5">
        <f ca="1">IF(M5&lt;&gt;M4,INDEX(CustInfo!$A$2:$A$1001,RANDBETWEEN(1,1000)),N4)</f>
        <v>11000</v>
      </c>
      <c r="O5" t="s">
        <v>1001</v>
      </c>
      <c r="P5">
        <v>52936139</v>
      </c>
    </row>
    <row r="6" spans="1:16" x14ac:dyDescent="0.35">
      <c r="A6">
        <v>93827211983</v>
      </c>
      <c r="C6" s="2" t="s">
        <v>883</v>
      </c>
      <c r="D6">
        <v>1</v>
      </c>
      <c r="E6">
        <v>76891213486</v>
      </c>
      <c r="F6">
        <f t="shared" ca="1" si="0"/>
        <v>21</v>
      </c>
      <c r="G6">
        <f ca="1">VLOOKUP(E6,PurchItem!$A$2:$H$508,8,0)</f>
        <v>9918.4803802401257</v>
      </c>
      <c r="H6">
        <v>0.05</v>
      </c>
      <c r="I6" t="s">
        <v>244</v>
      </c>
      <c r="J6" s="5">
        <v>44715.594524409724</v>
      </c>
      <c r="K6" s="5">
        <v>44719.189048819448</v>
      </c>
      <c r="L6" s="5">
        <v>44727.783573229171</v>
      </c>
      <c r="M6">
        <f t="shared" si="1"/>
        <v>10029727213</v>
      </c>
      <c r="N6">
        <f ca="1">IF(M6&lt;&gt;M5,INDEX(CustInfo!$A$2:$A$1001,RANDBETWEEN(1,1000)),N5)</f>
        <v>11984</v>
      </c>
      <c r="O6" t="s">
        <v>1003</v>
      </c>
      <c r="P6">
        <v>52936140</v>
      </c>
    </row>
    <row r="7" spans="1:16" x14ac:dyDescent="0.35">
      <c r="A7">
        <v>93827211983</v>
      </c>
      <c r="C7" s="2" t="s">
        <v>883</v>
      </c>
      <c r="D7">
        <v>2</v>
      </c>
      <c r="E7">
        <v>76891213442</v>
      </c>
      <c r="F7">
        <f t="shared" ca="1" si="0"/>
        <v>35</v>
      </c>
      <c r="G7">
        <f ca="1">VLOOKUP(E7,PurchItem!$A$2:$H$508,8,0)</f>
        <v>3996.4553378666742</v>
      </c>
      <c r="H7">
        <v>0.04</v>
      </c>
      <c r="I7" t="s">
        <v>244</v>
      </c>
      <c r="J7" s="5">
        <v>44983.594524409724</v>
      </c>
      <c r="K7" s="5">
        <v>44986.189048819448</v>
      </c>
      <c r="L7" s="5">
        <v>44986.783573229171</v>
      </c>
      <c r="M7">
        <f t="shared" si="1"/>
        <v>10029727213</v>
      </c>
      <c r="N7">
        <f ca="1">IF(M7&lt;&gt;M6,INDEX(CustInfo!$A$2:$A$1001,RANDBETWEEN(1,1000)),N6)</f>
        <v>11984</v>
      </c>
      <c r="O7" t="s">
        <v>1003</v>
      </c>
      <c r="P7">
        <v>52936141</v>
      </c>
    </row>
    <row r="8" spans="1:16" x14ac:dyDescent="0.35">
      <c r="A8">
        <v>93827211983</v>
      </c>
      <c r="C8" s="2" t="s">
        <v>883</v>
      </c>
      <c r="D8">
        <v>3</v>
      </c>
      <c r="E8">
        <v>76891213468</v>
      </c>
      <c r="F8">
        <f t="shared" ca="1" si="0"/>
        <v>18</v>
      </c>
      <c r="G8">
        <f ca="1">VLOOKUP(E8,PurchItem!$A$2:$H$508,8,0)</f>
        <v>8720.5573870862172</v>
      </c>
      <c r="H8">
        <v>0.06</v>
      </c>
      <c r="I8" t="s">
        <v>244</v>
      </c>
      <c r="J8" s="5">
        <v>45193.594524409724</v>
      </c>
      <c r="K8" s="5">
        <v>45195.189048819448</v>
      </c>
      <c r="L8" s="5">
        <v>45205.783573229171</v>
      </c>
      <c r="M8">
        <f t="shared" si="1"/>
        <v>10029727213</v>
      </c>
      <c r="N8">
        <f ca="1">IF(M8&lt;&gt;M7,INDEX(CustInfo!$A$2:$A$1001,RANDBETWEEN(1,1000)),N7)</f>
        <v>11984</v>
      </c>
      <c r="O8" t="s">
        <v>1003</v>
      </c>
      <c r="P8">
        <v>52936142</v>
      </c>
    </row>
    <row r="9" spans="1:16" x14ac:dyDescent="0.35">
      <c r="A9">
        <v>93827211984</v>
      </c>
      <c r="C9" s="2" t="s">
        <v>883</v>
      </c>
      <c r="D9">
        <v>1</v>
      </c>
      <c r="E9">
        <v>76891213526</v>
      </c>
      <c r="F9">
        <f t="shared" ca="1" si="0"/>
        <v>17</v>
      </c>
      <c r="G9">
        <f ca="1">VLOOKUP(E9,PurchItem!$A$2:$H$508,8,0)</f>
        <v>8212.8049543445304</v>
      </c>
      <c r="H9">
        <v>0.04</v>
      </c>
      <c r="I9" t="s">
        <v>244</v>
      </c>
      <c r="J9" s="5">
        <v>44916.594524409724</v>
      </c>
      <c r="K9" s="5">
        <v>44920.189048819448</v>
      </c>
      <c r="L9" s="5">
        <v>44927.783573229171</v>
      </c>
      <c r="M9">
        <f t="shared" si="1"/>
        <v>10029727214</v>
      </c>
      <c r="N9">
        <f ca="1">IF(M9&lt;&gt;M8,INDEX(CustInfo!$A$2:$A$1001,RANDBETWEEN(1,1000)),N8)</f>
        <v>11240</v>
      </c>
      <c r="O9" t="s">
        <v>1002</v>
      </c>
      <c r="P9">
        <v>52936143</v>
      </c>
    </row>
    <row r="10" spans="1:16" x14ac:dyDescent="0.35">
      <c r="A10">
        <v>93827211984</v>
      </c>
      <c r="C10" s="2" t="s">
        <v>883</v>
      </c>
      <c r="D10">
        <v>2</v>
      </c>
      <c r="E10">
        <v>76891213249</v>
      </c>
      <c r="F10">
        <f t="shared" ca="1" si="0"/>
        <v>50</v>
      </c>
      <c r="G10">
        <f ca="1">VLOOKUP(E10,PurchItem!$A$2:$H$508,8,0)</f>
        <v>8086.2832587876792</v>
      </c>
      <c r="H10">
        <v>0.04</v>
      </c>
      <c r="I10" t="s">
        <v>244</v>
      </c>
      <c r="J10" s="5">
        <v>44860.594524409724</v>
      </c>
      <c r="K10" s="5">
        <v>44863.189048819448</v>
      </c>
      <c r="L10" s="5">
        <v>44863.783573229171</v>
      </c>
      <c r="M10">
        <f t="shared" si="1"/>
        <v>10029727214</v>
      </c>
      <c r="N10">
        <f ca="1">IF(M10&lt;&gt;M9,INDEX(CustInfo!$A$2:$A$1001,RANDBETWEEN(1,1000)),N9)</f>
        <v>11240</v>
      </c>
      <c r="O10" t="s">
        <v>1002</v>
      </c>
      <c r="P10">
        <v>52936144</v>
      </c>
    </row>
    <row r="11" spans="1:16" x14ac:dyDescent="0.35">
      <c r="A11">
        <v>93827211985</v>
      </c>
      <c r="C11" s="2" t="s">
        <v>883</v>
      </c>
      <c r="D11">
        <v>1</v>
      </c>
      <c r="E11">
        <v>76891213362</v>
      </c>
      <c r="F11">
        <f t="shared" ca="1" si="0"/>
        <v>59</v>
      </c>
      <c r="G11">
        <f ca="1">VLOOKUP(E11,PurchItem!$A$2:$H$508,8,0)</f>
        <v>2524.8525441426873</v>
      </c>
      <c r="H11">
        <v>0.06</v>
      </c>
      <c r="I11" t="s">
        <v>244</v>
      </c>
      <c r="J11" s="5">
        <v>45302.594524409724</v>
      </c>
      <c r="K11" s="5">
        <v>45304.189048819448</v>
      </c>
      <c r="L11" s="5">
        <v>45313.783573229171</v>
      </c>
      <c r="M11">
        <f t="shared" si="1"/>
        <v>10029727215</v>
      </c>
      <c r="N11">
        <f ca="1">IF(M11&lt;&gt;M10,INDEX(CustInfo!$A$2:$A$1001,RANDBETWEEN(1,1000)),N10)</f>
        <v>11873</v>
      </c>
      <c r="O11" t="s">
        <v>1002</v>
      </c>
      <c r="P11">
        <v>52936145</v>
      </c>
    </row>
    <row r="12" spans="1:16" x14ac:dyDescent="0.35">
      <c r="A12">
        <v>93827211986</v>
      </c>
      <c r="C12" s="2" t="s">
        <v>883</v>
      </c>
      <c r="D12">
        <v>1</v>
      </c>
      <c r="E12">
        <v>76891213284</v>
      </c>
      <c r="F12">
        <f t="shared" ca="1" si="0"/>
        <v>38</v>
      </c>
      <c r="G12">
        <f ca="1">VLOOKUP(E12,PurchItem!$A$2:$H$508,8,0)</f>
        <v>8438.9292821455692</v>
      </c>
      <c r="H12">
        <v>0.06</v>
      </c>
      <c r="I12" t="s">
        <v>244</v>
      </c>
      <c r="J12" s="5">
        <v>44900.594524409724</v>
      </c>
      <c r="K12" s="5">
        <v>44903.189048819448</v>
      </c>
      <c r="L12" s="5">
        <v>44906.783573229171</v>
      </c>
      <c r="M12">
        <f t="shared" si="1"/>
        <v>10029727216</v>
      </c>
      <c r="N12">
        <f ca="1">IF(M12&lt;&gt;M11,INDEX(CustInfo!$A$2:$A$1001,RANDBETWEEN(1,1000)),N11)</f>
        <v>11619</v>
      </c>
      <c r="O12" t="s">
        <v>1002</v>
      </c>
      <c r="P12">
        <v>52936146</v>
      </c>
    </row>
    <row r="13" spans="1:16" x14ac:dyDescent="0.35">
      <c r="A13">
        <v>93827211987</v>
      </c>
      <c r="C13" s="2" t="s">
        <v>883</v>
      </c>
      <c r="D13">
        <v>1</v>
      </c>
      <c r="E13">
        <v>76891213184</v>
      </c>
      <c r="F13">
        <f t="shared" ca="1" si="0"/>
        <v>48</v>
      </c>
      <c r="G13">
        <f ca="1">VLOOKUP(E13,PurchItem!$A$2:$H$508,8,0)</f>
        <v>5805.1190284202921</v>
      </c>
      <c r="H13">
        <v>0.05</v>
      </c>
      <c r="I13" t="s">
        <v>244</v>
      </c>
      <c r="J13" s="5">
        <v>44643.594524409724</v>
      </c>
      <c r="K13" s="5">
        <v>44646.189048819448</v>
      </c>
      <c r="L13" s="5">
        <v>44655.783573229171</v>
      </c>
      <c r="M13">
        <f t="shared" si="1"/>
        <v>10029727217</v>
      </c>
      <c r="N13">
        <f ca="1">IF(M13&lt;&gt;M12,INDEX(CustInfo!$A$2:$A$1001,RANDBETWEEN(1,1000)),N12)</f>
        <v>11969</v>
      </c>
      <c r="O13" t="s">
        <v>1001</v>
      </c>
      <c r="P13">
        <v>52936147</v>
      </c>
    </row>
    <row r="14" spans="1:16" x14ac:dyDescent="0.35">
      <c r="A14">
        <v>93827211987</v>
      </c>
      <c r="C14" s="2" t="s">
        <v>883</v>
      </c>
      <c r="D14">
        <v>2</v>
      </c>
      <c r="E14">
        <v>76891213555</v>
      </c>
      <c r="F14">
        <f t="shared" ca="1" si="0"/>
        <v>84</v>
      </c>
      <c r="G14">
        <f ca="1">VLOOKUP(E14,PurchItem!$A$2:$H$508,8,0)</f>
        <v>6639.131764227679</v>
      </c>
      <c r="H14">
        <v>0.04</v>
      </c>
      <c r="I14" t="s">
        <v>244</v>
      </c>
      <c r="J14" s="5">
        <v>45037.594524409724</v>
      </c>
      <c r="K14" s="5">
        <v>45041.189048819448</v>
      </c>
      <c r="L14" s="5">
        <v>45049.783573229171</v>
      </c>
      <c r="M14">
        <f t="shared" si="1"/>
        <v>10029727217</v>
      </c>
      <c r="N14">
        <f ca="1">IF(M14&lt;&gt;M13,INDEX(CustInfo!$A$2:$A$1001,RANDBETWEEN(1,1000)),N13)</f>
        <v>11969</v>
      </c>
      <c r="O14" t="s">
        <v>1001</v>
      </c>
      <c r="P14">
        <v>52936148</v>
      </c>
    </row>
    <row r="15" spans="1:16" x14ac:dyDescent="0.35">
      <c r="A15">
        <v>93827211987</v>
      </c>
      <c r="C15" s="2" t="s">
        <v>883</v>
      </c>
      <c r="D15">
        <v>3</v>
      </c>
      <c r="E15">
        <v>76891213587</v>
      </c>
      <c r="F15">
        <f t="shared" ca="1" si="0"/>
        <v>100</v>
      </c>
      <c r="G15">
        <f ca="1">VLOOKUP(E15,PurchItem!$A$2:$H$508,8,0)</f>
        <v>402.21981378530177</v>
      </c>
      <c r="H15">
        <v>0.04</v>
      </c>
      <c r="I15" t="s">
        <v>244</v>
      </c>
      <c r="J15" s="5">
        <v>44675.594524409724</v>
      </c>
      <c r="K15" s="5">
        <v>44678.189048819448</v>
      </c>
      <c r="L15" s="5">
        <v>44682.783573229171</v>
      </c>
      <c r="M15">
        <f t="shared" si="1"/>
        <v>10029727217</v>
      </c>
      <c r="N15">
        <f ca="1">IF(M15&lt;&gt;M14,INDEX(CustInfo!$A$2:$A$1001,RANDBETWEEN(1,1000)),N14)</f>
        <v>11969</v>
      </c>
      <c r="O15" t="s">
        <v>1001</v>
      </c>
      <c r="P15">
        <v>52936149</v>
      </c>
    </row>
    <row r="16" spans="1:16" x14ac:dyDescent="0.35">
      <c r="A16">
        <v>93827211988</v>
      </c>
      <c r="C16" s="2" t="s">
        <v>883</v>
      </c>
      <c r="D16">
        <v>1</v>
      </c>
      <c r="E16">
        <v>76891213226</v>
      </c>
      <c r="F16">
        <f t="shared" ca="1" si="0"/>
        <v>99</v>
      </c>
      <c r="G16">
        <f ca="1">VLOOKUP(E16,PurchItem!$A$2:$H$508,8,0)</f>
        <v>7035.6498118842592</v>
      </c>
      <c r="H16">
        <v>0.04</v>
      </c>
      <c r="I16" t="s">
        <v>244</v>
      </c>
      <c r="J16" s="5">
        <v>45258.594524409724</v>
      </c>
      <c r="K16" s="5">
        <v>45260.189048819448</v>
      </c>
      <c r="L16" s="5">
        <v>45266.783573229171</v>
      </c>
      <c r="M16">
        <f t="shared" si="1"/>
        <v>10029727218</v>
      </c>
      <c r="N16">
        <f ca="1">IF(M16&lt;&gt;M15,INDEX(CustInfo!$A$2:$A$1001,RANDBETWEEN(1,1000)),N15)</f>
        <v>11513</v>
      </c>
      <c r="O16" t="s">
        <v>1001</v>
      </c>
      <c r="P16">
        <v>52936150</v>
      </c>
    </row>
    <row r="17" spans="1:16" x14ac:dyDescent="0.35">
      <c r="A17">
        <v>93827211988</v>
      </c>
      <c r="C17" s="2" t="s">
        <v>883</v>
      </c>
      <c r="D17">
        <v>2</v>
      </c>
      <c r="E17">
        <v>76891213485</v>
      </c>
      <c r="F17">
        <f t="shared" ca="1" si="0"/>
        <v>72</v>
      </c>
      <c r="G17">
        <f ca="1">VLOOKUP(E17,PurchItem!$A$2:$H$508,8,0)</f>
        <v>2807.3759282410369</v>
      </c>
      <c r="H17">
        <v>0.06</v>
      </c>
      <c r="I17" t="s">
        <v>244</v>
      </c>
      <c r="J17" s="5">
        <v>44574.594524409724</v>
      </c>
      <c r="K17" s="5">
        <v>44578.189048819448</v>
      </c>
      <c r="L17" s="5">
        <v>44584.783573229171</v>
      </c>
      <c r="M17">
        <f t="shared" si="1"/>
        <v>10029727218</v>
      </c>
      <c r="N17">
        <f ca="1">IF(M17&lt;&gt;M16,INDEX(CustInfo!$A$2:$A$1001,RANDBETWEEN(1,1000)),N16)</f>
        <v>11513</v>
      </c>
      <c r="O17" t="s">
        <v>1001</v>
      </c>
      <c r="P17">
        <v>52936151</v>
      </c>
    </row>
    <row r="18" spans="1:16" x14ac:dyDescent="0.35">
      <c r="A18">
        <v>93827211989</v>
      </c>
      <c r="C18" s="2" t="s">
        <v>883</v>
      </c>
      <c r="D18">
        <v>1</v>
      </c>
      <c r="E18">
        <v>76891213442</v>
      </c>
      <c r="F18">
        <f t="shared" ca="1" si="0"/>
        <v>90</v>
      </c>
      <c r="G18">
        <f ca="1">VLOOKUP(E18,PurchItem!$A$2:$H$508,8,0)</f>
        <v>3996.4553378666742</v>
      </c>
      <c r="H18">
        <v>0.04</v>
      </c>
      <c r="I18" t="s">
        <v>244</v>
      </c>
      <c r="J18" s="5">
        <v>44983.594524409724</v>
      </c>
      <c r="K18" s="5">
        <v>44987.189048819448</v>
      </c>
      <c r="L18" s="5">
        <v>44993.783573229171</v>
      </c>
      <c r="M18">
        <f t="shared" si="1"/>
        <v>10029727219</v>
      </c>
      <c r="N18">
        <f ca="1">IF(M18&lt;&gt;M17,INDEX(CustInfo!$A$2:$A$1001,RANDBETWEEN(1,1000)),N17)</f>
        <v>11121</v>
      </c>
      <c r="O18" t="s">
        <v>1002</v>
      </c>
      <c r="P18">
        <v>52936152</v>
      </c>
    </row>
    <row r="19" spans="1:16" x14ac:dyDescent="0.35">
      <c r="A19">
        <v>93827211989</v>
      </c>
      <c r="C19" s="2" t="s">
        <v>883</v>
      </c>
      <c r="D19">
        <v>2</v>
      </c>
      <c r="E19">
        <v>76891213533</v>
      </c>
      <c r="F19">
        <f t="shared" ca="1" si="0"/>
        <v>29</v>
      </c>
      <c r="G19">
        <f ca="1">VLOOKUP(E19,PurchItem!$A$2:$H$508,8,0)</f>
        <v>1954.5826259867015</v>
      </c>
      <c r="H19">
        <v>0.06</v>
      </c>
      <c r="I19" t="s">
        <v>244</v>
      </c>
      <c r="J19" s="5">
        <v>45473.594524409724</v>
      </c>
      <c r="K19" s="5">
        <v>45477.189048819448</v>
      </c>
      <c r="L19" s="5">
        <v>45485.783573229171</v>
      </c>
      <c r="M19">
        <f t="shared" si="1"/>
        <v>10029727219</v>
      </c>
      <c r="N19">
        <f ca="1">IF(M19&lt;&gt;M18,INDEX(CustInfo!$A$2:$A$1001,RANDBETWEEN(1,1000)),N18)</f>
        <v>11121</v>
      </c>
      <c r="O19" t="s">
        <v>1002</v>
      </c>
      <c r="P19">
        <v>52936153</v>
      </c>
    </row>
    <row r="20" spans="1:16" x14ac:dyDescent="0.35">
      <c r="A20">
        <v>93827211990</v>
      </c>
      <c r="C20" s="2" t="s">
        <v>883</v>
      </c>
      <c r="D20">
        <v>1</v>
      </c>
      <c r="E20">
        <v>76891213613</v>
      </c>
      <c r="F20">
        <f t="shared" ca="1" si="0"/>
        <v>99</v>
      </c>
      <c r="G20">
        <f ca="1">VLOOKUP(E20,PurchItem!$A$2:$H$508,8,0)</f>
        <v>6056.8631163138916</v>
      </c>
      <c r="H20">
        <v>0.05</v>
      </c>
      <c r="I20" t="s">
        <v>244</v>
      </c>
      <c r="J20" s="5">
        <v>44581.594524409724</v>
      </c>
      <c r="K20" s="5">
        <v>44583.189048819448</v>
      </c>
      <c r="L20" s="5">
        <v>44586.783573229171</v>
      </c>
      <c r="M20">
        <f t="shared" si="1"/>
        <v>10029727220</v>
      </c>
      <c r="N20">
        <f ca="1">IF(M20&lt;&gt;M19,INDEX(CustInfo!$A$2:$A$1001,RANDBETWEEN(1,1000)),N19)</f>
        <v>11417</v>
      </c>
      <c r="O20" t="s">
        <v>1003</v>
      </c>
      <c r="P20">
        <v>52936154</v>
      </c>
    </row>
    <row r="21" spans="1:16" x14ac:dyDescent="0.35">
      <c r="A21">
        <v>93827211990</v>
      </c>
      <c r="C21" s="2" t="s">
        <v>883</v>
      </c>
      <c r="D21">
        <v>2</v>
      </c>
      <c r="E21">
        <v>76891213207</v>
      </c>
      <c r="F21">
        <f t="shared" ca="1" si="0"/>
        <v>19</v>
      </c>
      <c r="G21">
        <f ca="1">VLOOKUP(E21,PurchItem!$A$2:$H$508,8,0)</f>
        <v>7360.5773727524474</v>
      </c>
      <c r="H21">
        <v>0.04</v>
      </c>
      <c r="I21" t="s">
        <v>244</v>
      </c>
      <c r="J21" s="5">
        <v>45270.594524409724</v>
      </c>
      <c r="K21" s="5">
        <v>45273.189048819448</v>
      </c>
      <c r="L21" s="5">
        <v>45282.783573229171</v>
      </c>
      <c r="M21">
        <f t="shared" si="1"/>
        <v>10029727220</v>
      </c>
      <c r="N21">
        <f ca="1">IF(M21&lt;&gt;M20,INDEX(CustInfo!$A$2:$A$1001,RANDBETWEEN(1,1000)),N20)</f>
        <v>11417</v>
      </c>
      <c r="O21" t="s">
        <v>1003</v>
      </c>
      <c r="P21">
        <v>52936155</v>
      </c>
    </row>
    <row r="22" spans="1:16" x14ac:dyDescent="0.35">
      <c r="A22">
        <v>93827211990</v>
      </c>
      <c r="C22" s="2" t="s">
        <v>883</v>
      </c>
      <c r="D22">
        <v>3</v>
      </c>
      <c r="E22">
        <v>76891213497</v>
      </c>
      <c r="F22">
        <f t="shared" ca="1" si="0"/>
        <v>85</v>
      </c>
      <c r="G22">
        <f ca="1">VLOOKUP(E22,PurchItem!$A$2:$H$508,8,0)</f>
        <v>4357.8229058400011</v>
      </c>
      <c r="H22">
        <v>0.06</v>
      </c>
      <c r="I22" t="s">
        <v>244</v>
      </c>
      <c r="J22" s="5">
        <v>45021.594524409724</v>
      </c>
      <c r="K22" s="5">
        <v>45024.189048819448</v>
      </c>
      <c r="L22" s="5">
        <v>45034.783573229171</v>
      </c>
      <c r="M22">
        <f t="shared" si="1"/>
        <v>10029727220</v>
      </c>
      <c r="N22">
        <f ca="1">IF(M22&lt;&gt;M21,INDEX(CustInfo!$A$2:$A$1001,RANDBETWEEN(1,1000)),N21)</f>
        <v>11417</v>
      </c>
      <c r="O22" t="s">
        <v>1003</v>
      </c>
      <c r="P22">
        <v>52936156</v>
      </c>
    </row>
    <row r="23" spans="1:16" x14ac:dyDescent="0.35">
      <c r="A23">
        <v>93827211991</v>
      </c>
      <c r="C23" s="2" t="s">
        <v>883</v>
      </c>
      <c r="D23">
        <v>1</v>
      </c>
      <c r="E23">
        <v>76891213305</v>
      </c>
      <c r="F23">
        <f t="shared" ca="1" si="0"/>
        <v>72</v>
      </c>
      <c r="G23">
        <f ca="1">VLOOKUP(E23,PurchItem!$A$2:$H$508,8,0)</f>
        <v>7454.0016740690317</v>
      </c>
      <c r="H23">
        <v>0.04</v>
      </c>
      <c r="I23" t="s">
        <v>244</v>
      </c>
      <c r="J23" s="5">
        <v>45272.594524409724</v>
      </c>
      <c r="K23" s="5">
        <v>45276.189048819448</v>
      </c>
      <c r="L23" s="5">
        <v>45276.783573229171</v>
      </c>
      <c r="M23">
        <f t="shared" si="1"/>
        <v>10029727221</v>
      </c>
      <c r="N23">
        <f ca="1">IF(M23&lt;&gt;M22,INDEX(CustInfo!$A$2:$A$1001,RANDBETWEEN(1,1000)),N22)</f>
        <v>11014</v>
      </c>
      <c r="O23" t="s">
        <v>1003</v>
      </c>
      <c r="P23">
        <v>52936157</v>
      </c>
    </row>
    <row r="24" spans="1:16" x14ac:dyDescent="0.35">
      <c r="A24">
        <v>93827211992</v>
      </c>
      <c r="C24" s="2" t="s">
        <v>883</v>
      </c>
      <c r="D24">
        <v>1</v>
      </c>
      <c r="E24">
        <v>76891213454</v>
      </c>
      <c r="F24">
        <f t="shared" ca="1" si="0"/>
        <v>87</v>
      </c>
      <c r="G24">
        <f ca="1">VLOOKUP(E24,PurchItem!$A$2:$H$508,8,0)</f>
        <v>9734.0214996119394</v>
      </c>
      <c r="H24">
        <v>0.06</v>
      </c>
      <c r="I24" t="s">
        <v>244</v>
      </c>
      <c r="J24" s="5">
        <v>45588.594524409724</v>
      </c>
      <c r="K24" s="5">
        <v>45589.189048819448</v>
      </c>
      <c r="L24" s="5">
        <v>45599.783573229171</v>
      </c>
      <c r="M24">
        <f t="shared" si="1"/>
        <v>10029727222</v>
      </c>
      <c r="N24">
        <f ca="1">IF(M24&lt;&gt;M23,INDEX(CustInfo!$A$2:$A$1001,RANDBETWEEN(1,1000)),N23)</f>
        <v>11768</v>
      </c>
      <c r="O24" t="s">
        <v>1003</v>
      </c>
      <c r="P24">
        <v>52936158</v>
      </c>
    </row>
    <row r="25" spans="1:16" x14ac:dyDescent="0.35">
      <c r="A25">
        <v>93827211992</v>
      </c>
      <c r="C25" s="2" t="s">
        <v>883</v>
      </c>
      <c r="D25">
        <v>2</v>
      </c>
      <c r="E25">
        <v>76891213419</v>
      </c>
      <c r="F25">
        <f t="shared" ca="1" si="0"/>
        <v>56</v>
      </c>
      <c r="G25">
        <f ca="1">VLOOKUP(E25,PurchItem!$A$2:$H$508,8,0)</f>
        <v>5802.1747515963825</v>
      </c>
      <c r="H25">
        <v>0.04</v>
      </c>
      <c r="I25" t="s">
        <v>244</v>
      </c>
      <c r="J25" s="5">
        <v>45390.594524409724</v>
      </c>
      <c r="K25" s="5">
        <v>45392.189048819448</v>
      </c>
      <c r="L25" s="5">
        <v>45394.783573229171</v>
      </c>
      <c r="M25">
        <f t="shared" si="1"/>
        <v>10029727222</v>
      </c>
      <c r="N25">
        <f ca="1">IF(M25&lt;&gt;M24,INDEX(CustInfo!$A$2:$A$1001,RANDBETWEEN(1,1000)),N24)</f>
        <v>11768</v>
      </c>
      <c r="O25" t="s">
        <v>1003</v>
      </c>
      <c r="P25">
        <v>52936159</v>
      </c>
    </row>
    <row r="26" spans="1:16" x14ac:dyDescent="0.35">
      <c r="A26">
        <v>93827211992</v>
      </c>
      <c r="C26" s="2" t="s">
        <v>883</v>
      </c>
      <c r="D26">
        <v>3</v>
      </c>
      <c r="E26">
        <v>76891213521</v>
      </c>
      <c r="F26">
        <f t="shared" ca="1" si="0"/>
        <v>35</v>
      </c>
      <c r="G26">
        <f ca="1">VLOOKUP(E26,PurchItem!$A$2:$H$508,8,0)</f>
        <v>8650.5364272388215</v>
      </c>
      <c r="H26">
        <v>0.04</v>
      </c>
      <c r="I26" t="s">
        <v>244</v>
      </c>
      <c r="J26" s="5">
        <v>44750.594524409724</v>
      </c>
      <c r="K26" s="5">
        <v>44751.189048819448</v>
      </c>
      <c r="L26" s="5">
        <v>44760.783573229171</v>
      </c>
      <c r="M26">
        <f t="shared" si="1"/>
        <v>10029727222</v>
      </c>
      <c r="N26">
        <f ca="1">IF(M26&lt;&gt;M25,INDEX(CustInfo!$A$2:$A$1001,RANDBETWEEN(1,1000)),N25)</f>
        <v>11768</v>
      </c>
      <c r="O26" t="s">
        <v>1003</v>
      </c>
      <c r="P26">
        <v>52936160</v>
      </c>
    </row>
    <row r="27" spans="1:16" x14ac:dyDescent="0.35">
      <c r="A27">
        <v>93827211993</v>
      </c>
      <c r="C27" s="2" t="s">
        <v>883</v>
      </c>
      <c r="D27">
        <v>1</v>
      </c>
      <c r="E27">
        <v>76891213552</v>
      </c>
      <c r="F27">
        <f t="shared" ca="1" si="0"/>
        <v>37</v>
      </c>
      <c r="G27">
        <f ca="1">VLOOKUP(E27,PurchItem!$A$2:$H$508,8,0)</f>
        <v>1307.476350595766</v>
      </c>
      <c r="H27">
        <v>0.05</v>
      </c>
      <c r="I27" t="s">
        <v>244</v>
      </c>
      <c r="J27" s="5">
        <v>44693.594524409724</v>
      </c>
      <c r="K27" s="5">
        <v>44694.189048819448</v>
      </c>
      <c r="L27" s="5">
        <v>44694.783573229171</v>
      </c>
      <c r="M27">
        <f t="shared" si="1"/>
        <v>10029727223</v>
      </c>
      <c r="N27">
        <f ca="1">IF(M27&lt;&gt;M26,INDEX(CustInfo!$A$2:$A$1001,RANDBETWEEN(1,1000)),N26)</f>
        <v>11181</v>
      </c>
      <c r="O27" t="s">
        <v>1003</v>
      </c>
      <c r="P27">
        <v>52936161</v>
      </c>
    </row>
    <row r="28" spans="1:16" x14ac:dyDescent="0.35">
      <c r="A28">
        <v>93827211993</v>
      </c>
      <c r="C28" s="2" t="s">
        <v>883</v>
      </c>
      <c r="D28">
        <v>2</v>
      </c>
      <c r="E28">
        <v>76891213375</v>
      </c>
      <c r="F28">
        <f t="shared" ca="1" si="0"/>
        <v>59</v>
      </c>
      <c r="G28">
        <f ca="1">VLOOKUP(E28,PurchItem!$A$2:$H$508,8,0)</f>
        <v>7755.8413437200061</v>
      </c>
      <c r="H28">
        <v>0.06</v>
      </c>
      <c r="I28" t="s">
        <v>244</v>
      </c>
      <c r="J28" s="5">
        <v>44659.594524409724</v>
      </c>
      <c r="K28" s="5">
        <v>44663.189048819448</v>
      </c>
      <c r="L28" s="5">
        <v>44664.783573229171</v>
      </c>
      <c r="M28">
        <f t="shared" si="1"/>
        <v>10029727223</v>
      </c>
      <c r="N28">
        <f ca="1">IF(M28&lt;&gt;M27,INDEX(CustInfo!$A$2:$A$1001,RANDBETWEEN(1,1000)),N27)</f>
        <v>11181</v>
      </c>
      <c r="O28" t="s">
        <v>1003</v>
      </c>
      <c r="P28">
        <v>52936162</v>
      </c>
    </row>
    <row r="29" spans="1:16" x14ac:dyDescent="0.35">
      <c r="A29">
        <v>93827211993</v>
      </c>
      <c r="C29" s="2" t="s">
        <v>883</v>
      </c>
      <c r="D29">
        <v>3</v>
      </c>
      <c r="E29">
        <v>76891213183</v>
      </c>
      <c r="F29">
        <f t="shared" ca="1" si="0"/>
        <v>1</v>
      </c>
      <c r="G29">
        <f ca="1">VLOOKUP(E29,PurchItem!$A$2:$H$508,8,0)</f>
        <v>4515.1780100847882</v>
      </c>
      <c r="H29">
        <v>0.06</v>
      </c>
      <c r="I29" t="s">
        <v>244</v>
      </c>
      <c r="J29" s="5">
        <v>44668.594524409724</v>
      </c>
      <c r="K29" s="5">
        <v>44670.189048819448</v>
      </c>
      <c r="L29" s="5">
        <v>44676.783573229171</v>
      </c>
      <c r="M29">
        <f t="shared" si="1"/>
        <v>10029727223</v>
      </c>
      <c r="N29">
        <f ca="1">IF(M29&lt;&gt;M28,INDEX(CustInfo!$A$2:$A$1001,RANDBETWEEN(1,1000)),N28)</f>
        <v>11181</v>
      </c>
      <c r="O29" t="s">
        <v>1003</v>
      </c>
      <c r="P29">
        <v>52936163</v>
      </c>
    </row>
    <row r="30" spans="1:16" x14ac:dyDescent="0.35">
      <c r="A30">
        <v>93827211994</v>
      </c>
      <c r="C30" s="2" t="s">
        <v>883</v>
      </c>
      <c r="D30">
        <v>1</v>
      </c>
      <c r="E30">
        <v>76891213212</v>
      </c>
      <c r="F30">
        <f t="shared" ca="1" si="0"/>
        <v>99</v>
      </c>
      <c r="G30">
        <f ca="1">VLOOKUP(E30,PurchItem!$A$2:$H$508,8,0)</f>
        <v>2083.2723648365518</v>
      </c>
      <c r="H30">
        <v>0.05</v>
      </c>
      <c r="I30" t="s">
        <v>244</v>
      </c>
      <c r="J30" s="5">
        <v>44841.594524409724</v>
      </c>
      <c r="K30" s="5">
        <v>44844.189048819448</v>
      </c>
      <c r="L30" s="5">
        <v>44852.783573229171</v>
      </c>
      <c r="M30">
        <f t="shared" si="1"/>
        <v>10029727224</v>
      </c>
      <c r="N30">
        <f ca="1">IF(M30&lt;&gt;M29,INDEX(CustInfo!$A$2:$A$1001,RANDBETWEEN(1,1000)),N29)</f>
        <v>11924</v>
      </c>
      <c r="O30" t="s">
        <v>1001</v>
      </c>
      <c r="P30">
        <v>52936164</v>
      </c>
    </row>
    <row r="31" spans="1:16" x14ac:dyDescent="0.35">
      <c r="A31">
        <v>93827211994</v>
      </c>
      <c r="C31" s="2" t="s">
        <v>883</v>
      </c>
      <c r="D31">
        <v>2</v>
      </c>
      <c r="E31">
        <v>76891213194</v>
      </c>
      <c r="F31">
        <f t="shared" ca="1" si="0"/>
        <v>79</v>
      </c>
      <c r="G31">
        <f ca="1">VLOOKUP(E31,PurchItem!$A$2:$H$508,8,0)</f>
        <v>5025.963820946351</v>
      </c>
      <c r="H31">
        <v>0.06</v>
      </c>
      <c r="I31" t="s">
        <v>244</v>
      </c>
      <c r="J31" s="5">
        <v>45301.594524409724</v>
      </c>
      <c r="K31" s="5">
        <v>45302.189048819448</v>
      </c>
      <c r="L31" s="5">
        <v>45308.783573229171</v>
      </c>
      <c r="M31">
        <f t="shared" si="1"/>
        <v>10029727224</v>
      </c>
      <c r="N31">
        <f ca="1">IF(M31&lt;&gt;M30,INDEX(CustInfo!$A$2:$A$1001,RANDBETWEEN(1,1000)),N30)</f>
        <v>11924</v>
      </c>
      <c r="O31" t="s">
        <v>1001</v>
      </c>
      <c r="P31">
        <v>52936165</v>
      </c>
    </row>
    <row r="32" spans="1:16" x14ac:dyDescent="0.35">
      <c r="A32">
        <v>93827211995</v>
      </c>
      <c r="C32" s="2" t="s">
        <v>883</v>
      </c>
      <c r="D32">
        <v>1</v>
      </c>
      <c r="E32">
        <v>76891213448</v>
      </c>
      <c r="F32">
        <f t="shared" ca="1" si="0"/>
        <v>98</v>
      </c>
      <c r="G32">
        <f ca="1">VLOOKUP(E32,PurchItem!$A$2:$H$508,8,0)</f>
        <v>3709.5224628310179</v>
      </c>
      <c r="H32">
        <v>0.05</v>
      </c>
      <c r="I32" t="s">
        <v>244</v>
      </c>
      <c r="J32" s="5">
        <v>45255.594524409724</v>
      </c>
      <c r="K32" s="5">
        <v>45258.189048819448</v>
      </c>
      <c r="L32" s="5">
        <v>45263.783573229171</v>
      </c>
      <c r="M32">
        <f t="shared" si="1"/>
        <v>10029727225</v>
      </c>
      <c r="N32">
        <f ca="1">IF(M32&lt;&gt;M31,INDEX(CustInfo!$A$2:$A$1001,RANDBETWEEN(1,1000)),N31)</f>
        <v>11164</v>
      </c>
      <c r="O32" t="s">
        <v>1003</v>
      </c>
      <c r="P32">
        <v>52936166</v>
      </c>
    </row>
    <row r="33" spans="1:16" x14ac:dyDescent="0.35">
      <c r="A33">
        <v>93827211995</v>
      </c>
      <c r="C33" s="2" t="s">
        <v>883</v>
      </c>
      <c r="D33">
        <v>2</v>
      </c>
      <c r="E33">
        <v>76891213531</v>
      </c>
      <c r="F33">
        <f t="shared" ca="1" si="0"/>
        <v>37</v>
      </c>
      <c r="G33">
        <f ca="1">VLOOKUP(E33,PurchItem!$A$2:$H$508,8,0)</f>
        <v>9274.9787353542088</v>
      </c>
      <c r="H33">
        <v>0.04</v>
      </c>
      <c r="I33" t="s">
        <v>244</v>
      </c>
      <c r="J33" s="5">
        <v>44785.594524409724</v>
      </c>
      <c r="K33" s="5">
        <v>44789.189048819448</v>
      </c>
      <c r="L33" s="5">
        <v>44793.783573229171</v>
      </c>
      <c r="M33">
        <f t="shared" si="1"/>
        <v>10029727225</v>
      </c>
      <c r="N33">
        <f ca="1">IF(M33&lt;&gt;M32,INDEX(CustInfo!$A$2:$A$1001,RANDBETWEEN(1,1000)),N32)</f>
        <v>11164</v>
      </c>
      <c r="O33" t="s">
        <v>1003</v>
      </c>
      <c r="P33">
        <v>52936167</v>
      </c>
    </row>
    <row r="34" spans="1:16" x14ac:dyDescent="0.35">
      <c r="A34">
        <v>93827211995</v>
      </c>
      <c r="C34" s="2" t="s">
        <v>883</v>
      </c>
      <c r="D34">
        <v>3</v>
      </c>
      <c r="E34">
        <v>76891213418</v>
      </c>
      <c r="F34">
        <f t="shared" ca="1" si="0"/>
        <v>72</v>
      </c>
      <c r="G34">
        <f ca="1">VLOOKUP(E34,PurchItem!$A$2:$H$508,8,0)</f>
        <v>8210.6670108302296</v>
      </c>
      <c r="H34">
        <v>0.05</v>
      </c>
      <c r="I34" t="s">
        <v>244</v>
      </c>
      <c r="J34" s="5">
        <v>44653.594524409724</v>
      </c>
      <c r="K34" s="5">
        <v>44654.189048819448</v>
      </c>
      <c r="L34" s="5">
        <v>44656.783573229171</v>
      </c>
      <c r="M34">
        <f t="shared" si="1"/>
        <v>10029727225</v>
      </c>
      <c r="N34">
        <f ca="1">IF(M34&lt;&gt;M33,INDEX(CustInfo!$A$2:$A$1001,RANDBETWEEN(1,1000)),N33)</f>
        <v>11164</v>
      </c>
      <c r="O34" t="s">
        <v>1003</v>
      </c>
      <c r="P34">
        <v>52936168</v>
      </c>
    </row>
    <row r="35" spans="1:16" x14ac:dyDescent="0.35">
      <c r="A35">
        <v>93827211995</v>
      </c>
      <c r="C35" s="2" t="s">
        <v>883</v>
      </c>
      <c r="D35">
        <v>4</v>
      </c>
      <c r="E35">
        <v>76891213187</v>
      </c>
      <c r="F35">
        <f t="shared" ca="1" si="0"/>
        <v>69</v>
      </c>
      <c r="G35">
        <f ca="1">VLOOKUP(E35,PurchItem!$A$2:$H$508,8,0)</f>
        <v>9230.4715911830135</v>
      </c>
      <c r="H35">
        <v>0.06</v>
      </c>
      <c r="I35" t="s">
        <v>244</v>
      </c>
      <c r="J35" s="5">
        <v>45370.594524409724</v>
      </c>
      <c r="K35" s="5">
        <v>45374.189048819448</v>
      </c>
      <c r="L35" s="5">
        <v>45375.783573229171</v>
      </c>
      <c r="M35">
        <f t="shared" si="1"/>
        <v>10029727225</v>
      </c>
      <c r="N35">
        <f ca="1">IF(M35&lt;&gt;M34,INDEX(CustInfo!$A$2:$A$1001,RANDBETWEEN(1,1000)),N34)</f>
        <v>11164</v>
      </c>
      <c r="O35" t="s">
        <v>1003</v>
      </c>
      <c r="P35">
        <v>52936169</v>
      </c>
    </row>
    <row r="36" spans="1:16" x14ac:dyDescent="0.35">
      <c r="A36">
        <v>93827211996</v>
      </c>
      <c r="C36" s="2" t="s">
        <v>883</v>
      </c>
      <c r="D36">
        <v>1</v>
      </c>
      <c r="E36">
        <v>76891213502</v>
      </c>
      <c r="F36">
        <f t="shared" ca="1" si="0"/>
        <v>61</v>
      </c>
      <c r="G36">
        <f ca="1">VLOOKUP(E36,PurchItem!$A$2:$H$508,8,0)</f>
        <v>7081.1969266698825</v>
      </c>
      <c r="H36">
        <v>0.06</v>
      </c>
      <c r="I36" t="s">
        <v>244</v>
      </c>
      <c r="J36" s="5">
        <v>45340.594524409724</v>
      </c>
      <c r="K36" s="5">
        <v>45344.189048819448</v>
      </c>
      <c r="L36" s="5">
        <v>45354.783573229171</v>
      </c>
      <c r="M36">
        <f t="shared" si="1"/>
        <v>10029727226</v>
      </c>
      <c r="N36">
        <f ca="1">IF(M36&lt;&gt;M35,INDEX(CustInfo!$A$2:$A$1001,RANDBETWEEN(1,1000)),N35)</f>
        <v>11456</v>
      </c>
      <c r="O36" t="s">
        <v>1001</v>
      </c>
      <c r="P36">
        <v>52936170</v>
      </c>
    </row>
    <row r="37" spans="1:16" x14ac:dyDescent="0.35">
      <c r="A37">
        <v>93827211996</v>
      </c>
      <c r="C37" s="2" t="s">
        <v>883</v>
      </c>
      <c r="D37">
        <v>2</v>
      </c>
      <c r="E37">
        <v>76891213632</v>
      </c>
      <c r="F37">
        <f t="shared" ca="1" si="0"/>
        <v>35</v>
      </c>
      <c r="G37">
        <f ca="1">VLOOKUP(E37,PurchItem!$A$2:$H$508,8,0)</f>
        <v>2684.3182600797395</v>
      </c>
      <c r="H37">
        <v>0.05</v>
      </c>
      <c r="I37" t="s">
        <v>244</v>
      </c>
      <c r="J37" s="5">
        <v>45280.594524409724</v>
      </c>
      <c r="K37" s="5">
        <v>45284.189048819448</v>
      </c>
      <c r="L37" s="5">
        <v>45286.783573229171</v>
      </c>
      <c r="M37">
        <f t="shared" si="1"/>
        <v>10029727226</v>
      </c>
      <c r="N37">
        <f ca="1">IF(M37&lt;&gt;M36,INDEX(CustInfo!$A$2:$A$1001,RANDBETWEEN(1,1000)),N36)</f>
        <v>11456</v>
      </c>
      <c r="O37" t="s">
        <v>1001</v>
      </c>
      <c r="P37">
        <v>52936171</v>
      </c>
    </row>
    <row r="38" spans="1:16" x14ac:dyDescent="0.35">
      <c r="A38">
        <v>93827211996</v>
      </c>
      <c r="C38" s="2" t="s">
        <v>883</v>
      </c>
      <c r="D38">
        <v>3</v>
      </c>
      <c r="E38">
        <v>76891213450</v>
      </c>
      <c r="F38">
        <f t="shared" ca="1" si="0"/>
        <v>59</v>
      </c>
      <c r="G38">
        <f ca="1">VLOOKUP(E38,PurchItem!$A$2:$H$508,8,0)</f>
        <v>127.27613352870286</v>
      </c>
      <c r="H38">
        <v>0.06</v>
      </c>
      <c r="I38" t="s">
        <v>244</v>
      </c>
      <c r="J38" s="5">
        <v>44817.594524409724</v>
      </c>
      <c r="K38" s="5">
        <v>44820.189048819448</v>
      </c>
      <c r="L38" s="5">
        <v>44823.783573229171</v>
      </c>
      <c r="M38">
        <f t="shared" si="1"/>
        <v>10029727226</v>
      </c>
      <c r="N38">
        <f ca="1">IF(M38&lt;&gt;M37,INDEX(CustInfo!$A$2:$A$1001,RANDBETWEEN(1,1000)),N37)</f>
        <v>11456</v>
      </c>
      <c r="O38" t="s">
        <v>1001</v>
      </c>
      <c r="P38">
        <v>52936172</v>
      </c>
    </row>
    <row r="39" spans="1:16" x14ac:dyDescent="0.35">
      <c r="A39">
        <v>93827211997</v>
      </c>
      <c r="C39" s="2" t="s">
        <v>883</v>
      </c>
      <c r="D39">
        <v>1</v>
      </c>
      <c r="E39">
        <v>76891213633</v>
      </c>
      <c r="F39">
        <f t="shared" ca="1" si="0"/>
        <v>67</v>
      </c>
      <c r="G39">
        <f ca="1">VLOOKUP(E39,PurchItem!$A$2:$H$508,8,0)</f>
        <v>4821.8382192090185</v>
      </c>
      <c r="H39">
        <v>0.05</v>
      </c>
      <c r="I39" t="s">
        <v>244</v>
      </c>
      <c r="J39" s="5">
        <v>45231.594524409724</v>
      </c>
      <c r="K39" s="5">
        <v>45235.189048819448</v>
      </c>
      <c r="L39" s="5">
        <v>45238.783573229171</v>
      </c>
      <c r="M39">
        <f t="shared" si="1"/>
        <v>10029727227</v>
      </c>
      <c r="N39">
        <f ca="1">IF(M39&lt;&gt;M38,INDEX(CustInfo!$A$2:$A$1001,RANDBETWEEN(1,1000)),N38)</f>
        <v>11039</v>
      </c>
      <c r="O39" t="s">
        <v>1001</v>
      </c>
      <c r="P39">
        <v>52936173</v>
      </c>
    </row>
    <row r="40" spans="1:16" x14ac:dyDescent="0.35">
      <c r="A40">
        <v>93827211997</v>
      </c>
      <c r="C40" s="2" t="s">
        <v>883</v>
      </c>
      <c r="D40">
        <v>2</v>
      </c>
      <c r="E40">
        <v>76891213243</v>
      </c>
      <c r="F40">
        <f t="shared" ca="1" si="0"/>
        <v>85</v>
      </c>
      <c r="G40">
        <f ca="1">VLOOKUP(E40,PurchItem!$A$2:$H$508,8,0)</f>
        <v>3527.3626929070761</v>
      </c>
      <c r="H40">
        <v>0.06</v>
      </c>
      <c r="I40" t="s">
        <v>244</v>
      </c>
      <c r="J40" s="5">
        <v>44587.594524409724</v>
      </c>
      <c r="K40" s="5">
        <v>44588.189048819448</v>
      </c>
      <c r="L40" s="5">
        <v>44592.783573229171</v>
      </c>
      <c r="M40">
        <f t="shared" si="1"/>
        <v>10029727227</v>
      </c>
      <c r="N40">
        <f ca="1">IF(M40&lt;&gt;M39,INDEX(CustInfo!$A$2:$A$1001,RANDBETWEEN(1,1000)),N39)</f>
        <v>11039</v>
      </c>
      <c r="O40" t="s">
        <v>1001</v>
      </c>
      <c r="P40">
        <v>52936174</v>
      </c>
    </row>
    <row r="41" spans="1:16" x14ac:dyDescent="0.35">
      <c r="A41">
        <v>93827211997</v>
      </c>
      <c r="C41" s="2" t="s">
        <v>883</v>
      </c>
      <c r="D41">
        <v>3</v>
      </c>
      <c r="E41">
        <v>76891213544</v>
      </c>
      <c r="F41">
        <f t="shared" ca="1" si="0"/>
        <v>3</v>
      </c>
      <c r="G41">
        <f ca="1">VLOOKUP(E41,PurchItem!$A$2:$H$508,8,0)</f>
        <v>6242.0124373465778</v>
      </c>
      <c r="H41">
        <v>0.04</v>
      </c>
      <c r="I41" t="s">
        <v>244</v>
      </c>
      <c r="J41" s="5">
        <v>44989.594524409724</v>
      </c>
      <c r="K41" s="5">
        <v>44991.189048819448</v>
      </c>
      <c r="L41" s="5">
        <v>45000.783573229171</v>
      </c>
      <c r="M41">
        <f t="shared" si="1"/>
        <v>10029727227</v>
      </c>
      <c r="N41">
        <f ca="1">IF(M41&lt;&gt;M40,INDEX(CustInfo!$A$2:$A$1001,RANDBETWEEN(1,1000)),N40)</f>
        <v>11039</v>
      </c>
      <c r="O41" t="s">
        <v>1001</v>
      </c>
      <c r="P41">
        <v>52936175</v>
      </c>
    </row>
    <row r="42" spans="1:16" x14ac:dyDescent="0.35">
      <c r="A42">
        <v>93827211998</v>
      </c>
      <c r="C42" s="2" t="s">
        <v>883</v>
      </c>
      <c r="D42">
        <v>1</v>
      </c>
      <c r="E42">
        <v>76891213248</v>
      </c>
      <c r="F42">
        <f t="shared" ca="1" si="0"/>
        <v>13</v>
      </c>
      <c r="G42">
        <f ca="1">VLOOKUP(E42,PurchItem!$A$2:$H$508,8,0)</f>
        <v>7373.7414077764288</v>
      </c>
      <c r="H42">
        <v>0.05</v>
      </c>
      <c r="I42" t="s">
        <v>244</v>
      </c>
      <c r="J42" s="5">
        <v>45507.594524409724</v>
      </c>
      <c r="K42" s="5">
        <v>45509.189048819448</v>
      </c>
      <c r="L42" s="5">
        <v>45511.783573229171</v>
      </c>
      <c r="M42">
        <f t="shared" si="1"/>
        <v>10029727228</v>
      </c>
      <c r="N42">
        <f ca="1">IF(M42&lt;&gt;M41,INDEX(CustInfo!$A$2:$A$1001,RANDBETWEEN(1,1000)),N41)</f>
        <v>11128</v>
      </c>
      <c r="O42" t="s">
        <v>1003</v>
      </c>
      <c r="P42">
        <v>52936176</v>
      </c>
    </row>
    <row r="43" spans="1:16" x14ac:dyDescent="0.35">
      <c r="A43">
        <v>93827211998</v>
      </c>
      <c r="C43" s="2" t="s">
        <v>883</v>
      </c>
      <c r="D43">
        <v>2</v>
      </c>
      <c r="E43">
        <v>76891213583</v>
      </c>
      <c r="F43">
        <f t="shared" ca="1" si="0"/>
        <v>33</v>
      </c>
      <c r="G43">
        <f ca="1">VLOOKUP(E43,PurchItem!$A$2:$H$508,8,0)</f>
        <v>6521.760940905634</v>
      </c>
      <c r="H43">
        <v>0.04</v>
      </c>
      <c r="I43" t="s">
        <v>244</v>
      </c>
      <c r="J43" s="5">
        <v>44649.594524409724</v>
      </c>
      <c r="K43" s="5">
        <v>44652.189048819448</v>
      </c>
      <c r="L43" s="5">
        <v>44656.783573229171</v>
      </c>
      <c r="M43">
        <f t="shared" si="1"/>
        <v>10029727228</v>
      </c>
      <c r="N43">
        <f ca="1">IF(M43&lt;&gt;M42,INDEX(CustInfo!$A$2:$A$1001,RANDBETWEEN(1,1000)),N42)</f>
        <v>11128</v>
      </c>
      <c r="O43" t="s">
        <v>1003</v>
      </c>
      <c r="P43">
        <v>52936177</v>
      </c>
    </row>
    <row r="44" spans="1:16" x14ac:dyDescent="0.35">
      <c r="A44">
        <v>93827211998</v>
      </c>
      <c r="C44" s="2" t="s">
        <v>883</v>
      </c>
      <c r="D44">
        <v>3</v>
      </c>
      <c r="E44">
        <v>76891213306</v>
      </c>
      <c r="F44">
        <f t="shared" ca="1" si="0"/>
        <v>81</v>
      </c>
      <c r="G44">
        <f ca="1">VLOOKUP(E44,PurchItem!$A$2:$H$508,8,0)</f>
        <v>7186.6067775573456</v>
      </c>
      <c r="H44">
        <v>0.05</v>
      </c>
      <c r="I44" t="s">
        <v>244</v>
      </c>
      <c r="J44" s="5">
        <v>44960.594524409724</v>
      </c>
      <c r="K44" s="5">
        <v>44964.189048819448</v>
      </c>
      <c r="L44" s="5">
        <v>44973.783573229171</v>
      </c>
      <c r="M44">
        <f t="shared" si="1"/>
        <v>10029727228</v>
      </c>
      <c r="N44">
        <f ca="1">IF(M44&lt;&gt;M43,INDEX(CustInfo!$A$2:$A$1001,RANDBETWEEN(1,1000)),N43)</f>
        <v>11128</v>
      </c>
      <c r="O44" t="s">
        <v>1003</v>
      </c>
      <c r="P44">
        <v>52936178</v>
      </c>
    </row>
    <row r="45" spans="1:16" x14ac:dyDescent="0.35">
      <c r="A45">
        <v>93827211999</v>
      </c>
      <c r="C45" s="2" t="s">
        <v>883</v>
      </c>
      <c r="D45">
        <v>1</v>
      </c>
      <c r="E45">
        <v>76891213209</v>
      </c>
      <c r="F45">
        <f t="shared" ca="1" si="0"/>
        <v>1</v>
      </c>
      <c r="G45">
        <f ca="1">VLOOKUP(E45,PurchItem!$A$2:$H$508,8,0)</f>
        <v>6018.1993043939055</v>
      </c>
      <c r="H45">
        <v>0.04</v>
      </c>
      <c r="I45" t="s">
        <v>244</v>
      </c>
      <c r="J45" s="5">
        <v>45236.594524409724</v>
      </c>
      <c r="K45" s="5">
        <v>45240.189048819448</v>
      </c>
      <c r="L45" s="5">
        <v>45243.783573229171</v>
      </c>
      <c r="M45">
        <f t="shared" si="1"/>
        <v>10029727229</v>
      </c>
      <c r="N45">
        <f ca="1">IF(M45&lt;&gt;M44,INDEX(CustInfo!$A$2:$A$1001,RANDBETWEEN(1,1000)),N44)</f>
        <v>11923</v>
      </c>
      <c r="O45" t="s">
        <v>1002</v>
      </c>
      <c r="P45">
        <v>52936179</v>
      </c>
    </row>
    <row r="46" spans="1:16" x14ac:dyDescent="0.35">
      <c r="A46">
        <v>93827212000</v>
      </c>
      <c r="C46" s="2" t="s">
        <v>883</v>
      </c>
      <c r="D46">
        <v>1</v>
      </c>
      <c r="E46">
        <v>76891213419</v>
      </c>
      <c r="F46">
        <f t="shared" ca="1" si="0"/>
        <v>47</v>
      </c>
      <c r="G46">
        <f ca="1">VLOOKUP(E46,PurchItem!$A$2:$H$508,8,0)</f>
        <v>5802.1747515963825</v>
      </c>
      <c r="H46">
        <v>0.06</v>
      </c>
      <c r="I46" t="s">
        <v>244</v>
      </c>
      <c r="J46" s="5">
        <v>44867.594524409724</v>
      </c>
      <c r="K46" s="5">
        <v>44870.189048819448</v>
      </c>
      <c r="L46" s="5">
        <v>44877.783573229171</v>
      </c>
      <c r="M46">
        <f t="shared" si="1"/>
        <v>10029727230</v>
      </c>
      <c r="N46">
        <f ca="1">IF(M46&lt;&gt;M45,INDEX(CustInfo!$A$2:$A$1001,RANDBETWEEN(1,1000)),N45)</f>
        <v>11224</v>
      </c>
      <c r="O46" t="s">
        <v>1003</v>
      </c>
      <c r="P46">
        <v>52936180</v>
      </c>
    </row>
    <row r="47" spans="1:16" x14ac:dyDescent="0.35">
      <c r="A47">
        <v>93827212000</v>
      </c>
      <c r="C47" s="2" t="s">
        <v>883</v>
      </c>
      <c r="D47">
        <v>2</v>
      </c>
      <c r="E47">
        <v>76891213604</v>
      </c>
      <c r="F47">
        <f t="shared" ca="1" si="0"/>
        <v>39</v>
      </c>
      <c r="G47">
        <f ca="1">VLOOKUP(E47,PurchItem!$A$2:$H$508,8,0)</f>
        <v>6398.1672211601835</v>
      </c>
      <c r="H47">
        <v>0.04</v>
      </c>
      <c r="I47" t="s">
        <v>244</v>
      </c>
      <c r="J47" s="5">
        <v>45233.594524409724</v>
      </c>
      <c r="K47" s="5">
        <v>45237.189048819448</v>
      </c>
      <c r="L47" s="5">
        <v>45239.783573229171</v>
      </c>
      <c r="M47">
        <f t="shared" si="1"/>
        <v>10029727230</v>
      </c>
      <c r="N47">
        <f ca="1">IF(M47&lt;&gt;M46,INDEX(CustInfo!$A$2:$A$1001,RANDBETWEEN(1,1000)),N46)</f>
        <v>11224</v>
      </c>
      <c r="O47" t="s">
        <v>1003</v>
      </c>
      <c r="P47">
        <v>52936181</v>
      </c>
    </row>
    <row r="48" spans="1:16" x14ac:dyDescent="0.35">
      <c r="A48">
        <v>93827212001</v>
      </c>
      <c r="C48" s="2" t="s">
        <v>883</v>
      </c>
      <c r="D48">
        <v>1</v>
      </c>
      <c r="E48">
        <v>76891213267</v>
      </c>
      <c r="F48">
        <f t="shared" ca="1" si="0"/>
        <v>30</v>
      </c>
      <c r="G48">
        <f ca="1">VLOOKUP(E48,PurchItem!$A$2:$H$508,8,0)</f>
        <v>3858.4369581321821</v>
      </c>
      <c r="H48">
        <v>0.04</v>
      </c>
      <c r="I48" t="s">
        <v>244</v>
      </c>
      <c r="J48" s="5">
        <v>44626.594524409724</v>
      </c>
      <c r="K48" s="5">
        <v>44627.189048819448</v>
      </c>
      <c r="L48" s="5">
        <v>44632.783573229171</v>
      </c>
      <c r="M48">
        <f t="shared" si="1"/>
        <v>10029727231</v>
      </c>
      <c r="N48">
        <f ca="1">IF(M48&lt;&gt;M47,INDEX(CustInfo!$A$2:$A$1001,RANDBETWEEN(1,1000)),N47)</f>
        <v>11574</v>
      </c>
      <c r="O48" t="s">
        <v>1001</v>
      </c>
      <c r="P48">
        <v>52936182</v>
      </c>
    </row>
    <row r="49" spans="1:16" x14ac:dyDescent="0.35">
      <c r="A49">
        <v>93827212002</v>
      </c>
      <c r="C49" s="2" t="s">
        <v>883</v>
      </c>
      <c r="D49">
        <v>1</v>
      </c>
      <c r="E49">
        <v>76891213415</v>
      </c>
      <c r="F49">
        <f t="shared" ca="1" si="0"/>
        <v>12</v>
      </c>
      <c r="G49">
        <f ca="1">VLOOKUP(E49,PurchItem!$A$2:$H$508,8,0)</f>
        <v>2617.4669359049317</v>
      </c>
      <c r="H49">
        <v>0.05</v>
      </c>
      <c r="I49" t="s">
        <v>244</v>
      </c>
      <c r="J49" s="5">
        <v>44718.594524409724</v>
      </c>
      <c r="K49" s="5">
        <v>44722.189048819448</v>
      </c>
      <c r="L49" s="5">
        <v>44728.783573229171</v>
      </c>
      <c r="M49">
        <f t="shared" si="1"/>
        <v>10029727232</v>
      </c>
      <c r="N49">
        <f ca="1">IF(M49&lt;&gt;M48,INDEX(CustInfo!$A$2:$A$1001,RANDBETWEEN(1,1000)),N48)</f>
        <v>11663</v>
      </c>
      <c r="O49" t="s">
        <v>1001</v>
      </c>
      <c r="P49">
        <v>52936183</v>
      </c>
    </row>
    <row r="50" spans="1:16" x14ac:dyDescent="0.35">
      <c r="A50">
        <v>93827212002</v>
      </c>
      <c r="C50" s="2" t="s">
        <v>883</v>
      </c>
      <c r="D50">
        <v>2</v>
      </c>
      <c r="E50">
        <v>76891213243</v>
      </c>
      <c r="F50">
        <f t="shared" ca="1" si="0"/>
        <v>75</v>
      </c>
      <c r="G50">
        <f ca="1">VLOOKUP(E50,PurchItem!$A$2:$H$508,8,0)</f>
        <v>3527.3626929070761</v>
      </c>
      <c r="H50">
        <v>0.06</v>
      </c>
      <c r="I50" t="s">
        <v>244</v>
      </c>
      <c r="J50" s="5">
        <v>45352.594524409724</v>
      </c>
      <c r="K50" s="5">
        <v>45356.189048819448</v>
      </c>
      <c r="L50" s="5">
        <v>45359.783573229171</v>
      </c>
      <c r="M50">
        <f t="shared" si="1"/>
        <v>10029727232</v>
      </c>
      <c r="N50">
        <f ca="1">IF(M50&lt;&gt;M49,INDEX(CustInfo!$A$2:$A$1001,RANDBETWEEN(1,1000)),N49)</f>
        <v>11663</v>
      </c>
      <c r="O50" t="s">
        <v>1001</v>
      </c>
      <c r="P50">
        <v>52936184</v>
      </c>
    </row>
    <row r="51" spans="1:16" x14ac:dyDescent="0.35">
      <c r="A51">
        <v>93827212002</v>
      </c>
      <c r="C51" s="2" t="s">
        <v>883</v>
      </c>
      <c r="D51">
        <v>3</v>
      </c>
      <c r="E51">
        <v>76891213147</v>
      </c>
      <c r="F51">
        <f t="shared" ca="1" si="0"/>
        <v>43</v>
      </c>
      <c r="G51">
        <f ca="1">VLOOKUP(E51,PurchItem!$A$2:$H$508,8,0)</f>
        <v>2264.3353543042599</v>
      </c>
      <c r="H51">
        <v>0.05</v>
      </c>
      <c r="I51" t="s">
        <v>244</v>
      </c>
      <c r="J51" s="5">
        <v>44737.594524409724</v>
      </c>
      <c r="K51" s="5">
        <v>44741.189048819448</v>
      </c>
      <c r="L51" s="5">
        <v>44749.783573229171</v>
      </c>
      <c r="M51">
        <f t="shared" si="1"/>
        <v>10029727232</v>
      </c>
      <c r="N51">
        <f ca="1">IF(M51&lt;&gt;M50,INDEX(CustInfo!$A$2:$A$1001,RANDBETWEEN(1,1000)),N50)</f>
        <v>11663</v>
      </c>
      <c r="O51" t="s">
        <v>1001</v>
      </c>
      <c r="P51">
        <v>52936185</v>
      </c>
    </row>
    <row r="52" spans="1:16" x14ac:dyDescent="0.35">
      <c r="A52">
        <v>93827212003</v>
      </c>
      <c r="C52" s="2" t="s">
        <v>883</v>
      </c>
      <c r="D52">
        <v>1</v>
      </c>
      <c r="E52">
        <v>76891213638</v>
      </c>
      <c r="F52">
        <f t="shared" ca="1" si="0"/>
        <v>17</v>
      </c>
      <c r="G52">
        <f ca="1">VLOOKUP(E52,PurchItem!$A$2:$H$508,8,0)</f>
        <v>7759.84821332092</v>
      </c>
      <c r="H52">
        <v>0.04</v>
      </c>
      <c r="I52" t="s">
        <v>244</v>
      </c>
      <c r="J52" s="5">
        <v>45169.594524409724</v>
      </c>
      <c r="K52" s="5">
        <v>45172.189048819448</v>
      </c>
      <c r="L52" s="5">
        <v>45178.783573229171</v>
      </c>
      <c r="M52">
        <f t="shared" si="1"/>
        <v>10029727233</v>
      </c>
      <c r="N52">
        <f ca="1">IF(M52&lt;&gt;M51,INDEX(CustInfo!$A$2:$A$1001,RANDBETWEEN(1,1000)),N51)</f>
        <v>11807</v>
      </c>
      <c r="O52" t="s">
        <v>1003</v>
      </c>
      <c r="P52">
        <v>52936186</v>
      </c>
    </row>
    <row r="53" spans="1:16" x14ac:dyDescent="0.35">
      <c r="A53">
        <v>93827212003</v>
      </c>
      <c r="C53" s="2" t="s">
        <v>883</v>
      </c>
      <c r="D53">
        <v>2</v>
      </c>
      <c r="E53">
        <v>76891213151</v>
      </c>
      <c r="F53">
        <f t="shared" ca="1" si="0"/>
        <v>68</v>
      </c>
      <c r="G53">
        <f ca="1">VLOOKUP(E53,PurchItem!$A$2:$H$508,8,0)</f>
        <v>6578.9489505152096</v>
      </c>
      <c r="H53">
        <v>0.05</v>
      </c>
      <c r="I53" t="s">
        <v>244</v>
      </c>
      <c r="J53" s="5">
        <v>44634.594524409724</v>
      </c>
      <c r="K53" s="5">
        <v>44637.189048819448</v>
      </c>
      <c r="L53" s="5">
        <v>44643.783573229171</v>
      </c>
      <c r="M53">
        <f t="shared" si="1"/>
        <v>10029727233</v>
      </c>
      <c r="N53">
        <f ca="1">IF(M53&lt;&gt;M52,INDEX(CustInfo!$A$2:$A$1001,RANDBETWEEN(1,1000)),N52)</f>
        <v>11807</v>
      </c>
      <c r="O53" t="s">
        <v>1003</v>
      </c>
      <c r="P53">
        <v>52936187</v>
      </c>
    </row>
    <row r="54" spans="1:16" x14ac:dyDescent="0.35">
      <c r="A54">
        <v>93827212003</v>
      </c>
      <c r="C54" s="2" t="s">
        <v>883</v>
      </c>
      <c r="D54">
        <v>3</v>
      </c>
      <c r="E54">
        <v>76891213554</v>
      </c>
      <c r="F54">
        <f t="shared" ca="1" si="0"/>
        <v>16</v>
      </c>
      <c r="G54">
        <f ca="1">VLOOKUP(E54,PurchItem!$A$2:$H$508,8,0)</f>
        <v>951.21890056653785</v>
      </c>
      <c r="H54">
        <v>0.04</v>
      </c>
      <c r="I54" t="s">
        <v>244</v>
      </c>
      <c r="J54" s="5">
        <v>44738.594524409724</v>
      </c>
      <c r="K54" s="5">
        <v>44739.189048819448</v>
      </c>
      <c r="L54" s="5">
        <v>44744.783573229171</v>
      </c>
      <c r="M54">
        <f t="shared" si="1"/>
        <v>10029727233</v>
      </c>
      <c r="N54">
        <f ca="1">IF(M54&lt;&gt;M53,INDEX(CustInfo!$A$2:$A$1001,RANDBETWEEN(1,1000)),N53)</f>
        <v>11807</v>
      </c>
      <c r="O54" t="s">
        <v>1003</v>
      </c>
      <c r="P54">
        <v>52936188</v>
      </c>
    </row>
    <row r="55" spans="1:16" x14ac:dyDescent="0.35">
      <c r="A55">
        <v>93827212004</v>
      </c>
      <c r="C55" s="2" t="s">
        <v>883</v>
      </c>
      <c r="D55">
        <v>1</v>
      </c>
      <c r="E55">
        <v>76891213554</v>
      </c>
      <c r="F55">
        <f t="shared" ca="1" si="0"/>
        <v>99</v>
      </c>
      <c r="G55">
        <f ca="1">VLOOKUP(E55,PurchItem!$A$2:$H$508,8,0)</f>
        <v>951.21890056653785</v>
      </c>
      <c r="H55">
        <v>0.05</v>
      </c>
      <c r="I55" t="s">
        <v>244</v>
      </c>
      <c r="J55" s="5">
        <v>44588.594524409724</v>
      </c>
      <c r="K55" s="5">
        <v>44589.189048819448</v>
      </c>
      <c r="L55" s="5">
        <v>44589.783573229171</v>
      </c>
      <c r="M55">
        <f t="shared" si="1"/>
        <v>10029727234</v>
      </c>
      <c r="N55">
        <f ca="1">IF(M55&lt;&gt;M54,INDEX(CustInfo!$A$2:$A$1001,RANDBETWEEN(1,1000)),N54)</f>
        <v>11858</v>
      </c>
      <c r="O55" t="s">
        <v>1001</v>
      </c>
      <c r="P55">
        <v>52936189</v>
      </c>
    </row>
    <row r="56" spans="1:16" x14ac:dyDescent="0.35">
      <c r="A56">
        <v>93827212005</v>
      </c>
      <c r="C56" s="2" t="s">
        <v>883</v>
      </c>
      <c r="D56">
        <v>1</v>
      </c>
      <c r="E56">
        <v>76891213219</v>
      </c>
      <c r="F56">
        <f t="shared" ca="1" si="0"/>
        <v>70</v>
      </c>
      <c r="G56">
        <f ca="1">VLOOKUP(E56,PurchItem!$A$2:$H$508,8,0)</f>
        <v>660.79398870229625</v>
      </c>
      <c r="H56">
        <v>0.06</v>
      </c>
      <c r="I56" t="s">
        <v>244</v>
      </c>
      <c r="J56" s="5">
        <v>45276.594524409724</v>
      </c>
      <c r="K56" s="5">
        <v>45280.189048819448</v>
      </c>
      <c r="L56" s="5">
        <v>45287.783573229171</v>
      </c>
      <c r="M56">
        <f t="shared" si="1"/>
        <v>10029727235</v>
      </c>
      <c r="N56">
        <f ca="1">IF(M56&lt;&gt;M55,INDEX(CustInfo!$A$2:$A$1001,RANDBETWEEN(1,1000)),N55)</f>
        <v>11153</v>
      </c>
      <c r="O56" t="s">
        <v>1003</v>
      </c>
      <c r="P56">
        <v>52936190</v>
      </c>
    </row>
    <row r="57" spans="1:16" x14ac:dyDescent="0.35">
      <c r="A57">
        <v>93827212005</v>
      </c>
      <c r="C57" s="2" t="s">
        <v>883</v>
      </c>
      <c r="D57">
        <v>2</v>
      </c>
      <c r="E57">
        <v>76891213428</v>
      </c>
      <c r="F57">
        <f t="shared" ca="1" si="0"/>
        <v>31</v>
      </c>
      <c r="G57">
        <f ca="1">VLOOKUP(E57,PurchItem!$A$2:$H$508,8,0)</f>
        <v>9444.1575416140786</v>
      </c>
      <c r="H57">
        <v>0.04</v>
      </c>
      <c r="I57" t="s">
        <v>244</v>
      </c>
      <c r="J57" s="5">
        <v>45399.594524409724</v>
      </c>
      <c r="K57" s="5">
        <v>45402.189048819448</v>
      </c>
      <c r="L57" s="5">
        <v>45409.783573229171</v>
      </c>
      <c r="M57">
        <f t="shared" si="1"/>
        <v>10029727235</v>
      </c>
      <c r="N57">
        <f ca="1">IF(M57&lt;&gt;M56,INDEX(CustInfo!$A$2:$A$1001,RANDBETWEEN(1,1000)),N56)</f>
        <v>11153</v>
      </c>
      <c r="O57" t="s">
        <v>1003</v>
      </c>
      <c r="P57">
        <v>52936191</v>
      </c>
    </row>
    <row r="58" spans="1:16" x14ac:dyDescent="0.35">
      <c r="A58">
        <v>93827212005</v>
      </c>
      <c r="C58" s="2" t="s">
        <v>883</v>
      </c>
      <c r="D58">
        <v>3</v>
      </c>
      <c r="E58">
        <v>76891213579</v>
      </c>
      <c r="F58">
        <f t="shared" ca="1" si="0"/>
        <v>65</v>
      </c>
      <c r="G58">
        <f ca="1">VLOOKUP(E58,PurchItem!$A$2:$H$508,8,0)</f>
        <v>7916.3108134357099</v>
      </c>
      <c r="H58">
        <v>0.04</v>
      </c>
      <c r="I58" t="s">
        <v>244</v>
      </c>
      <c r="J58" s="5">
        <v>44610.594524409724</v>
      </c>
      <c r="K58" s="5">
        <v>44612.189048819448</v>
      </c>
      <c r="L58" s="5">
        <v>44615.783573229171</v>
      </c>
      <c r="M58">
        <f t="shared" si="1"/>
        <v>10029727235</v>
      </c>
      <c r="N58">
        <f ca="1">IF(M58&lt;&gt;M57,INDEX(CustInfo!$A$2:$A$1001,RANDBETWEEN(1,1000)),N57)</f>
        <v>11153</v>
      </c>
      <c r="O58" t="s">
        <v>1003</v>
      </c>
      <c r="P58">
        <v>52936192</v>
      </c>
    </row>
    <row r="59" spans="1:16" x14ac:dyDescent="0.35">
      <c r="A59">
        <v>93827212006</v>
      </c>
      <c r="C59" s="2" t="s">
        <v>883</v>
      </c>
      <c r="D59">
        <v>1</v>
      </c>
      <c r="E59">
        <v>76891213200</v>
      </c>
      <c r="F59">
        <f t="shared" ca="1" si="0"/>
        <v>42</v>
      </c>
      <c r="G59">
        <f ca="1">VLOOKUP(E59,PurchItem!$A$2:$H$508,8,0)</f>
        <v>6550.2153182368647</v>
      </c>
      <c r="H59">
        <v>0.04</v>
      </c>
      <c r="I59" t="s">
        <v>244</v>
      </c>
      <c r="J59" s="5">
        <v>44977.594524409724</v>
      </c>
      <c r="K59" s="5">
        <v>44981.189048819448</v>
      </c>
      <c r="L59" s="5">
        <v>44989.783573229171</v>
      </c>
      <c r="M59">
        <f t="shared" si="1"/>
        <v>10029727236</v>
      </c>
      <c r="N59">
        <f ca="1">IF(M59&lt;&gt;M58,INDEX(CustInfo!$A$2:$A$1001,RANDBETWEEN(1,1000)),N58)</f>
        <v>11868</v>
      </c>
      <c r="O59" t="s">
        <v>1003</v>
      </c>
      <c r="P59">
        <v>52936193</v>
      </c>
    </row>
    <row r="60" spans="1:16" x14ac:dyDescent="0.35">
      <c r="A60">
        <v>93827212006</v>
      </c>
      <c r="C60" s="2" t="s">
        <v>883</v>
      </c>
      <c r="D60">
        <v>2</v>
      </c>
      <c r="E60">
        <v>76891213483</v>
      </c>
      <c r="F60">
        <f t="shared" ca="1" si="0"/>
        <v>28</v>
      </c>
      <c r="G60">
        <f ca="1">VLOOKUP(E60,PurchItem!$A$2:$H$508,8,0)</f>
        <v>1444.9221787766719</v>
      </c>
      <c r="H60">
        <v>0.04</v>
      </c>
      <c r="I60" t="s">
        <v>244</v>
      </c>
      <c r="J60" s="5">
        <v>44705.594524409724</v>
      </c>
      <c r="K60" s="5">
        <v>44709.189048819448</v>
      </c>
      <c r="L60" s="5">
        <v>44709.783573229171</v>
      </c>
      <c r="M60">
        <f t="shared" si="1"/>
        <v>10029727236</v>
      </c>
      <c r="N60">
        <f ca="1">IF(M60&lt;&gt;M59,INDEX(CustInfo!$A$2:$A$1001,RANDBETWEEN(1,1000)),N59)</f>
        <v>11868</v>
      </c>
      <c r="O60" t="s">
        <v>1003</v>
      </c>
      <c r="P60">
        <v>52936194</v>
      </c>
    </row>
    <row r="61" spans="1:16" x14ac:dyDescent="0.35">
      <c r="A61">
        <v>93827212006</v>
      </c>
      <c r="C61" s="2" t="s">
        <v>883</v>
      </c>
      <c r="D61">
        <v>3</v>
      </c>
      <c r="E61">
        <v>76891213184</v>
      </c>
      <c r="F61">
        <f t="shared" ca="1" si="0"/>
        <v>38</v>
      </c>
      <c r="G61">
        <f ca="1">VLOOKUP(E61,PurchItem!$A$2:$H$508,8,0)</f>
        <v>5805.1190284202921</v>
      </c>
      <c r="H61">
        <v>0.05</v>
      </c>
      <c r="I61" t="s">
        <v>244</v>
      </c>
      <c r="J61" s="5">
        <v>45270.594524409724</v>
      </c>
      <c r="K61" s="5">
        <v>45274.189048819448</v>
      </c>
      <c r="L61" s="5">
        <v>45280.783573229171</v>
      </c>
      <c r="M61">
        <f t="shared" si="1"/>
        <v>10029727236</v>
      </c>
      <c r="N61">
        <f ca="1">IF(M61&lt;&gt;M60,INDEX(CustInfo!$A$2:$A$1001,RANDBETWEEN(1,1000)),N60)</f>
        <v>11868</v>
      </c>
      <c r="O61" t="s">
        <v>1003</v>
      </c>
      <c r="P61">
        <v>52936195</v>
      </c>
    </row>
    <row r="62" spans="1:16" x14ac:dyDescent="0.35">
      <c r="A62">
        <v>93827212006</v>
      </c>
      <c r="C62" s="2" t="s">
        <v>883</v>
      </c>
      <c r="D62">
        <v>4</v>
      </c>
      <c r="E62">
        <v>76891213202</v>
      </c>
      <c r="F62">
        <f t="shared" ca="1" si="0"/>
        <v>57</v>
      </c>
      <c r="G62">
        <f ca="1">VLOOKUP(E62,PurchItem!$A$2:$H$508,8,0)</f>
        <v>2347.1157697369686</v>
      </c>
      <c r="H62">
        <v>0.05</v>
      </c>
      <c r="I62" t="s">
        <v>244</v>
      </c>
      <c r="J62" s="5">
        <v>45026.594524409724</v>
      </c>
      <c r="K62" s="5">
        <v>45029.189048819448</v>
      </c>
      <c r="L62" s="5">
        <v>45032.783573229171</v>
      </c>
      <c r="M62">
        <f t="shared" si="1"/>
        <v>10029727236</v>
      </c>
      <c r="N62">
        <f ca="1">IF(M62&lt;&gt;M61,INDEX(CustInfo!$A$2:$A$1001,RANDBETWEEN(1,1000)),N61)</f>
        <v>11868</v>
      </c>
      <c r="O62" t="s">
        <v>1003</v>
      </c>
      <c r="P62">
        <v>52936196</v>
      </c>
    </row>
    <row r="63" spans="1:16" x14ac:dyDescent="0.35">
      <c r="A63">
        <v>93827212007</v>
      </c>
      <c r="C63" s="2" t="s">
        <v>883</v>
      </c>
      <c r="D63">
        <v>1</v>
      </c>
      <c r="E63">
        <v>76891213633</v>
      </c>
      <c r="F63">
        <f t="shared" ca="1" si="0"/>
        <v>51</v>
      </c>
      <c r="G63">
        <f ca="1">VLOOKUP(E63,PurchItem!$A$2:$H$508,8,0)</f>
        <v>4821.8382192090185</v>
      </c>
      <c r="H63">
        <v>0.04</v>
      </c>
      <c r="I63" t="s">
        <v>244</v>
      </c>
      <c r="J63" s="5">
        <v>44882.594524409724</v>
      </c>
      <c r="K63" s="5">
        <v>44885.189048819448</v>
      </c>
      <c r="L63" s="5">
        <v>44894.783573229171</v>
      </c>
      <c r="M63">
        <f t="shared" si="1"/>
        <v>10029727237</v>
      </c>
      <c r="N63">
        <f ca="1">IF(M63&lt;&gt;M62,INDEX(CustInfo!$A$2:$A$1001,RANDBETWEEN(1,1000)),N62)</f>
        <v>11647</v>
      </c>
      <c r="O63" t="s">
        <v>1002</v>
      </c>
      <c r="P63">
        <v>52936197</v>
      </c>
    </row>
    <row r="64" spans="1:16" x14ac:dyDescent="0.35">
      <c r="A64">
        <v>93827212007</v>
      </c>
      <c r="C64" s="2" t="s">
        <v>883</v>
      </c>
      <c r="D64">
        <v>2</v>
      </c>
      <c r="E64">
        <v>76891213245</v>
      </c>
      <c r="F64">
        <f t="shared" ca="1" si="0"/>
        <v>39</v>
      </c>
      <c r="G64">
        <f ca="1">VLOOKUP(E64,PurchItem!$A$2:$H$508,8,0)</f>
        <v>4529.342003374114</v>
      </c>
      <c r="H64">
        <v>0.06</v>
      </c>
      <c r="I64" t="s">
        <v>244</v>
      </c>
      <c r="J64" s="5">
        <v>45173.594524409724</v>
      </c>
      <c r="K64" s="5">
        <v>45174.189048819448</v>
      </c>
      <c r="L64" s="5">
        <v>45180.783573229171</v>
      </c>
      <c r="M64">
        <f t="shared" si="1"/>
        <v>10029727237</v>
      </c>
      <c r="N64">
        <f ca="1">IF(M64&lt;&gt;M63,INDEX(CustInfo!$A$2:$A$1001,RANDBETWEEN(1,1000)),N63)</f>
        <v>11647</v>
      </c>
      <c r="O64" t="s">
        <v>1002</v>
      </c>
      <c r="P64">
        <v>52936198</v>
      </c>
    </row>
    <row r="65" spans="1:16" x14ac:dyDescent="0.35">
      <c r="A65">
        <v>93827212007</v>
      </c>
      <c r="C65" s="2" t="s">
        <v>883</v>
      </c>
      <c r="D65">
        <v>3</v>
      </c>
      <c r="E65">
        <v>76891213217</v>
      </c>
      <c r="F65">
        <f t="shared" ca="1" si="0"/>
        <v>14</v>
      </c>
      <c r="G65">
        <f ca="1">VLOOKUP(E65,PurchItem!$A$2:$H$508,8,0)</f>
        <v>352.68898151898452</v>
      </c>
      <c r="H65">
        <v>0.06</v>
      </c>
      <c r="I65" t="s">
        <v>244</v>
      </c>
      <c r="J65" s="5">
        <v>44976.594524409724</v>
      </c>
      <c r="K65" s="5">
        <v>44979.189048819448</v>
      </c>
      <c r="L65" s="5">
        <v>44984.783573229171</v>
      </c>
      <c r="M65">
        <f t="shared" si="1"/>
        <v>10029727237</v>
      </c>
      <c r="N65">
        <f ca="1">IF(M65&lt;&gt;M64,INDEX(CustInfo!$A$2:$A$1001,RANDBETWEEN(1,1000)),N64)</f>
        <v>11647</v>
      </c>
      <c r="O65" t="s">
        <v>1002</v>
      </c>
      <c r="P65">
        <v>52936199</v>
      </c>
    </row>
    <row r="66" spans="1:16" x14ac:dyDescent="0.35">
      <c r="A66">
        <v>93827212008</v>
      </c>
      <c r="C66" s="2" t="s">
        <v>883</v>
      </c>
      <c r="D66">
        <v>1</v>
      </c>
      <c r="E66">
        <v>76891213414</v>
      </c>
      <c r="F66">
        <f t="shared" ca="1" si="0"/>
        <v>60</v>
      </c>
      <c r="G66">
        <f ca="1">VLOOKUP(E66,PurchItem!$A$2:$H$508,8,0)</f>
        <v>9766.7832998304748</v>
      </c>
      <c r="H66">
        <v>0.06</v>
      </c>
      <c r="I66" t="s">
        <v>244</v>
      </c>
      <c r="J66" s="5">
        <v>45461.594524409724</v>
      </c>
      <c r="K66" s="5">
        <v>45462.189048819448</v>
      </c>
      <c r="L66" s="5">
        <v>45467.783573229171</v>
      </c>
      <c r="M66">
        <f t="shared" si="1"/>
        <v>10029727238</v>
      </c>
      <c r="N66">
        <f ca="1">IF(M66&lt;&gt;M65,INDEX(CustInfo!$A$2:$A$1001,RANDBETWEEN(1,1000)),N65)</f>
        <v>11945</v>
      </c>
      <c r="O66" t="s">
        <v>1002</v>
      </c>
      <c r="P66">
        <v>52936200</v>
      </c>
    </row>
    <row r="67" spans="1:16" x14ac:dyDescent="0.35">
      <c r="A67">
        <v>93827212008</v>
      </c>
      <c r="C67" s="2" t="s">
        <v>883</v>
      </c>
      <c r="D67">
        <v>2</v>
      </c>
      <c r="E67">
        <v>76891213167</v>
      </c>
      <c r="F67">
        <f t="shared" ref="F67:F130" ca="1" si="2">RANDBETWEEN(1,100)</f>
        <v>100</v>
      </c>
      <c r="G67">
        <f ca="1">VLOOKUP(E67,PurchItem!$A$2:$H$508,8,0)</f>
        <v>6078.0406975240512</v>
      </c>
      <c r="H67">
        <v>0.05</v>
      </c>
      <c r="I67" t="s">
        <v>244</v>
      </c>
      <c r="J67" s="5">
        <v>45400.594524409724</v>
      </c>
      <c r="K67" s="5">
        <v>45403.189048819448</v>
      </c>
      <c r="L67" s="5">
        <v>45408.783573229171</v>
      </c>
      <c r="M67">
        <f t="shared" si="1"/>
        <v>10029727238</v>
      </c>
      <c r="N67">
        <f ca="1">IF(M67&lt;&gt;M66,INDEX(CustInfo!$A$2:$A$1001,RANDBETWEEN(1,1000)),N66)</f>
        <v>11945</v>
      </c>
      <c r="O67" t="s">
        <v>1002</v>
      </c>
      <c r="P67">
        <v>52936201</v>
      </c>
    </row>
    <row r="68" spans="1:16" x14ac:dyDescent="0.35">
      <c r="A68">
        <v>93827212008</v>
      </c>
      <c r="C68" s="2" t="s">
        <v>883</v>
      </c>
      <c r="D68">
        <v>3</v>
      </c>
      <c r="E68">
        <v>76891213472</v>
      </c>
      <c r="F68">
        <f t="shared" ca="1" si="2"/>
        <v>17</v>
      </c>
      <c r="G68">
        <f ca="1">VLOOKUP(E68,PurchItem!$A$2:$H$508,8,0)</f>
        <v>5247.8340757931537</v>
      </c>
      <c r="H68">
        <v>0.06</v>
      </c>
      <c r="I68" t="s">
        <v>244</v>
      </c>
      <c r="J68" s="5">
        <v>45567.594524409724</v>
      </c>
      <c r="K68" s="5">
        <v>45571.189048819448</v>
      </c>
      <c r="L68" s="5">
        <v>45574.783573229171</v>
      </c>
      <c r="M68">
        <f t="shared" si="1"/>
        <v>10029727238</v>
      </c>
      <c r="N68">
        <f ca="1">IF(M68&lt;&gt;M67,INDEX(CustInfo!$A$2:$A$1001,RANDBETWEEN(1,1000)),N67)</f>
        <v>11945</v>
      </c>
      <c r="O68" t="s">
        <v>1002</v>
      </c>
      <c r="P68">
        <v>52936202</v>
      </c>
    </row>
    <row r="69" spans="1:16" x14ac:dyDescent="0.35">
      <c r="A69">
        <v>93827212009</v>
      </c>
      <c r="C69" s="2" t="s">
        <v>883</v>
      </c>
      <c r="D69">
        <v>1</v>
      </c>
      <c r="E69">
        <v>76891213298</v>
      </c>
      <c r="F69">
        <f t="shared" ca="1" si="2"/>
        <v>35</v>
      </c>
      <c r="G69">
        <f ca="1">VLOOKUP(E69,PurchItem!$A$2:$H$508,8,0)</f>
        <v>8806.9548730318475</v>
      </c>
      <c r="H69">
        <v>0.05</v>
      </c>
      <c r="I69" t="s">
        <v>244</v>
      </c>
      <c r="J69" s="5">
        <v>45608.594524409724</v>
      </c>
      <c r="K69" s="5">
        <v>45609.189048819448</v>
      </c>
      <c r="L69" s="5">
        <v>45611.783573229171</v>
      </c>
      <c r="M69">
        <f t="shared" ref="M69:M132" si="3">IF(A69&lt;&gt;A68,M68+1,M68)</f>
        <v>10029727239</v>
      </c>
      <c r="N69">
        <f ca="1">IF(M69&lt;&gt;M68,INDEX(CustInfo!$A$2:$A$1001,RANDBETWEEN(1,1000)),N68)</f>
        <v>11069</v>
      </c>
      <c r="O69" t="s">
        <v>1002</v>
      </c>
      <c r="P69">
        <v>52936203</v>
      </c>
    </row>
    <row r="70" spans="1:16" x14ac:dyDescent="0.35">
      <c r="A70">
        <v>93827212009</v>
      </c>
      <c r="C70" s="2" t="s">
        <v>883</v>
      </c>
      <c r="D70">
        <v>2</v>
      </c>
      <c r="E70">
        <v>76891213624</v>
      </c>
      <c r="F70">
        <f t="shared" ca="1" si="2"/>
        <v>67</v>
      </c>
      <c r="G70">
        <f ca="1">VLOOKUP(E70,PurchItem!$A$2:$H$508,8,0)</f>
        <v>4975.1506502302827</v>
      </c>
      <c r="H70">
        <v>0.06</v>
      </c>
      <c r="I70" t="s">
        <v>244</v>
      </c>
      <c r="J70" s="5">
        <v>45128.594524409724</v>
      </c>
      <c r="K70" s="5">
        <v>45129.189048819448</v>
      </c>
      <c r="L70" s="5">
        <v>45133.783573229171</v>
      </c>
      <c r="M70">
        <f t="shared" si="3"/>
        <v>10029727239</v>
      </c>
      <c r="N70">
        <f ca="1">IF(M70&lt;&gt;M69,INDEX(CustInfo!$A$2:$A$1001,RANDBETWEEN(1,1000)),N69)</f>
        <v>11069</v>
      </c>
      <c r="O70" t="s">
        <v>1002</v>
      </c>
      <c r="P70">
        <v>52936204</v>
      </c>
    </row>
    <row r="71" spans="1:16" x14ac:dyDescent="0.35">
      <c r="A71">
        <v>93827212009</v>
      </c>
      <c r="C71" s="2" t="s">
        <v>883</v>
      </c>
      <c r="D71">
        <v>3</v>
      </c>
      <c r="E71">
        <v>76891213347</v>
      </c>
      <c r="F71">
        <f t="shared" ca="1" si="2"/>
        <v>64</v>
      </c>
      <c r="G71">
        <f ca="1">VLOOKUP(E71,PurchItem!$A$2:$H$508,8,0)</f>
        <v>9140.0810974149535</v>
      </c>
      <c r="H71">
        <v>0.05</v>
      </c>
      <c r="I71" t="s">
        <v>244</v>
      </c>
      <c r="J71" s="5">
        <v>45079.594524409724</v>
      </c>
      <c r="K71" s="5">
        <v>45081.189048819448</v>
      </c>
      <c r="L71" s="5">
        <v>45087.783573229171</v>
      </c>
      <c r="M71">
        <f t="shared" si="3"/>
        <v>10029727239</v>
      </c>
      <c r="N71">
        <f ca="1">IF(M71&lt;&gt;M70,INDEX(CustInfo!$A$2:$A$1001,RANDBETWEEN(1,1000)),N70)</f>
        <v>11069</v>
      </c>
      <c r="O71" t="s">
        <v>1002</v>
      </c>
      <c r="P71">
        <v>52936205</v>
      </c>
    </row>
    <row r="72" spans="1:16" x14ac:dyDescent="0.35">
      <c r="A72">
        <v>93827212010</v>
      </c>
      <c r="C72" s="2" t="s">
        <v>883</v>
      </c>
      <c r="D72">
        <v>1</v>
      </c>
      <c r="E72">
        <v>76891213434</v>
      </c>
      <c r="F72">
        <f t="shared" ca="1" si="2"/>
        <v>68</v>
      </c>
      <c r="G72">
        <f ca="1">VLOOKUP(E72,PurchItem!$A$2:$H$508,8,0)</f>
        <v>1035.2793986688564</v>
      </c>
      <c r="H72">
        <v>0.06</v>
      </c>
      <c r="I72" t="s">
        <v>244</v>
      </c>
      <c r="J72" s="5">
        <v>44757.594524409724</v>
      </c>
      <c r="K72" s="5">
        <v>44759.189048819448</v>
      </c>
      <c r="L72" s="5">
        <v>44767.783573229171</v>
      </c>
      <c r="M72">
        <f t="shared" si="3"/>
        <v>10029727240</v>
      </c>
      <c r="N72">
        <f ca="1">IF(M72&lt;&gt;M71,INDEX(CustInfo!$A$2:$A$1001,RANDBETWEEN(1,1000)),N71)</f>
        <v>11293</v>
      </c>
      <c r="O72" t="s">
        <v>1003</v>
      </c>
      <c r="P72">
        <v>52936206</v>
      </c>
    </row>
    <row r="73" spans="1:16" x14ac:dyDescent="0.35">
      <c r="A73">
        <v>93827212010</v>
      </c>
      <c r="C73" s="2" t="s">
        <v>883</v>
      </c>
      <c r="D73">
        <v>2</v>
      </c>
      <c r="E73">
        <v>76891213293</v>
      </c>
      <c r="F73">
        <f t="shared" ca="1" si="2"/>
        <v>42</v>
      </c>
      <c r="G73">
        <f ca="1">VLOOKUP(E73,PurchItem!$A$2:$H$508,8,0)</f>
        <v>1389.1874106181256</v>
      </c>
      <c r="H73">
        <v>0.06</v>
      </c>
      <c r="I73" t="s">
        <v>244</v>
      </c>
      <c r="J73" s="5">
        <v>45023.594524409724</v>
      </c>
      <c r="K73" s="5">
        <v>45024.189048819448</v>
      </c>
      <c r="L73" s="5">
        <v>45034.783573229171</v>
      </c>
      <c r="M73">
        <f t="shared" si="3"/>
        <v>10029727240</v>
      </c>
      <c r="N73">
        <f ca="1">IF(M73&lt;&gt;M72,INDEX(CustInfo!$A$2:$A$1001,RANDBETWEEN(1,1000)),N72)</f>
        <v>11293</v>
      </c>
      <c r="O73" t="s">
        <v>1003</v>
      </c>
      <c r="P73">
        <v>52936207</v>
      </c>
    </row>
    <row r="74" spans="1:16" x14ac:dyDescent="0.35">
      <c r="A74">
        <v>93827212010</v>
      </c>
      <c r="C74" s="2" t="s">
        <v>883</v>
      </c>
      <c r="D74">
        <v>3</v>
      </c>
      <c r="E74">
        <v>76891213359</v>
      </c>
      <c r="F74">
        <f t="shared" ca="1" si="2"/>
        <v>10</v>
      </c>
      <c r="G74">
        <f ca="1">VLOOKUP(E74,PurchItem!$A$2:$H$508,8,0)</f>
        <v>6704.6084395031594</v>
      </c>
      <c r="H74">
        <v>0.05</v>
      </c>
      <c r="I74" t="s">
        <v>244</v>
      </c>
      <c r="J74" s="5">
        <v>45028.594524409724</v>
      </c>
      <c r="K74" s="5">
        <v>45032.189048819448</v>
      </c>
      <c r="L74" s="5">
        <v>45035.783573229171</v>
      </c>
      <c r="M74">
        <f t="shared" si="3"/>
        <v>10029727240</v>
      </c>
      <c r="N74">
        <f ca="1">IF(M74&lt;&gt;M73,INDEX(CustInfo!$A$2:$A$1001,RANDBETWEEN(1,1000)),N73)</f>
        <v>11293</v>
      </c>
      <c r="O74" t="s">
        <v>1003</v>
      </c>
      <c r="P74">
        <v>52936208</v>
      </c>
    </row>
    <row r="75" spans="1:16" x14ac:dyDescent="0.35">
      <c r="A75">
        <v>93827212010</v>
      </c>
      <c r="C75" s="2" t="s">
        <v>883</v>
      </c>
      <c r="D75">
        <v>4</v>
      </c>
      <c r="E75">
        <v>76891213560</v>
      </c>
      <c r="F75">
        <f t="shared" ca="1" si="2"/>
        <v>92</v>
      </c>
      <c r="G75">
        <f ca="1">VLOOKUP(E75,PurchItem!$A$2:$H$508,8,0)</f>
        <v>9258.5719141936788</v>
      </c>
      <c r="H75">
        <v>0.05</v>
      </c>
      <c r="I75" t="s">
        <v>244</v>
      </c>
      <c r="J75" s="5">
        <v>44971.594524409724</v>
      </c>
      <c r="K75" s="5">
        <v>44975.189048819448</v>
      </c>
      <c r="L75" s="5">
        <v>44984.783573229171</v>
      </c>
      <c r="M75">
        <f t="shared" si="3"/>
        <v>10029727240</v>
      </c>
      <c r="N75">
        <f ca="1">IF(M75&lt;&gt;M74,INDEX(CustInfo!$A$2:$A$1001,RANDBETWEEN(1,1000)),N74)</f>
        <v>11293</v>
      </c>
      <c r="O75" t="s">
        <v>1003</v>
      </c>
      <c r="P75">
        <v>52936209</v>
      </c>
    </row>
    <row r="76" spans="1:16" x14ac:dyDescent="0.35">
      <c r="A76">
        <v>93827212011</v>
      </c>
      <c r="C76" s="2" t="s">
        <v>883</v>
      </c>
      <c r="D76">
        <v>1</v>
      </c>
      <c r="E76">
        <v>76891213635</v>
      </c>
      <c r="F76">
        <f t="shared" ca="1" si="2"/>
        <v>86</v>
      </c>
      <c r="G76">
        <f ca="1">VLOOKUP(E76,PurchItem!$A$2:$H$508,8,0)</f>
        <v>683.81529686480883</v>
      </c>
      <c r="H76">
        <v>0.04</v>
      </c>
      <c r="I76" t="s">
        <v>244</v>
      </c>
      <c r="J76" s="5">
        <v>45005.594524409724</v>
      </c>
      <c r="K76" s="5">
        <v>45007.189048819448</v>
      </c>
      <c r="L76" s="5">
        <v>45016.783573229171</v>
      </c>
      <c r="M76">
        <f t="shared" si="3"/>
        <v>10029727241</v>
      </c>
      <c r="N76">
        <f ca="1">IF(M76&lt;&gt;M75,INDEX(CustInfo!$A$2:$A$1001,RANDBETWEEN(1,1000)),N75)</f>
        <v>11993</v>
      </c>
      <c r="O76" t="s">
        <v>1003</v>
      </c>
      <c r="P76">
        <v>52936210</v>
      </c>
    </row>
    <row r="77" spans="1:16" x14ac:dyDescent="0.35">
      <c r="A77">
        <v>93827212011</v>
      </c>
      <c r="C77" s="2" t="s">
        <v>883</v>
      </c>
      <c r="D77">
        <v>2</v>
      </c>
      <c r="E77">
        <v>76891213502</v>
      </c>
      <c r="F77">
        <f t="shared" ca="1" si="2"/>
        <v>42</v>
      </c>
      <c r="G77">
        <f ca="1">VLOOKUP(E77,PurchItem!$A$2:$H$508,8,0)</f>
        <v>7081.1969266698825</v>
      </c>
      <c r="H77">
        <v>0.05</v>
      </c>
      <c r="I77" t="s">
        <v>244</v>
      </c>
      <c r="J77" s="5">
        <v>44693.594524409724</v>
      </c>
      <c r="K77" s="5">
        <v>44694.189048819448</v>
      </c>
      <c r="L77" s="5">
        <v>44704.783573229171</v>
      </c>
      <c r="M77">
        <f t="shared" si="3"/>
        <v>10029727241</v>
      </c>
      <c r="N77">
        <f ca="1">IF(M77&lt;&gt;M76,INDEX(CustInfo!$A$2:$A$1001,RANDBETWEEN(1,1000)),N76)</f>
        <v>11993</v>
      </c>
      <c r="O77" t="s">
        <v>1003</v>
      </c>
      <c r="P77">
        <v>52936211</v>
      </c>
    </row>
    <row r="78" spans="1:16" x14ac:dyDescent="0.35">
      <c r="A78">
        <v>93827212011</v>
      </c>
      <c r="C78" s="2" t="s">
        <v>883</v>
      </c>
      <c r="D78">
        <v>3</v>
      </c>
      <c r="E78">
        <v>76891213459</v>
      </c>
      <c r="F78">
        <f t="shared" ca="1" si="2"/>
        <v>53</v>
      </c>
      <c r="G78">
        <f ca="1">VLOOKUP(E78,PurchItem!$A$2:$H$508,8,0)</f>
        <v>7764.6378819601523</v>
      </c>
      <c r="H78">
        <v>0.06</v>
      </c>
      <c r="I78" t="s">
        <v>244</v>
      </c>
      <c r="J78" s="5">
        <v>44575.594524409724</v>
      </c>
      <c r="K78" s="5">
        <v>44576.189048819448</v>
      </c>
      <c r="L78" s="5">
        <v>44579.783573229171</v>
      </c>
      <c r="M78">
        <f t="shared" si="3"/>
        <v>10029727241</v>
      </c>
      <c r="N78">
        <f ca="1">IF(M78&lt;&gt;M77,INDEX(CustInfo!$A$2:$A$1001,RANDBETWEEN(1,1000)),N77)</f>
        <v>11993</v>
      </c>
      <c r="O78" t="s">
        <v>1003</v>
      </c>
      <c r="P78">
        <v>52936212</v>
      </c>
    </row>
    <row r="79" spans="1:16" x14ac:dyDescent="0.35">
      <c r="A79">
        <v>93827212011</v>
      </c>
      <c r="C79" s="2" t="s">
        <v>883</v>
      </c>
      <c r="D79">
        <v>4</v>
      </c>
      <c r="E79">
        <v>76891213311</v>
      </c>
      <c r="F79">
        <f t="shared" ca="1" si="2"/>
        <v>15</v>
      </c>
      <c r="G79">
        <f ca="1">VLOOKUP(E79,PurchItem!$A$2:$H$508,8,0)</f>
        <v>6621.6992314843292</v>
      </c>
      <c r="H79">
        <v>0.06</v>
      </c>
      <c r="I79" t="s">
        <v>244</v>
      </c>
      <c r="J79" s="5">
        <v>44916.594524409724</v>
      </c>
      <c r="K79" s="5">
        <v>44918.189048819448</v>
      </c>
      <c r="L79" s="5">
        <v>44926.783573229171</v>
      </c>
      <c r="M79">
        <f t="shared" si="3"/>
        <v>10029727241</v>
      </c>
      <c r="N79">
        <f ca="1">IF(M79&lt;&gt;M78,INDEX(CustInfo!$A$2:$A$1001,RANDBETWEEN(1,1000)),N78)</f>
        <v>11993</v>
      </c>
      <c r="O79" t="s">
        <v>1003</v>
      </c>
      <c r="P79">
        <v>52936213</v>
      </c>
    </row>
    <row r="80" spans="1:16" x14ac:dyDescent="0.35">
      <c r="A80">
        <v>93827212012</v>
      </c>
      <c r="C80" s="2" t="s">
        <v>883</v>
      </c>
      <c r="D80">
        <v>1</v>
      </c>
      <c r="E80">
        <v>76891213183</v>
      </c>
      <c r="F80">
        <f t="shared" ca="1" si="2"/>
        <v>93</v>
      </c>
      <c r="G80">
        <f ca="1">VLOOKUP(E80,PurchItem!$A$2:$H$508,8,0)</f>
        <v>4515.1780100847882</v>
      </c>
      <c r="H80">
        <v>0.04</v>
      </c>
      <c r="I80" t="s">
        <v>244</v>
      </c>
      <c r="J80" s="5">
        <v>45182.594524409724</v>
      </c>
      <c r="K80" s="5">
        <v>45184.189048819448</v>
      </c>
      <c r="L80" s="5">
        <v>45191.783573229171</v>
      </c>
      <c r="M80">
        <f t="shared" si="3"/>
        <v>10029727242</v>
      </c>
      <c r="N80">
        <f ca="1">IF(M80&lt;&gt;M79,INDEX(CustInfo!$A$2:$A$1001,RANDBETWEEN(1,1000)),N79)</f>
        <v>11326</v>
      </c>
      <c r="O80" t="s">
        <v>1002</v>
      </c>
      <c r="P80">
        <v>52936214</v>
      </c>
    </row>
    <row r="81" spans="1:16" x14ac:dyDescent="0.35">
      <c r="A81">
        <v>93827212013</v>
      </c>
      <c r="C81" s="2" t="s">
        <v>883</v>
      </c>
      <c r="D81">
        <v>1</v>
      </c>
      <c r="E81">
        <v>76891213153</v>
      </c>
      <c r="F81">
        <f t="shared" ca="1" si="2"/>
        <v>90</v>
      </c>
      <c r="G81">
        <f ca="1">VLOOKUP(E81,PurchItem!$A$2:$H$508,8,0)</f>
        <v>9849.9949858218879</v>
      </c>
      <c r="H81">
        <v>0.04</v>
      </c>
      <c r="I81" t="s">
        <v>244</v>
      </c>
      <c r="J81" s="5">
        <v>44592.594524409724</v>
      </c>
      <c r="K81" s="5">
        <v>44593.189048819448</v>
      </c>
      <c r="L81" s="5">
        <v>44603.783573229171</v>
      </c>
      <c r="M81">
        <f t="shared" si="3"/>
        <v>10029727243</v>
      </c>
      <c r="N81">
        <f ca="1">IF(M81&lt;&gt;M80,INDEX(CustInfo!$A$2:$A$1001,RANDBETWEEN(1,1000)),N80)</f>
        <v>11785</v>
      </c>
      <c r="O81" t="s">
        <v>1002</v>
      </c>
      <c r="P81">
        <v>52936215</v>
      </c>
    </row>
    <row r="82" spans="1:16" x14ac:dyDescent="0.35">
      <c r="A82">
        <v>93827212013</v>
      </c>
      <c r="C82" s="2" t="s">
        <v>883</v>
      </c>
      <c r="D82">
        <v>2</v>
      </c>
      <c r="E82">
        <v>76891213485</v>
      </c>
      <c r="F82">
        <f t="shared" ca="1" si="2"/>
        <v>37</v>
      </c>
      <c r="G82">
        <f ca="1">VLOOKUP(E82,PurchItem!$A$2:$H$508,8,0)</f>
        <v>2807.3759282410369</v>
      </c>
      <c r="H82">
        <v>0.06</v>
      </c>
      <c r="I82" t="s">
        <v>244</v>
      </c>
      <c r="J82" s="5">
        <v>45381.594524409724</v>
      </c>
      <c r="K82" s="5">
        <v>45383.189048819448</v>
      </c>
      <c r="L82" s="5">
        <v>45391.783573229171</v>
      </c>
      <c r="M82">
        <f t="shared" si="3"/>
        <v>10029727243</v>
      </c>
      <c r="N82">
        <f ca="1">IF(M82&lt;&gt;M81,INDEX(CustInfo!$A$2:$A$1001,RANDBETWEEN(1,1000)),N81)</f>
        <v>11785</v>
      </c>
      <c r="O82" t="s">
        <v>1002</v>
      </c>
      <c r="P82">
        <v>52936216</v>
      </c>
    </row>
    <row r="83" spans="1:16" x14ac:dyDescent="0.35">
      <c r="A83">
        <v>93827212013</v>
      </c>
      <c r="C83" s="2" t="s">
        <v>883</v>
      </c>
      <c r="D83">
        <v>3</v>
      </c>
      <c r="E83">
        <v>76891213211</v>
      </c>
      <c r="F83">
        <f t="shared" ca="1" si="2"/>
        <v>22</v>
      </c>
      <c r="G83">
        <f ca="1">VLOOKUP(E83,PurchItem!$A$2:$H$508,8,0)</f>
        <v>3046.1627384518633</v>
      </c>
      <c r="H83">
        <v>0.05</v>
      </c>
      <c r="I83" t="s">
        <v>244</v>
      </c>
      <c r="J83" s="5">
        <v>45399.594524409724</v>
      </c>
      <c r="K83" s="5">
        <v>45400.189048819448</v>
      </c>
      <c r="L83" s="5">
        <v>45403.783573229171</v>
      </c>
      <c r="M83">
        <f t="shared" si="3"/>
        <v>10029727243</v>
      </c>
      <c r="N83">
        <f ca="1">IF(M83&lt;&gt;M82,INDEX(CustInfo!$A$2:$A$1001,RANDBETWEEN(1,1000)),N82)</f>
        <v>11785</v>
      </c>
      <c r="O83" t="s">
        <v>1002</v>
      </c>
      <c r="P83">
        <v>52936217</v>
      </c>
    </row>
    <row r="84" spans="1:16" x14ac:dyDescent="0.35">
      <c r="A84">
        <v>93827212013</v>
      </c>
      <c r="C84" s="2" t="s">
        <v>883</v>
      </c>
      <c r="D84">
        <v>4</v>
      </c>
      <c r="E84">
        <v>76891213557</v>
      </c>
      <c r="F84">
        <f t="shared" ca="1" si="2"/>
        <v>24</v>
      </c>
      <c r="G84">
        <f ca="1">VLOOKUP(E84,PurchItem!$A$2:$H$508,8,0)</f>
        <v>942.60995441491764</v>
      </c>
      <c r="H84">
        <v>0.04</v>
      </c>
      <c r="I84" t="s">
        <v>244</v>
      </c>
      <c r="J84" s="5">
        <v>44831.594524409724</v>
      </c>
      <c r="K84" s="5">
        <v>44832.189048819448</v>
      </c>
      <c r="L84" s="5">
        <v>44832.783573229171</v>
      </c>
      <c r="M84">
        <f t="shared" si="3"/>
        <v>10029727243</v>
      </c>
      <c r="N84">
        <f ca="1">IF(M84&lt;&gt;M83,INDEX(CustInfo!$A$2:$A$1001,RANDBETWEEN(1,1000)),N83)</f>
        <v>11785</v>
      </c>
      <c r="O84" t="s">
        <v>1002</v>
      </c>
      <c r="P84">
        <v>52936218</v>
      </c>
    </row>
    <row r="85" spans="1:16" x14ac:dyDescent="0.35">
      <c r="A85">
        <v>93827212014</v>
      </c>
      <c r="C85" s="2" t="s">
        <v>883</v>
      </c>
      <c r="D85">
        <v>1</v>
      </c>
      <c r="E85">
        <v>76891213505</v>
      </c>
      <c r="F85">
        <f t="shared" ca="1" si="2"/>
        <v>76</v>
      </c>
      <c r="G85">
        <f ca="1">VLOOKUP(E85,PurchItem!$A$2:$H$508,8,0)</f>
        <v>6494.2629478443014</v>
      </c>
      <c r="H85">
        <v>0.05</v>
      </c>
      <c r="I85" t="s">
        <v>244</v>
      </c>
      <c r="J85" s="5">
        <v>44896.594524409724</v>
      </c>
      <c r="K85" s="5">
        <v>44899.189048819448</v>
      </c>
      <c r="L85" s="5">
        <v>44901.783573229171</v>
      </c>
      <c r="M85">
        <f t="shared" si="3"/>
        <v>10029727244</v>
      </c>
      <c r="N85">
        <f ca="1">IF(M85&lt;&gt;M84,INDEX(CustInfo!$A$2:$A$1001,RANDBETWEEN(1,1000)),N84)</f>
        <v>11159</v>
      </c>
      <c r="O85" t="s">
        <v>1002</v>
      </c>
      <c r="P85">
        <v>52936219</v>
      </c>
    </row>
    <row r="86" spans="1:16" x14ac:dyDescent="0.35">
      <c r="A86">
        <v>93827212015</v>
      </c>
      <c r="C86" s="2" t="s">
        <v>883</v>
      </c>
      <c r="D86">
        <v>1</v>
      </c>
      <c r="E86">
        <v>76891213241</v>
      </c>
      <c r="F86">
        <f t="shared" ca="1" si="2"/>
        <v>31</v>
      </c>
      <c r="G86">
        <f ca="1">VLOOKUP(E86,PurchItem!$A$2:$H$508,8,0)</f>
        <v>3049.755941552879</v>
      </c>
      <c r="H86">
        <v>0.05</v>
      </c>
      <c r="I86" t="s">
        <v>244</v>
      </c>
      <c r="J86" s="5">
        <v>44721.594524409724</v>
      </c>
      <c r="K86" s="5">
        <v>44724.189048819448</v>
      </c>
      <c r="L86" s="5">
        <v>44733.783573229171</v>
      </c>
      <c r="M86">
        <f t="shared" si="3"/>
        <v>10029727245</v>
      </c>
      <c r="N86">
        <f ca="1">IF(M86&lt;&gt;M85,INDEX(CustInfo!$A$2:$A$1001,RANDBETWEEN(1,1000)),N85)</f>
        <v>11859</v>
      </c>
      <c r="O86" t="s">
        <v>1003</v>
      </c>
      <c r="P86">
        <v>52936220</v>
      </c>
    </row>
    <row r="87" spans="1:16" x14ac:dyDescent="0.35">
      <c r="A87">
        <v>93827212015</v>
      </c>
      <c r="C87" s="2" t="s">
        <v>883</v>
      </c>
      <c r="D87">
        <v>2</v>
      </c>
      <c r="E87">
        <v>76891213566</v>
      </c>
      <c r="F87">
        <f t="shared" ca="1" si="2"/>
        <v>40</v>
      </c>
      <c r="G87">
        <f ca="1">VLOOKUP(E87,PurchItem!$A$2:$H$508,8,0)</f>
        <v>4496.7840844503189</v>
      </c>
      <c r="H87">
        <v>0.06</v>
      </c>
      <c r="I87" t="s">
        <v>244</v>
      </c>
      <c r="J87" s="5">
        <v>44971.594524409724</v>
      </c>
      <c r="K87" s="5">
        <v>44975.189048819448</v>
      </c>
      <c r="L87" s="5">
        <v>44984.783573229171</v>
      </c>
      <c r="M87">
        <f t="shared" si="3"/>
        <v>10029727245</v>
      </c>
      <c r="N87">
        <f ca="1">IF(M87&lt;&gt;M86,INDEX(CustInfo!$A$2:$A$1001,RANDBETWEEN(1,1000)),N86)</f>
        <v>11859</v>
      </c>
      <c r="O87" t="s">
        <v>1003</v>
      </c>
      <c r="P87">
        <v>52936221</v>
      </c>
    </row>
    <row r="88" spans="1:16" x14ac:dyDescent="0.35">
      <c r="A88">
        <v>93827212016</v>
      </c>
      <c r="C88" s="2" t="s">
        <v>883</v>
      </c>
      <c r="D88">
        <v>1</v>
      </c>
      <c r="E88">
        <v>76891213237</v>
      </c>
      <c r="F88">
        <f t="shared" ca="1" si="2"/>
        <v>66</v>
      </c>
      <c r="G88">
        <f ca="1">VLOOKUP(E88,PurchItem!$A$2:$H$508,8,0)</f>
        <v>1912.5089900234684</v>
      </c>
      <c r="H88">
        <v>0.06</v>
      </c>
      <c r="I88" t="s">
        <v>244</v>
      </c>
      <c r="J88" s="5">
        <v>45236.594524409724</v>
      </c>
      <c r="K88" s="5">
        <v>45238.189048819448</v>
      </c>
      <c r="L88" s="5">
        <v>45248.783573229171</v>
      </c>
      <c r="M88">
        <f t="shared" si="3"/>
        <v>10029727246</v>
      </c>
      <c r="N88">
        <f ca="1">IF(M88&lt;&gt;M87,INDEX(CustInfo!$A$2:$A$1001,RANDBETWEEN(1,1000)),N87)</f>
        <v>11866</v>
      </c>
      <c r="O88" t="s">
        <v>1003</v>
      </c>
      <c r="P88">
        <v>52936222</v>
      </c>
    </row>
    <row r="89" spans="1:16" x14ac:dyDescent="0.35">
      <c r="A89">
        <v>93827212016</v>
      </c>
      <c r="C89" s="2" t="s">
        <v>883</v>
      </c>
      <c r="D89">
        <v>2</v>
      </c>
      <c r="E89">
        <v>76891213190</v>
      </c>
      <c r="F89">
        <f t="shared" ca="1" si="2"/>
        <v>67</v>
      </c>
      <c r="G89">
        <f ca="1">VLOOKUP(E89,PurchItem!$A$2:$H$508,8,0)</f>
        <v>2487.2197753691553</v>
      </c>
      <c r="H89">
        <v>0.06</v>
      </c>
      <c r="I89" t="s">
        <v>244</v>
      </c>
      <c r="J89" s="5">
        <v>44867.594524409724</v>
      </c>
      <c r="K89" s="5">
        <v>44870.189048819448</v>
      </c>
      <c r="L89" s="5">
        <v>44875.783573229171</v>
      </c>
      <c r="M89">
        <f t="shared" si="3"/>
        <v>10029727246</v>
      </c>
      <c r="N89">
        <f ca="1">IF(M89&lt;&gt;M88,INDEX(CustInfo!$A$2:$A$1001,RANDBETWEEN(1,1000)),N88)</f>
        <v>11866</v>
      </c>
      <c r="O89" t="s">
        <v>1003</v>
      </c>
      <c r="P89">
        <v>52936223</v>
      </c>
    </row>
    <row r="90" spans="1:16" x14ac:dyDescent="0.35">
      <c r="A90">
        <v>93827212016</v>
      </c>
      <c r="C90" s="2" t="s">
        <v>883</v>
      </c>
      <c r="D90">
        <v>3</v>
      </c>
      <c r="E90">
        <v>76891213503</v>
      </c>
      <c r="F90">
        <f t="shared" ca="1" si="2"/>
        <v>54</v>
      </c>
      <c r="G90">
        <f ca="1">VLOOKUP(E90,PurchItem!$A$2:$H$508,8,0)</f>
        <v>9117.4983275195518</v>
      </c>
      <c r="H90">
        <v>0.06</v>
      </c>
      <c r="I90" t="s">
        <v>244</v>
      </c>
      <c r="J90" s="5">
        <v>44831.594524409724</v>
      </c>
      <c r="K90" s="5">
        <v>44833.189048819448</v>
      </c>
      <c r="L90" s="5">
        <v>44842.783573229171</v>
      </c>
      <c r="M90">
        <f t="shared" si="3"/>
        <v>10029727246</v>
      </c>
      <c r="N90">
        <f ca="1">IF(M90&lt;&gt;M89,INDEX(CustInfo!$A$2:$A$1001,RANDBETWEEN(1,1000)),N89)</f>
        <v>11866</v>
      </c>
      <c r="O90" t="s">
        <v>1003</v>
      </c>
      <c r="P90">
        <v>52936224</v>
      </c>
    </row>
    <row r="91" spans="1:16" x14ac:dyDescent="0.35">
      <c r="A91">
        <v>93827212017</v>
      </c>
      <c r="C91" s="2" t="s">
        <v>883</v>
      </c>
      <c r="D91">
        <v>1</v>
      </c>
      <c r="E91">
        <v>76891213175</v>
      </c>
      <c r="F91">
        <f t="shared" ca="1" si="2"/>
        <v>9</v>
      </c>
      <c r="G91">
        <f ca="1">VLOOKUP(E91,PurchItem!$A$2:$H$508,8,0)</f>
        <v>8239.6279667406998</v>
      </c>
      <c r="H91">
        <v>0.04</v>
      </c>
      <c r="I91" t="s">
        <v>244</v>
      </c>
      <c r="J91" s="5">
        <v>44871.594524409724</v>
      </c>
      <c r="K91" s="5">
        <v>44875.189048819448</v>
      </c>
      <c r="L91" s="5">
        <v>44883.783573229171</v>
      </c>
      <c r="M91">
        <f t="shared" si="3"/>
        <v>10029727247</v>
      </c>
      <c r="N91">
        <f ca="1">IF(M91&lt;&gt;M90,INDEX(CustInfo!$A$2:$A$1001,RANDBETWEEN(1,1000)),N90)</f>
        <v>11923</v>
      </c>
      <c r="O91" t="s">
        <v>1002</v>
      </c>
      <c r="P91">
        <v>52936225</v>
      </c>
    </row>
    <row r="92" spans="1:16" x14ac:dyDescent="0.35">
      <c r="A92">
        <v>93827212017</v>
      </c>
      <c r="C92" s="2" t="s">
        <v>883</v>
      </c>
      <c r="D92">
        <v>2</v>
      </c>
      <c r="E92">
        <v>76891213493</v>
      </c>
      <c r="F92">
        <f t="shared" ca="1" si="2"/>
        <v>47</v>
      </c>
      <c r="G92">
        <f ca="1">VLOOKUP(E92,PurchItem!$A$2:$H$508,8,0)</f>
        <v>1962.5465648313532</v>
      </c>
      <c r="H92">
        <v>0.05</v>
      </c>
      <c r="I92" t="s">
        <v>244</v>
      </c>
      <c r="J92" s="5">
        <v>45318.594524409724</v>
      </c>
      <c r="K92" s="5">
        <v>45321.189048819448</v>
      </c>
      <c r="L92" s="5">
        <v>45330.783573229171</v>
      </c>
      <c r="M92">
        <f t="shared" si="3"/>
        <v>10029727247</v>
      </c>
      <c r="N92">
        <f ca="1">IF(M92&lt;&gt;M91,INDEX(CustInfo!$A$2:$A$1001,RANDBETWEEN(1,1000)),N91)</f>
        <v>11923</v>
      </c>
      <c r="O92" t="s">
        <v>1002</v>
      </c>
      <c r="P92">
        <v>52936226</v>
      </c>
    </row>
    <row r="93" spans="1:16" x14ac:dyDescent="0.35">
      <c r="A93">
        <v>93827212017</v>
      </c>
      <c r="C93" s="2" t="s">
        <v>883</v>
      </c>
      <c r="D93">
        <v>3</v>
      </c>
      <c r="E93">
        <v>76891213227</v>
      </c>
      <c r="F93">
        <f t="shared" ca="1" si="2"/>
        <v>32</v>
      </c>
      <c r="G93">
        <f ca="1">VLOOKUP(E93,PurchItem!$A$2:$H$508,8,0)</f>
        <v>2491.1474363656821</v>
      </c>
      <c r="H93">
        <v>0.06</v>
      </c>
      <c r="I93" t="s">
        <v>244</v>
      </c>
      <c r="J93" s="5">
        <v>45061.594524409724</v>
      </c>
      <c r="K93" s="5">
        <v>45065.189048819448</v>
      </c>
      <c r="L93" s="5">
        <v>45073.783573229171</v>
      </c>
      <c r="M93">
        <f t="shared" si="3"/>
        <v>10029727247</v>
      </c>
      <c r="N93">
        <f ca="1">IF(M93&lt;&gt;M92,INDEX(CustInfo!$A$2:$A$1001,RANDBETWEEN(1,1000)),N92)</f>
        <v>11923</v>
      </c>
      <c r="O93" t="s">
        <v>1002</v>
      </c>
      <c r="P93">
        <v>52936227</v>
      </c>
    </row>
    <row r="94" spans="1:16" x14ac:dyDescent="0.35">
      <c r="A94">
        <v>93827212018</v>
      </c>
      <c r="C94" s="2" t="s">
        <v>883</v>
      </c>
      <c r="D94">
        <v>1</v>
      </c>
      <c r="E94">
        <v>76891213624</v>
      </c>
      <c r="F94">
        <f t="shared" ca="1" si="2"/>
        <v>23</v>
      </c>
      <c r="G94">
        <f ca="1">VLOOKUP(E94,PurchItem!$A$2:$H$508,8,0)</f>
        <v>4975.1506502302827</v>
      </c>
      <c r="H94">
        <v>0.05</v>
      </c>
      <c r="I94" t="s">
        <v>244</v>
      </c>
      <c r="J94" s="5">
        <v>45298.594524409724</v>
      </c>
      <c r="K94" s="5">
        <v>45302.189048819448</v>
      </c>
      <c r="L94" s="5">
        <v>45302.783573229171</v>
      </c>
      <c r="M94">
        <f t="shared" si="3"/>
        <v>10029727248</v>
      </c>
      <c r="N94">
        <f ca="1">IF(M94&lt;&gt;M93,INDEX(CustInfo!$A$2:$A$1001,RANDBETWEEN(1,1000)),N93)</f>
        <v>11846</v>
      </c>
      <c r="O94" t="s">
        <v>1001</v>
      </c>
      <c r="P94">
        <v>52936228</v>
      </c>
    </row>
    <row r="95" spans="1:16" x14ac:dyDescent="0.35">
      <c r="A95">
        <v>93827212018</v>
      </c>
      <c r="C95" s="2" t="s">
        <v>883</v>
      </c>
      <c r="D95">
        <v>2</v>
      </c>
      <c r="E95">
        <v>76891213219</v>
      </c>
      <c r="F95">
        <f t="shared" ca="1" si="2"/>
        <v>54</v>
      </c>
      <c r="G95">
        <f ca="1">VLOOKUP(E95,PurchItem!$A$2:$H$508,8,0)</f>
        <v>660.79398870229625</v>
      </c>
      <c r="H95">
        <v>0.05</v>
      </c>
      <c r="I95" t="s">
        <v>244</v>
      </c>
      <c r="J95" s="5">
        <v>44647.594524409724</v>
      </c>
      <c r="K95" s="5">
        <v>44651.189048819448</v>
      </c>
      <c r="L95" s="5">
        <v>44661.783573229171</v>
      </c>
      <c r="M95">
        <f t="shared" si="3"/>
        <v>10029727248</v>
      </c>
      <c r="N95">
        <f ca="1">IF(M95&lt;&gt;M94,INDEX(CustInfo!$A$2:$A$1001,RANDBETWEEN(1,1000)),N94)</f>
        <v>11846</v>
      </c>
      <c r="O95" t="s">
        <v>1001</v>
      </c>
      <c r="P95">
        <v>52936229</v>
      </c>
    </row>
    <row r="96" spans="1:16" x14ac:dyDescent="0.35">
      <c r="A96">
        <v>93827212019</v>
      </c>
      <c r="C96" s="2" t="s">
        <v>883</v>
      </c>
      <c r="D96">
        <v>1</v>
      </c>
      <c r="E96">
        <v>76891213224</v>
      </c>
      <c r="F96">
        <f t="shared" ca="1" si="2"/>
        <v>44</v>
      </c>
      <c r="G96">
        <f ca="1">VLOOKUP(E96,PurchItem!$A$2:$H$508,8,0)</f>
        <v>8420.1187959003801</v>
      </c>
      <c r="H96">
        <v>0.05</v>
      </c>
      <c r="I96" t="s">
        <v>244</v>
      </c>
      <c r="J96" s="5">
        <v>44618.594524409724</v>
      </c>
      <c r="K96" s="5">
        <v>44622.189048819448</v>
      </c>
      <c r="L96" s="5">
        <v>44629.783573229171</v>
      </c>
      <c r="M96">
        <f t="shared" si="3"/>
        <v>10029727249</v>
      </c>
      <c r="N96">
        <f ca="1">IF(M96&lt;&gt;M95,INDEX(CustInfo!$A$2:$A$1001,RANDBETWEEN(1,1000)),N95)</f>
        <v>11374</v>
      </c>
      <c r="O96" t="s">
        <v>1003</v>
      </c>
      <c r="P96">
        <v>52936230</v>
      </c>
    </row>
    <row r="97" spans="1:16" x14ac:dyDescent="0.35">
      <c r="A97">
        <v>93827212019</v>
      </c>
      <c r="C97" s="2" t="s">
        <v>883</v>
      </c>
      <c r="D97">
        <v>2</v>
      </c>
      <c r="E97">
        <v>76891213207</v>
      </c>
      <c r="F97">
        <f t="shared" ca="1" si="2"/>
        <v>43</v>
      </c>
      <c r="G97">
        <f ca="1">VLOOKUP(E97,PurchItem!$A$2:$H$508,8,0)</f>
        <v>7360.5773727524474</v>
      </c>
      <c r="H97">
        <v>0.06</v>
      </c>
      <c r="I97" t="s">
        <v>244</v>
      </c>
      <c r="J97" s="5">
        <v>45492.594524409724</v>
      </c>
      <c r="K97" s="5">
        <v>45495.189048819448</v>
      </c>
      <c r="L97" s="5">
        <v>45504.783573229171</v>
      </c>
      <c r="M97">
        <f t="shared" si="3"/>
        <v>10029727249</v>
      </c>
      <c r="N97">
        <f ca="1">IF(M97&lt;&gt;M96,INDEX(CustInfo!$A$2:$A$1001,RANDBETWEEN(1,1000)),N96)</f>
        <v>11374</v>
      </c>
      <c r="O97" t="s">
        <v>1003</v>
      </c>
      <c r="P97">
        <v>52936231</v>
      </c>
    </row>
    <row r="98" spans="1:16" x14ac:dyDescent="0.35">
      <c r="A98">
        <v>93827212019</v>
      </c>
      <c r="C98" s="2" t="s">
        <v>883</v>
      </c>
      <c r="D98">
        <v>3</v>
      </c>
      <c r="E98">
        <v>76891213183</v>
      </c>
      <c r="F98">
        <f t="shared" ca="1" si="2"/>
        <v>54</v>
      </c>
      <c r="G98">
        <f ca="1">VLOOKUP(E98,PurchItem!$A$2:$H$508,8,0)</f>
        <v>4515.1780100847882</v>
      </c>
      <c r="H98">
        <v>0.06</v>
      </c>
      <c r="I98" t="s">
        <v>244</v>
      </c>
      <c r="J98" s="5">
        <v>45345.594524409724</v>
      </c>
      <c r="K98" s="5">
        <v>45347.189048819448</v>
      </c>
      <c r="L98" s="5">
        <v>45354.783573229171</v>
      </c>
      <c r="M98">
        <f t="shared" si="3"/>
        <v>10029727249</v>
      </c>
      <c r="N98">
        <f ca="1">IF(M98&lt;&gt;M97,INDEX(CustInfo!$A$2:$A$1001,RANDBETWEEN(1,1000)),N97)</f>
        <v>11374</v>
      </c>
      <c r="O98" t="s">
        <v>1003</v>
      </c>
      <c r="P98">
        <v>52936232</v>
      </c>
    </row>
    <row r="99" spans="1:16" x14ac:dyDescent="0.35">
      <c r="A99">
        <v>93827212019</v>
      </c>
      <c r="C99" s="2" t="s">
        <v>883</v>
      </c>
      <c r="D99">
        <v>4</v>
      </c>
      <c r="E99">
        <v>76891213342</v>
      </c>
      <c r="F99">
        <f t="shared" ca="1" si="2"/>
        <v>83</v>
      </c>
      <c r="G99">
        <f ca="1">VLOOKUP(E99,PurchItem!$A$2:$H$508,8,0)</f>
        <v>2652.6752980988185</v>
      </c>
      <c r="H99">
        <v>0.05</v>
      </c>
      <c r="I99" t="s">
        <v>244</v>
      </c>
      <c r="J99" s="5">
        <v>45276.594524409724</v>
      </c>
      <c r="K99" s="5">
        <v>45280.189048819448</v>
      </c>
      <c r="L99" s="5">
        <v>45280.783573229171</v>
      </c>
      <c r="M99">
        <f t="shared" si="3"/>
        <v>10029727249</v>
      </c>
      <c r="N99">
        <f ca="1">IF(M99&lt;&gt;M98,INDEX(CustInfo!$A$2:$A$1001,RANDBETWEEN(1,1000)),N98)</f>
        <v>11374</v>
      </c>
      <c r="O99" t="s">
        <v>1003</v>
      </c>
      <c r="P99">
        <v>52936233</v>
      </c>
    </row>
    <row r="100" spans="1:16" x14ac:dyDescent="0.35">
      <c r="A100">
        <v>93827212020</v>
      </c>
      <c r="C100" s="2" t="s">
        <v>883</v>
      </c>
      <c r="D100">
        <v>1</v>
      </c>
      <c r="E100">
        <v>76891213433</v>
      </c>
      <c r="F100">
        <f t="shared" ca="1" si="2"/>
        <v>30</v>
      </c>
      <c r="G100">
        <f ca="1">VLOOKUP(E100,PurchItem!$A$2:$H$508,8,0)</f>
        <v>8137.8051344838841</v>
      </c>
      <c r="H100">
        <v>0.04</v>
      </c>
      <c r="I100" t="s">
        <v>244</v>
      </c>
      <c r="J100" s="5">
        <v>45482.594524409724</v>
      </c>
      <c r="K100" s="5">
        <v>45485.189048819448</v>
      </c>
      <c r="L100" s="5">
        <v>45492.783573229171</v>
      </c>
      <c r="M100">
        <f t="shared" si="3"/>
        <v>10029727250</v>
      </c>
      <c r="N100">
        <f ca="1">IF(M100&lt;&gt;M99,INDEX(CustInfo!$A$2:$A$1001,RANDBETWEEN(1,1000)),N99)</f>
        <v>11617</v>
      </c>
      <c r="O100" t="s">
        <v>1002</v>
      </c>
      <c r="P100">
        <v>52936234</v>
      </c>
    </row>
    <row r="101" spans="1:16" x14ac:dyDescent="0.35">
      <c r="A101">
        <v>93827212020</v>
      </c>
      <c r="C101" s="2" t="s">
        <v>883</v>
      </c>
      <c r="D101">
        <v>2</v>
      </c>
      <c r="E101">
        <v>76891213547</v>
      </c>
      <c r="F101">
        <f t="shared" ca="1" si="2"/>
        <v>37</v>
      </c>
      <c r="G101">
        <f ca="1">VLOOKUP(E101,PurchItem!$A$2:$H$508,8,0)</f>
        <v>4233.6833271008645</v>
      </c>
      <c r="H101">
        <v>0.05</v>
      </c>
      <c r="I101" t="s">
        <v>244</v>
      </c>
      <c r="J101" s="5">
        <v>45157.594524409724</v>
      </c>
      <c r="K101" s="5">
        <v>45160.189048819448</v>
      </c>
      <c r="L101" s="5">
        <v>45161.783573229171</v>
      </c>
      <c r="M101">
        <f t="shared" si="3"/>
        <v>10029727250</v>
      </c>
      <c r="N101">
        <f ca="1">IF(M101&lt;&gt;M100,INDEX(CustInfo!$A$2:$A$1001,RANDBETWEEN(1,1000)),N100)</f>
        <v>11617</v>
      </c>
      <c r="O101" t="s">
        <v>1002</v>
      </c>
      <c r="P101">
        <v>52936235</v>
      </c>
    </row>
    <row r="102" spans="1:16" x14ac:dyDescent="0.35">
      <c r="A102">
        <v>93827212020</v>
      </c>
      <c r="C102" s="2" t="s">
        <v>883</v>
      </c>
      <c r="D102">
        <v>3</v>
      </c>
      <c r="E102">
        <v>76891213597</v>
      </c>
      <c r="F102">
        <f t="shared" ca="1" si="2"/>
        <v>37</v>
      </c>
      <c r="G102">
        <f ca="1">VLOOKUP(E102,PurchItem!$A$2:$H$508,8,0)</f>
        <v>6407.6591066993278</v>
      </c>
      <c r="H102">
        <v>0.05</v>
      </c>
      <c r="I102" t="s">
        <v>244</v>
      </c>
      <c r="J102" s="5">
        <v>45272.594524409724</v>
      </c>
      <c r="K102" s="5">
        <v>45274.189048819448</v>
      </c>
      <c r="L102" s="5">
        <v>45284.783573229171</v>
      </c>
      <c r="M102">
        <f t="shared" si="3"/>
        <v>10029727250</v>
      </c>
      <c r="N102">
        <f ca="1">IF(M102&lt;&gt;M101,INDEX(CustInfo!$A$2:$A$1001,RANDBETWEEN(1,1000)),N101)</f>
        <v>11617</v>
      </c>
      <c r="O102" t="s">
        <v>1002</v>
      </c>
      <c r="P102">
        <v>52936236</v>
      </c>
    </row>
    <row r="103" spans="1:16" x14ac:dyDescent="0.35">
      <c r="A103">
        <v>93827212021</v>
      </c>
      <c r="C103" s="2" t="s">
        <v>883</v>
      </c>
      <c r="D103">
        <v>1</v>
      </c>
      <c r="E103">
        <v>76891213608</v>
      </c>
      <c r="F103">
        <f t="shared" ca="1" si="2"/>
        <v>94</v>
      </c>
      <c r="G103">
        <f ca="1">VLOOKUP(E103,PurchItem!$A$2:$H$508,8,0)</f>
        <v>6891.3132509062052</v>
      </c>
      <c r="H103">
        <v>0.05</v>
      </c>
      <c r="I103" t="s">
        <v>244</v>
      </c>
      <c r="J103" s="5">
        <v>44826.594524409724</v>
      </c>
      <c r="K103" s="5">
        <v>44828.189048819448</v>
      </c>
      <c r="L103" s="5">
        <v>44831.783573229171</v>
      </c>
      <c r="M103">
        <f t="shared" si="3"/>
        <v>10029727251</v>
      </c>
      <c r="N103">
        <f ca="1">IF(M103&lt;&gt;M102,INDEX(CustInfo!$A$2:$A$1001,RANDBETWEEN(1,1000)),N102)</f>
        <v>11734</v>
      </c>
      <c r="O103" t="s">
        <v>1002</v>
      </c>
      <c r="P103">
        <v>52936237</v>
      </c>
    </row>
    <row r="104" spans="1:16" x14ac:dyDescent="0.35">
      <c r="A104">
        <v>93827212021</v>
      </c>
      <c r="C104" s="2" t="s">
        <v>883</v>
      </c>
      <c r="D104">
        <v>2</v>
      </c>
      <c r="E104">
        <v>76891213533</v>
      </c>
      <c r="F104">
        <f t="shared" ca="1" si="2"/>
        <v>10</v>
      </c>
      <c r="G104">
        <f ca="1">VLOOKUP(E104,PurchItem!$A$2:$H$508,8,0)</f>
        <v>1954.5826259867015</v>
      </c>
      <c r="H104">
        <v>0.04</v>
      </c>
      <c r="I104" t="s">
        <v>244</v>
      </c>
      <c r="J104" s="5">
        <v>45469.594524409724</v>
      </c>
      <c r="K104" s="5">
        <v>45470.189048819448</v>
      </c>
      <c r="L104" s="5">
        <v>45478.783573229171</v>
      </c>
      <c r="M104">
        <f t="shared" si="3"/>
        <v>10029727251</v>
      </c>
      <c r="N104">
        <f ca="1">IF(M104&lt;&gt;M103,INDEX(CustInfo!$A$2:$A$1001,RANDBETWEEN(1,1000)),N103)</f>
        <v>11734</v>
      </c>
      <c r="O104" t="s">
        <v>1002</v>
      </c>
      <c r="P104">
        <v>52936238</v>
      </c>
    </row>
    <row r="105" spans="1:16" x14ac:dyDescent="0.35">
      <c r="A105">
        <v>93827212021</v>
      </c>
      <c r="C105" s="2" t="s">
        <v>883</v>
      </c>
      <c r="D105">
        <v>3</v>
      </c>
      <c r="E105">
        <v>76891213413</v>
      </c>
      <c r="F105">
        <f t="shared" ca="1" si="2"/>
        <v>44</v>
      </c>
      <c r="G105">
        <f ca="1">VLOOKUP(E105,PurchItem!$A$2:$H$508,8,0)</f>
        <v>5860.803601844581</v>
      </c>
      <c r="H105">
        <v>0.06</v>
      </c>
      <c r="I105" t="s">
        <v>244</v>
      </c>
      <c r="J105" s="5">
        <v>45028.594524409724</v>
      </c>
      <c r="K105" s="5">
        <v>45030.189048819448</v>
      </c>
      <c r="L105" s="5">
        <v>45039.783573229171</v>
      </c>
      <c r="M105">
        <f t="shared" si="3"/>
        <v>10029727251</v>
      </c>
      <c r="N105">
        <f ca="1">IF(M105&lt;&gt;M104,INDEX(CustInfo!$A$2:$A$1001,RANDBETWEEN(1,1000)),N104)</f>
        <v>11734</v>
      </c>
      <c r="O105" t="s">
        <v>1002</v>
      </c>
      <c r="P105">
        <v>52936239</v>
      </c>
    </row>
    <row r="106" spans="1:16" x14ac:dyDescent="0.35">
      <c r="A106">
        <v>93827212021</v>
      </c>
      <c r="C106" s="2" t="s">
        <v>883</v>
      </c>
      <c r="D106">
        <v>4</v>
      </c>
      <c r="E106">
        <v>76891213495</v>
      </c>
      <c r="F106">
        <f t="shared" ca="1" si="2"/>
        <v>71</v>
      </c>
      <c r="G106">
        <f ca="1">VLOOKUP(E106,PurchItem!$A$2:$H$508,8,0)</f>
        <v>585.8593523174676</v>
      </c>
      <c r="H106">
        <v>0.04</v>
      </c>
      <c r="I106" t="s">
        <v>244</v>
      </c>
      <c r="J106" s="5">
        <v>44576.594524409724</v>
      </c>
      <c r="K106" s="5">
        <v>44579.189048819448</v>
      </c>
      <c r="L106" s="5">
        <v>44587.783573229171</v>
      </c>
      <c r="M106">
        <f t="shared" si="3"/>
        <v>10029727251</v>
      </c>
      <c r="N106">
        <f ca="1">IF(M106&lt;&gt;M105,INDEX(CustInfo!$A$2:$A$1001,RANDBETWEEN(1,1000)),N105)</f>
        <v>11734</v>
      </c>
      <c r="O106" t="s">
        <v>1002</v>
      </c>
      <c r="P106">
        <v>52936240</v>
      </c>
    </row>
    <row r="107" spans="1:16" x14ac:dyDescent="0.35">
      <c r="A107">
        <v>93827212022</v>
      </c>
      <c r="C107" s="2" t="s">
        <v>883</v>
      </c>
      <c r="D107">
        <v>1</v>
      </c>
      <c r="E107">
        <v>76891213266</v>
      </c>
      <c r="F107">
        <f t="shared" ca="1" si="2"/>
        <v>61</v>
      </c>
      <c r="G107">
        <f ca="1">VLOOKUP(E107,PurchItem!$A$2:$H$508,8,0)</f>
        <v>1275.2501267518942</v>
      </c>
      <c r="H107">
        <v>0.06</v>
      </c>
      <c r="I107" t="s">
        <v>244</v>
      </c>
      <c r="J107" s="5">
        <v>44745.594524409724</v>
      </c>
      <c r="K107" s="5">
        <v>44749.189048819448</v>
      </c>
      <c r="L107" s="5">
        <v>44759.783573229171</v>
      </c>
      <c r="M107">
        <f t="shared" si="3"/>
        <v>10029727252</v>
      </c>
      <c r="N107">
        <f ca="1">IF(M107&lt;&gt;M106,INDEX(CustInfo!$A$2:$A$1001,RANDBETWEEN(1,1000)),N106)</f>
        <v>11499</v>
      </c>
      <c r="O107" t="s">
        <v>1002</v>
      </c>
      <c r="P107">
        <v>52936241</v>
      </c>
    </row>
    <row r="108" spans="1:16" x14ac:dyDescent="0.35">
      <c r="A108">
        <v>93827212022</v>
      </c>
      <c r="C108" s="2" t="s">
        <v>883</v>
      </c>
      <c r="D108">
        <v>2</v>
      </c>
      <c r="E108">
        <v>76891213173</v>
      </c>
      <c r="F108">
        <f t="shared" ca="1" si="2"/>
        <v>49</v>
      </c>
      <c r="G108">
        <f ca="1">VLOOKUP(E108,PurchItem!$A$2:$H$508,8,0)</f>
        <v>5579.6735499506967</v>
      </c>
      <c r="H108">
        <v>0.05</v>
      </c>
      <c r="I108" t="s">
        <v>244</v>
      </c>
      <c r="J108" s="5">
        <v>44902.594524409724</v>
      </c>
      <c r="K108" s="5">
        <v>44903.189048819448</v>
      </c>
      <c r="L108" s="5">
        <v>44905.783573229171</v>
      </c>
      <c r="M108">
        <f t="shared" si="3"/>
        <v>10029727252</v>
      </c>
      <c r="N108">
        <f ca="1">IF(M108&lt;&gt;M107,INDEX(CustInfo!$A$2:$A$1001,RANDBETWEEN(1,1000)),N107)</f>
        <v>11499</v>
      </c>
      <c r="O108" t="s">
        <v>1002</v>
      </c>
      <c r="P108">
        <v>52936242</v>
      </c>
    </row>
    <row r="109" spans="1:16" x14ac:dyDescent="0.35">
      <c r="A109">
        <v>93827212022</v>
      </c>
      <c r="C109" s="2" t="s">
        <v>883</v>
      </c>
      <c r="D109">
        <v>3</v>
      </c>
      <c r="E109">
        <v>76891213390</v>
      </c>
      <c r="F109">
        <f t="shared" ca="1" si="2"/>
        <v>38</v>
      </c>
      <c r="G109">
        <f ca="1">VLOOKUP(E109,PurchItem!$A$2:$H$508,8,0)</f>
        <v>6600.0958652442405</v>
      </c>
      <c r="H109">
        <v>0.05</v>
      </c>
      <c r="I109" t="s">
        <v>244</v>
      </c>
      <c r="J109" s="5">
        <v>45140.594524409724</v>
      </c>
      <c r="K109" s="5">
        <v>45141.189048819448</v>
      </c>
      <c r="L109" s="5">
        <v>45143.783573229171</v>
      </c>
      <c r="M109">
        <f t="shared" si="3"/>
        <v>10029727252</v>
      </c>
      <c r="N109">
        <f ca="1">IF(M109&lt;&gt;M108,INDEX(CustInfo!$A$2:$A$1001,RANDBETWEEN(1,1000)),N108)</f>
        <v>11499</v>
      </c>
      <c r="O109" t="s">
        <v>1002</v>
      </c>
      <c r="P109">
        <v>52936243</v>
      </c>
    </row>
    <row r="110" spans="1:16" x14ac:dyDescent="0.35">
      <c r="A110">
        <v>93827212022</v>
      </c>
      <c r="C110" s="2" t="s">
        <v>883</v>
      </c>
      <c r="D110">
        <v>4</v>
      </c>
      <c r="E110">
        <v>76891213521</v>
      </c>
      <c r="F110">
        <f t="shared" ca="1" si="2"/>
        <v>84</v>
      </c>
      <c r="G110">
        <f ca="1">VLOOKUP(E110,PurchItem!$A$2:$H$508,8,0)</f>
        <v>8650.5364272388215</v>
      </c>
      <c r="H110">
        <v>0.05</v>
      </c>
      <c r="I110" t="s">
        <v>244</v>
      </c>
      <c r="J110" s="5">
        <v>44567.594524409724</v>
      </c>
      <c r="K110" s="5">
        <v>44571.189048819448</v>
      </c>
      <c r="L110" s="5">
        <v>44580.783573229171</v>
      </c>
      <c r="M110">
        <f t="shared" si="3"/>
        <v>10029727252</v>
      </c>
      <c r="N110">
        <f ca="1">IF(M110&lt;&gt;M109,INDEX(CustInfo!$A$2:$A$1001,RANDBETWEEN(1,1000)),N109)</f>
        <v>11499</v>
      </c>
      <c r="O110" t="s">
        <v>1002</v>
      </c>
      <c r="P110">
        <v>52936244</v>
      </c>
    </row>
    <row r="111" spans="1:16" x14ac:dyDescent="0.35">
      <c r="A111">
        <v>93827212023</v>
      </c>
      <c r="C111" s="2" t="s">
        <v>883</v>
      </c>
      <c r="D111">
        <v>1</v>
      </c>
      <c r="E111">
        <v>76891213429</v>
      </c>
      <c r="F111">
        <f t="shared" ca="1" si="2"/>
        <v>83</v>
      </c>
      <c r="G111">
        <f ca="1">VLOOKUP(E111,PurchItem!$A$2:$H$508,8,0)</f>
        <v>8406.1091392579347</v>
      </c>
      <c r="H111">
        <v>0.05</v>
      </c>
      <c r="I111" t="s">
        <v>244</v>
      </c>
      <c r="J111" s="5">
        <v>45321.594524409724</v>
      </c>
      <c r="K111" s="5">
        <v>45325.189048819448</v>
      </c>
      <c r="L111" s="5">
        <v>45332.783573229171</v>
      </c>
      <c r="M111">
        <f t="shared" si="3"/>
        <v>10029727253</v>
      </c>
      <c r="N111">
        <f ca="1">IF(M111&lt;&gt;M110,INDEX(CustInfo!$A$2:$A$1001,RANDBETWEEN(1,1000)),N110)</f>
        <v>11574</v>
      </c>
      <c r="O111" t="s">
        <v>1002</v>
      </c>
      <c r="P111">
        <v>52936245</v>
      </c>
    </row>
    <row r="112" spans="1:16" x14ac:dyDescent="0.35">
      <c r="A112">
        <v>93827212023</v>
      </c>
      <c r="C112" s="2" t="s">
        <v>883</v>
      </c>
      <c r="D112">
        <v>2</v>
      </c>
      <c r="E112">
        <v>76891213526</v>
      </c>
      <c r="F112">
        <f t="shared" ca="1" si="2"/>
        <v>13</v>
      </c>
      <c r="G112">
        <f ca="1">VLOOKUP(E112,PurchItem!$A$2:$H$508,8,0)</f>
        <v>8212.8049543445304</v>
      </c>
      <c r="H112">
        <v>0.06</v>
      </c>
      <c r="I112" t="s">
        <v>244</v>
      </c>
      <c r="J112" s="5">
        <v>45058.594524409724</v>
      </c>
      <c r="K112" s="5">
        <v>45062.189048819448</v>
      </c>
      <c r="L112" s="5">
        <v>45064.783573229171</v>
      </c>
      <c r="M112">
        <f t="shared" si="3"/>
        <v>10029727253</v>
      </c>
      <c r="N112">
        <f ca="1">IF(M112&lt;&gt;M111,INDEX(CustInfo!$A$2:$A$1001,RANDBETWEEN(1,1000)),N111)</f>
        <v>11574</v>
      </c>
      <c r="O112" t="s">
        <v>1002</v>
      </c>
      <c r="P112">
        <v>52936246</v>
      </c>
    </row>
    <row r="113" spans="1:16" x14ac:dyDescent="0.35">
      <c r="A113">
        <v>93827212023</v>
      </c>
      <c r="C113" s="2" t="s">
        <v>883</v>
      </c>
      <c r="D113">
        <v>3</v>
      </c>
      <c r="E113">
        <v>76891213428</v>
      </c>
      <c r="F113">
        <f t="shared" ca="1" si="2"/>
        <v>95</v>
      </c>
      <c r="G113">
        <f ca="1">VLOOKUP(E113,PurchItem!$A$2:$H$508,8,0)</f>
        <v>9444.1575416140786</v>
      </c>
      <c r="H113">
        <v>0.06</v>
      </c>
      <c r="I113" t="s">
        <v>244</v>
      </c>
      <c r="J113" s="5">
        <v>45542.594524409724</v>
      </c>
      <c r="K113" s="5">
        <v>45543.189048819448</v>
      </c>
      <c r="L113" s="5">
        <v>45552.783573229171</v>
      </c>
      <c r="M113">
        <f t="shared" si="3"/>
        <v>10029727253</v>
      </c>
      <c r="N113">
        <f ca="1">IF(M113&lt;&gt;M112,INDEX(CustInfo!$A$2:$A$1001,RANDBETWEEN(1,1000)),N112)</f>
        <v>11574</v>
      </c>
      <c r="O113" t="s">
        <v>1002</v>
      </c>
      <c r="P113">
        <v>52936247</v>
      </c>
    </row>
    <row r="114" spans="1:16" x14ac:dyDescent="0.35">
      <c r="A114">
        <v>93827212024</v>
      </c>
      <c r="C114" s="2" t="s">
        <v>883</v>
      </c>
      <c r="D114">
        <v>1</v>
      </c>
      <c r="E114">
        <v>76891213541</v>
      </c>
      <c r="F114">
        <f t="shared" ca="1" si="2"/>
        <v>20</v>
      </c>
      <c r="G114">
        <f ca="1">VLOOKUP(E114,PurchItem!$A$2:$H$508,8,0)</f>
        <v>8670.1313382850785</v>
      </c>
      <c r="H114">
        <v>0.05</v>
      </c>
      <c r="I114" t="s">
        <v>244</v>
      </c>
      <c r="J114" s="5">
        <v>45195.594524409724</v>
      </c>
      <c r="K114" s="5">
        <v>45199.189048819448</v>
      </c>
      <c r="L114" s="5">
        <v>45208.783573229171</v>
      </c>
      <c r="M114">
        <f t="shared" si="3"/>
        <v>10029727254</v>
      </c>
      <c r="N114">
        <f ca="1">IF(M114&lt;&gt;M113,INDEX(CustInfo!$A$2:$A$1001,RANDBETWEEN(1,1000)),N113)</f>
        <v>11872</v>
      </c>
      <c r="O114" t="s">
        <v>1003</v>
      </c>
      <c r="P114">
        <v>52936248</v>
      </c>
    </row>
    <row r="115" spans="1:16" x14ac:dyDescent="0.35">
      <c r="A115">
        <v>93827212024</v>
      </c>
      <c r="C115" s="2" t="s">
        <v>883</v>
      </c>
      <c r="D115">
        <v>2</v>
      </c>
      <c r="E115">
        <v>76891213158</v>
      </c>
      <c r="F115">
        <f t="shared" ca="1" si="2"/>
        <v>42</v>
      </c>
      <c r="G115">
        <f ca="1">VLOOKUP(E115,PurchItem!$A$2:$H$508,8,0)</f>
        <v>7429.0948943964459</v>
      </c>
      <c r="H115">
        <v>0.05</v>
      </c>
      <c r="I115" t="s">
        <v>244</v>
      </c>
      <c r="J115" s="5">
        <v>45236.594524409724</v>
      </c>
      <c r="K115" s="5">
        <v>45238.189048819448</v>
      </c>
      <c r="L115" s="5">
        <v>45240.783573229171</v>
      </c>
      <c r="M115">
        <f t="shared" si="3"/>
        <v>10029727254</v>
      </c>
      <c r="N115">
        <f ca="1">IF(M115&lt;&gt;M114,INDEX(CustInfo!$A$2:$A$1001,RANDBETWEEN(1,1000)),N114)</f>
        <v>11872</v>
      </c>
      <c r="O115" t="s">
        <v>1003</v>
      </c>
      <c r="P115">
        <v>52936249</v>
      </c>
    </row>
    <row r="116" spans="1:16" x14ac:dyDescent="0.35">
      <c r="A116">
        <v>93827212024</v>
      </c>
      <c r="C116" s="2" t="s">
        <v>883</v>
      </c>
      <c r="D116">
        <v>3</v>
      </c>
      <c r="E116">
        <v>76891213247</v>
      </c>
      <c r="F116">
        <f t="shared" ca="1" si="2"/>
        <v>99</v>
      </c>
      <c r="G116">
        <f ca="1">VLOOKUP(E116,PurchItem!$A$2:$H$508,8,0)</f>
        <v>6755.835133399748</v>
      </c>
      <c r="H116">
        <v>0.04</v>
      </c>
      <c r="I116" t="s">
        <v>244</v>
      </c>
      <c r="J116" s="5">
        <v>44724.594524409724</v>
      </c>
      <c r="K116" s="5">
        <v>44727.189048819448</v>
      </c>
      <c r="L116" s="5">
        <v>44727.783573229171</v>
      </c>
      <c r="M116">
        <f t="shared" si="3"/>
        <v>10029727254</v>
      </c>
      <c r="N116">
        <f ca="1">IF(M116&lt;&gt;M115,INDEX(CustInfo!$A$2:$A$1001,RANDBETWEEN(1,1000)),N115)</f>
        <v>11872</v>
      </c>
      <c r="O116" t="s">
        <v>1003</v>
      </c>
      <c r="P116">
        <v>52936250</v>
      </c>
    </row>
    <row r="117" spans="1:16" x14ac:dyDescent="0.35">
      <c r="A117">
        <v>93827212024</v>
      </c>
      <c r="C117" s="2" t="s">
        <v>883</v>
      </c>
      <c r="D117">
        <v>4</v>
      </c>
      <c r="E117">
        <v>76891213562</v>
      </c>
      <c r="F117">
        <f t="shared" ca="1" si="2"/>
        <v>98</v>
      </c>
      <c r="G117">
        <f ca="1">VLOOKUP(E117,PurchItem!$A$2:$H$508,8,0)</f>
        <v>740.07486669970649</v>
      </c>
      <c r="H117">
        <v>0.04</v>
      </c>
      <c r="I117" t="s">
        <v>244</v>
      </c>
      <c r="J117" s="5">
        <v>45100.594524409724</v>
      </c>
      <c r="K117" s="5">
        <v>45102.189048819448</v>
      </c>
      <c r="L117" s="5">
        <v>45103.783573229171</v>
      </c>
      <c r="M117">
        <f t="shared" si="3"/>
        <v>10029727254</v>
      </c>
      <c r="N117">
        <f ca="1">IF(M117&lt;&gt;M116,INDEX(CustInfo!$A$2:$A$1001,RANDBETWEEN(1,1000)),N116)</f>
        <v>11872</v>
      </c>
      <c r="O117" t="s">
        <v>1003</v>
      </c>
      <c r="P117">
        <v>52936251</v>
      </c>
    </row>
    <row r="118" spans="1:16" x14ac:dyDescent="0.35">
      <c r="A118">
        <v>93827212025</v>
      </c>
      <c r="C118" s="2" t="s">
        <v>883</v>
      </c>
      <c r="D118">
        <v>1</v>
      </c>
      <c r="E118">
        <v>76891213639</v>
      </c>
      <c r="F118">
        <f t="shared" ca="1" si="2"/>
        <v>53</v>
      </c>
      <c r="G118">
        <f ca="1">VLOOKUP(E118,PurchItem!$A$2:$H$508,8,0)</f>
        <v>1848.476115085952</v>
      </c>
      <c r="H118">
        <v>0.05</v>
      </c>
      <c r="I118" t="s">
        <v>244</v>
      </c>
      <c r="J118" s="5">
        <v>45167.594524409724</v>
      </c>
      <c r="K118" s="5">
        <v>45168.189048819448</v>
      </c>
      <c r="L118" s="5">
        <v>45176.783573229171</v>
      </c>
      <c r="M118">
        <f t="shared" si="3"/>
        <v>10029727255</v>
      </c>
      <c r="N118">
        <f ca="1">IF(M118&lt;&gt;M117,INDEX(CustInfo!$A$2:$A$1001,RANDBETWEEN(1,1000)),N117)</f>
        <v>11001</v>
      </c>
      <c r="O118" t="s">
        <v>1001</v>
      </c>
      <c r="P118">
        <v>52936252</v>
      </c>
    </row>
    <row r="119" spans="1:16" x14ac:dyDescent="0.35">
      <c r="A119">
        <v>93827212025</v>
      </c>
      <c r="C119" s="2" t="s">
        <v>883</v>
      </c>
      <c r="D119">
        <v>2</v>
      </c>
      <c r="E119">
        <v>76891213534</v>
      </c>
      <c r="F119">
        <f t="shared" ca="1" si="2"/>
        <v>38</v>
      </c>
      <c r="G119">
        <f ca="1">VLOOKUP(E119,PurchItem!$A$2:$H$508,8,0)</f>
        <v>5879.3921130267236</v>
      </c>
      <c r="H119">
        <v>0.04</v>
      </c>
      <c r="I119" t="s">
        <v>244</v>
      </c>
      <c r="J119" s="5">
        <v>44650.594524409724</v>
      </c>
      <c r="K119" s="5">
        <v>44654.189048819448</v>
      </c>
      <c r="L119" s="5">
        <v>44659.783573229171</v>
      </c>
      <c r="M119">
        <f t="shared" si="3"/>
        <v>10029727255</v>
      </c>
      <c r="N119">
        <f ca="1">IF(M119&lt;&gt;M118,INDEX(CustInfo!$A$2:$A$1001,RANDBETWEEN(1,1000)),N118)</f>
        <v>11001</v>
      </c>
      <c r="O119" t="s">
        <v>1001</v>
      </c>
      <c r="P119">
        <v>52936253</v>
      </c>
    </row>
    <row r="120" spans="1:16" x14ac:dyDescent="0.35">
      <c r="A120">
        <v>93827212025</v>
      </c>
      <c r="C120" s="2" t="s">
        <v>883</v>
      </c>
      <c r="D120">
        <v>3</v>
      </c>
      <c r="E120">
        <v>76891213335</v>
      </c>
      <c r="F120">
        <f t="shared" ca="1" si="2"/>
        <v>73</v>
      </c>
      <c r="G120">
        <f ca="1">VLOOKUP(E120,PurchItem!$A$2:$H$508,8,0)</f>
        <v>7424.307874485602</v>
      </c>
      <c r="H120">
        <v>0.05</v>
      </c>
      <c r="I120" t="s">
        <v>244</v>
      </c>
      <c r="J120" s="5">
        <v>44846.594524409724</v>
      </c>
      <c r="K120" s="5">
        <v>44848.189048819448</v>
      </c>
      <c r="L120" s="5">
        <v>44856.783573229171</v>
      </c>
      <c r="M120">
        <f t="shared" si="3"/>
        <v>10029727255</v>
      </c>
      <c r="N120">
        <f ca="1">IF(M120&lt;&gt;M119,INDEX(CustInfo!$A$2:$A$1001,RANDBETWEEN(1,1000)),N119)</f>
        <v>11001</v>
      </c>
      <c r="O120" t="s">
        <v>1001</v>
      </c>
      <c r="P120">
        <v>52936254</v>
      </c>
    </row>
    <row r="121" spans="1:16" x14ac:dyDescent="0.35">
      <c r="A121">
        <v>93827212025</v>
      </c>
      <c r="C121" s="2" t="s">
        <v>883</v>
      </c>
      <c r="D121">
        <v>4</v>
      </c>
      <c r="E121">
        <v>76891213464</v>
      </c>
      <c r="F121">
        <f t="shared" ca="1" si="2"/>
        <v>38</v>
      </c>
      <c r="G121">
        <f ca="1">VLOOKUP(E121,PurchItem!$A$2:$H$508,8,0)</f>
        <v>3775.443890340754</v>
      </c>
      <c r="H121">
        <v>0.06</v>
      </c>
      <c r="I121" t="s">
        <v>244</v>
      </c>
      <c r="J121" s="5">
        <v>45408.594524409724</v>
      </c>
      <c r="K121" s="5">
        <v>45412.189048819448</v>
      </c>
      <c r="L121" s="5">
        <v>45422.783573229171</v>
      </c>
      <c r="M121">
        <f t="shared" si="3"/>
        <v>10029727255</v>
      </c>
      <c r="N121">
        <f ca="1">IF(M121&lt;&gt;M120,INDEX(CustInfo!$A$2:$A$1001,RANDBETWEEN(1,1000)),N120)</f>
        <v>11001</v>
      </c>
      <c r="O121" t="s">
        <v>1001</v>
      </c>
      <c r="P121">
        <v>52936255</v>
      </c>
    </row>
    <row r="122" spans="1:16" x14ac:dyDescent="0.35">
      <c r="A122">
        <v>93827212026</v>
      </c>
      <c r="C122" s="2" t="s">
        <v>883</v>
      </c>
      <c r="D122">
        <v>1</v>
      </c>
      <c r="E122">
        <v>76891213454</v>
      </c>
      <c r="F122">
        <f t="shared" ca="1" si="2"/>
        <v>2</v>
      </c>
      <c r="G122">
        <f ca="1">VLOOKUP(E122,PurchItem!$A$2:$H$508,8,0)</f>
        <v>9734.0214996119394</v>
      </c>
      <c r="H122">
        <v>0.04</v>
      </c>
      <c r="I122" t="s">
        <v>244</v>
      </c>
      <c r="J122" s="5">
        <v>45171.594524409724</v>
      </c>
      <c r="K122" s="5">
        <v>45172.189048819448</v>
      </c>
      <c r="L122" s="5">
        <v>45172.783573229171</v>
      </c>
      <c r="M122">
        <f t="shared" si="3"/>
        <v>10029727256</v>
      </c>
      <c r="N122">
        <f ca="1">IF(M122&lt;&gt;M121,INDEX(CustInfo!$A$2:$A$1001,RANDBETWEEN(1,1000)),N121)</f>
        <v>11254</v>
      </c>
      <c r="O122" t="s">
        <v>1001</v>
      </c>
      <c r="P122">
        <v>52936256</v>
      </c>
    </row>
    <row r="123" spans="1:16" x14ac:dyDescent="0.35">
      <c r="A123">
        <v>93827212027</v>
      </c>
      <c r="C123" s="2" t="s">
        <v>883</v>
      </c>
      <c r="D123">
        <v>1</v>
      </c>
      <c r="E123">
        <v>76891213459</v>
      </c>
      <c r="F123">
        <f t="shared" ca="1" si="2"/>
        <v>59</v>
      </c>
      <c r="G123">
        <f ca="1">VLOOKUP(E123,PurchItem!$A$2:$H$508,8,0)</f>
        <v>7764.6378819601523</v>
      </c>
      <c r="H123">
        <v>0.05</v>
      </c>
      <c r="I123" t="s">
        <v>244</v>
      </c>
      <c r="J123" s="5">
        <v>45288.594524409724</v>
      </c>
      <c r="K123" s="5">
        <v>45292.189048819448</v>
      </c>
      <c r="L123" s="5">
        <v>45292.783573229171</v>
      </c>
      <c r="M123">
        <f t="shared" si="3"/>
        <v>10029727257</v>
      </c>
      <c r="N123">
        <f ca="1">IF(M123&lt;&gt;M122,INDEX(CustInfo!$A$2:$A$1001,RANDBETWEEN(1,1000)),N122)</f>
        <v>11467</v>
      </c>
      <c r="O123" t="s">
        <v>1001</v>
      </c>
      <c r="P123">
        <v>52936257</v>
      </c>
    </row>
    <row r="124" spans="1:16" x14ac:dyDescent="0.35">
      <c r="A124">
        <v>93827212028</v>
      </c>
      <c r="C124" s="2" t="s">
        <v>883</v>
      </c>
      <c r="D124">
        <v>1</v>
      </c>
      <c r="E124">
        <v>76891213598</v>
      </c>
      <c r="F124">
        <f t="shared" ca="1" si="2"/>
        <v>76</v>
      </c>
      <c r="G124">
        <f ca="1">VLOOKUP(E124,PurchItem!$A$2:$H$508,8,0)</f>
        <v>3209.0538132389734</v>
      </c>
      <c r="H124">
        <v>0.05</v>
      </c>
      <c r="I124" t="s">
        <v>244</v>
      </c>
      <c r="J124" s="5">
        <v>45431.594524409724</v>
      </c>
      <c r="K124" s="5">
        <v>45434.189048819448</v>
      </c>
      <c r="L124" s="5">
        <v>45435.783573229171</v>
      </c>
      <c r="M124">
        <f t="shared" si="3"/>
        <v>10029727258</v>
      </c>
      <c r="N124">
        <f ca="1">IF(M124&lt;&gt;M123,INDEX(CustInfo!$A$2:$A$1001,RANDBETWEEN(1,1000)),N123)</f>
        <v>11863</v>
      </c>
      <c r="O124" t="s">
        <v>1002</v>
      </c>
      <c r="P124">
        <v>52936258</v>
      </c>
    </row>
    <row r="125" spans="1:16" x14ac:dyDescent="0.35">
      <c r="A125">
        <v>93827212028</v>
      </c>
      <c r="C125" s="2" t="s">
        <v>883</v>
      </c>
      <c r="D125">
        <v>2</v>
      </c>
      <c r="E125">
        <v>76891213371</v>
      </c>
      <c r="F125">
        <f t="shared" ca="1" si="2"/>
        <v>98</v>
      </c>
      <c r="G125">
        <f ca="1">VLOOKUP(E125,PurchItem!$A$2:$H$508,8,0)</f>
        <v>2898.9854478241714</v>
      </c>
      <c r="H125">
        <v>0.06</v>
      </c>
      <c r="I125" t="s">
        <v>244</v>
      </c>
      <c r="J125" s="5">
        <v>45409.594524409724</v>
      </c>
      <c r="K125" s="5">
        <v>45412.189048819448</v>
      </c>
      <c r="L125" s="5">
        <v>45417.783573229171</v>
      </c>
      <c r="M125">
        <f t="shared" si="3"/>
        <v>10029727258</v>
      </c>
      <c r="N125">
        <f ca="1">IF(M125&lt;&gt;M124,INDEX(CustInfo!$A$2:$A$1001,RANDBETWEEN(1,1000)),N124)</f>
        <v>11863</v>
      </c>
      <c r="O125" t="s">
        <v>1002</v>
      </c>
      <c r="P125">
        <v>52936259</v>
      </c>
    </row>
    <row r="126" spans="1:16" x14ac:dyDescent="0.35">
      <c r="A126">
        <v>93827212028</v>
      </c>
      <c r="C126" s="2" t="s">
        <v>883</v>
      </c>
      <c r="D126">
        <v>3</v>
      </c>
      <c r="E126">
        <v>76891213551</v>
      </c>
      <c r="F126">
        <f t="shared" ca="1" si="2"/>
        <v>53</v>
      </c>
      <c r="G126">
        <f ca="1">VLOOKUP(E126,PurchItem!$A$2:$H$508,8,0)</f>
        <v>8257.6439178880792</v>
      </c>
      <c r="H126">
        <v>0.06</v>
      </c>
      <c r="I126" t="s">
        <v>244</v>
      </c>
      <c r="J126" s="5">
        <f ca="1">RANDBETWEEN(DATE(2022,1,1),TODAY()-30)+$U$2</f>
        <v>45468</v>
      </c>
      <c r="K126" s="5">
        <f ca="1">J126+RANDBETWEEN(0,3)+$U$2</f>
        <v>45468</v>
      </c>
      <c r="L126" s="5">
        <f ca="1">K126+RANDBETWEEN(0,10)+$U$2</f>
        <v>45468</v>
      </c>
      <c r="M126">
        <f t="shared" si="3"/>
        <v>10029727258</v>
      </c>
      <c r="N126">
        <f ca="1">IF(M126&lt;&gt;M125,INDEX(CustInfo!$A$2:$A$1001,RANDBETWEEN(1,1000)),N125)</f>
        <v>11863</v>
      </c>
      <c r="O126" t="s">
        <v>1002</v>
      </c>
      <c r="P126">
        <v>52936260</v>
      </c>
    </row>
    <row r="127" spans="1:16" x14ac:dyDescent="0.35">
      <c r="A127">
        <v>93827212028</v>
      </c>
      <c r="C127" s="2" t="s">
        <v>883</v>
      </c>
      <c r="D127">
        <v>4</v>
      </c>
      <c r="E127">
        <v>76891213336</v>
      </c>
      <c r="F127">
        <f t="shared" ca="1" si="2"/>
        <v>11</v>
      </c>
      <c r="G127">
        <f ca="1">VLOOKUP(E127,PurchItem!$A$2:$H$508,8,0)</f>
        <v>2324.4800791164721</v>
      </c>
      <c r="H127">
        <v>0.04</v>
      </c>
      <c r="I127" t="s">
        <v>244</v>
      </c>
      <c r="J127" s="5">
        <v>44774.594524409724</v>
      </c>
      <c r="K127" s="5">
        <v>44776.189048819448</v>
      </c>
      <c r="L127" s="5">
        <v>44786.783573229171</v>
      </c>
      <c r="M127">
        <f t="shared" si="3"/>
        <v>10029727258</v>
      </c>
      <c r="N127">
        <f ca="1">IF(M127&lt;&gt;M126,INDEX(CustInfo!$A$2:$A$1001,RANDBETWEEN(1,1000)),N126)</f>
        <v>11863</v>
      </c>
      <c r="O127" t="s">
        <v>1002</v>
      </c>
      <c r="P127">
        <v>52936261</v>
      </c>
    </row>
    <row r="128" spans="1:16" x14ac:dyDescent="0.35">
      <c r="A128">
        <v>93827212029</v>
      </c>
      <c r="C128" s="2" t="s">
        <v>883</v>
      </c>
      <c r="D128">
        <v>1</v>
      </c>
      <c r="E128">
        <v>76891213251</v>
      </c>
      <c r="F128">
        <f t="shared" ca="1" si="2"/>
        <v>21</v>
      </c>
      <c r="G128">
        <f ca="1">VLOOKUP(E128,PurchItem!$A$2:$H$508,8,0)</f>
        <v>1404.0728362642287</v>
      </c>
      <c r="H128">
        <v>0.04</v>
      </c>
      <c r="I128" t="s">
        <v>244</v>
      </c>
      <c r="J128" s="5">
        <v>45569.594524409724</v>
      </c>
      <c r="K128" s="5">
        <v>45571.189048819448</v>
      </c>
      <c r="L128" s="5">
        <v>45572.783573229171</v>
      </c>
      <c r="M128">
        <f t="shared" si="3"/>
        <v>10029727259</v>
      </c>
      <c r="N128">
        <f ca="1">IF(M128&lt;&gt;M127,INDEX(CustInfo!$A$2:$A$1001,RANDBETWEEN(1,1000)),N127)</f>
        <v>11873</v>
      </c>
      <c r="O128" t="s">
        <v>1002</v>
      </c>
      <c r="P128">
        <v>52936262</v>
      </c>
    </row>
    <row r="129" spans="1:16" x14ac:dyDescent="0.35">
      <c r="A129">
        <v>93827212029</v>
      </c>
      <c r="C129" s="2" t="s">
        <v>883</v>
      </c>
      <c r="D129">
        <v>2</v>
      </c>
      <c r="E129">
        <v>76891213601</v>
      </c>
      <c r="F129">
        <f t="shared" ca="1" si="2"/>
        <v>58</v>
      </c>
      <c r="G129">
        <f ca="1">VLOOKUP(E129,PurchItem!$A$2:$H$508,8,0)</f>
        <v>3260.9614068008614</v>
      </c>
      <c r="H129">
        <v>0.04</v>
      </c>
      <c r="I129" t="s">
        <v>244</v>
      </c>
      <c r="J129" s="5">
        <v>44605.594524409724</v>
      </c>
      <c r="K129" s="5">
        <v>44609.189048819448</v>
      </c>
      <c r="L129" s="5">
        <v>44612.783573229171</v>
      </c>
      <c r="M129">
        <f t="shared" si="3"/>
        <v>10029727259</v>
      </c>
      <c r="N129">
        <f ca="1">IF(M129&lt;&gt;M128,INDEX(CustInfo!$A$2:$A$1001,RANDBETWEEN(1,1000)),N128)</f>
        <v>11873</v>
      </c>
      <c r="O129" t="s">
        <v>1002</v>
      </c>
      <c r="P129">
        <v>52936263</v>
      </c>
    </row>
    <row r="130" spans="1:16" x14ac:dyDescent="0.35">
      <c r="A130">
        <v>93827212029</v>
      </c>
      <c r="C130" s="2" t="s">
        <v>883</v>
      </c>
      <c r="D130">
        <v>3</v>
      </c>
      <c r="E130">
        <v>76891213592</v>
      </c>
      <c r="F130">
        <f t="shared" ca="1" si="2"/>
        <v>37</v>
      </c>
      <c r="G130">
        <f ca="1">VLOOKUP(E130,PurchItem!$A$2:$H$508,8,0)</f>
        <v>4470.4135541857659</v>
      </c>
      <c r="H130">
        <v>0.04</v>
      </c>
      <c r="I130" t="s">
        <v>244</v>
      </c>
      <c r="J130" s="5">
        <v>45491.594524409724</v>
      </c>
      <c r="K130" s="5">
        <v>45493.189048819448</v>
      </c>
      <c r="L130" s="5">
        <v>45496.783573229171</v>
      </c>
      <c r="M130">
        <f t="shared" si="3"/>
        <v>10029727259</v>
      </c>
      <c r="N130">
        <f ca="1">IF(M130&lt;&gt;M129,INDEX(CustInfo!$A$2:$A$1001,RANDBETWEEN(1,1000)),N129)</f>
        <v>11873</v>
      </c>
      <c r="O130" t="s">
        <v>1002</v>
      </c>
      <c r="P130">
        <v>52936264</v>
      </c>
    </row>
    <row r="131" spans="1:16" x14ac:dyDescent="0.35">
      <c r="A131">
        <v>93827212030</v>
      </c>
      <c r="C131" s="2" t="s">
        <v>883</v>
      </c>
      <c r="D131">
        <v>1</v>
      </c>
      <c r="E131">
        <v>76891213609</v>
      </c>
      <c r="F131">
        <f t="shared" ref="F131:F194" ca="1" si="4">RANDBETWEEN(1,100)</f>
        <v>47</v>
      </c>
      <c r="G131">
        <f ca="1">VLOOKUP(E131,PurchItem!$A$2:$H$508,8,0)</f>
        <v>9297.028903944276</v>
      </c>
      <c r="H131">
        <v>0.04</v>
      </c>
      <c r="I131" t="s">
        <v>244</v>
      </c>
      <c r="J131" s="5">
        <v>45521.594524409724</v>
      </c>
      <c r="K131" s="5">
        <v>45523.189048819448</v>
      </c>
      <c r="L131" s="5">
        <v>45531.783573229171</v>
      </c>
      <c r="M131">
        <f t="shared" si="3"/>
        <v>10029727260</v>
      </c>
      <c r="N131">
        <f ca="1">IF(M131&lt;&gt;M130,INDEX(CustInfo!$A$2:$A$1001,RANDBETWEEN(1,1000)),N130)</f>
        <v>11792</v>
      </c>
      <c r="O131" t="s">
        <v>1002</v>
      </c>
      <c r="P131">
        <v>52936265</v>
      </c>
    </row>
    <row r="132" spans="1:16" x14ac:dyDescent="0.35">
      <c r="A132">
        <v>93827212031</v>
      </c>
      <c r="C132" s="2" t="s">
        <v>883</v>
      </c>
      <c r="D132">
        <v>1</v>
      </c>
      <c r="E132">
        <v>76891213277</v>
      </c>
      <c r="F132">
        <f t="shared" ca="1" si="4"/>
        <v>57</v>
      </c>
      <c r="G132">
        <f ca="1">VLOOKUP(E132,PurchItem!$A$2:$H$508,8,0)</f>
        <v>424.15138544256627</v>
      </c>
      <c r="H132">
        <v>0.06</v>
      </c>
      <c r="I132" t="s">
        <v>244</v>
      </c>
      <c r="J132" s="5">
        <v>45590.594524409724</v>
      </c>
      <c r="K132" s="5">
        <v>45593.189048819448</v>
      </c>
      <c r="L132" s="5">
        <v>45600.783573229171</v>
      </c>
      <c r="M132">
        <f t="shared" si="3"/>
        <v>10029727261</v>
      </c>
      <c r="N132">
        <f ca="1">IF(M132&lt;&gt;M131,INDEX(CustInfo!$A$2:$A$1001,RANDBETWEEN(1,1000)),N131)</f>
        <v>11830</v>
      </c>
      <c r="O132" t="s">
        <v>1003</v>
      </c>
      <c r="P132">
        <v>52936266</v>
      </c>
    </row>
    <row r="133" spans="1:16" x14ac:dyDescent="0.35">
      <c r="A133">
        <v>93827212031</v>
      </c>
      <c r="C133" s="2" t="s">
        <v>883</v>
      </c>
      <c r="D133">
        <v>2</v>
      </c>
      <c r="E133">
        <v>76891213273</v>
      </c>
      <c r="F133">
        <f t="shared" ca="1" si="4"/>
        <v>71</v>
      </c>
      <c r="G133">
        <f ca="1">VLOOKUP(E133,PurchItem!$A$2:$H$508,8,0)</f>
        <v>3906.5910334641267</v>
      </c>
      <c r="H133">
        <v>0.06</v>
      </c>
      <c r="I133" t="s">
        <v>244</v>
      </c>
      <c r="J133" s="5">
        <v>45408.594524409724</v>
      </c>
      <c r="K133" s="5">
        <v>45411.189048819448</v>
      </c>
      <c r="L133" s="5">
        <v>45416.783573229171</v>
      </c>
      <c r="M133">
        <f t="shared" ref="M133:M196" si="5">IF(A133&lt;&gt;A132,M132+1,M132)</f>
        <v>10029727261</v>
      </c>
      <c r="N133">
        <f ca="1">IF(M133&lt;&gt;M132,INDEX(CustInfo!$A$2:$A$1001,RANDBETWEEN(1,1000)),N132)</f>
        <v>11830</v>
      </c>
      <c r="O133" t="s">
        <v>1003</v>
      </c>
      <c r="P133">
        <v>52936267</v>
      </c>
    </row>
    <row r="134" spans="1:16" x14ac:dyDescent="0.35">
      <c r="A134">
        <v>93827212032</v>
      </c>
      <c r="C134" s="2" t="s">
        <v>883</v>
      </c>
      <c r="D134">
        <v>1</v>
      </c>
      <c r="E134">
        <v>76891213220</v>
      </c>
      <c r="F134">
        <f t="shared" ca="1" si="4"/>
        <v>98</v>
      </c>
      <c r="G134">
        <f ca="1">VLOOKUP(E134,PurchItem!$A$2:$H$508,8,0)</f>
        <v>2008.1764337227496</v>
      </c>
      <c r="H134">
        <v>0.05</v>
      </c>
      <c r="I134" t="s">
        <v>244</v>
      </c>
      <c r="J134" s="5">
        <v>45202.594524409724</v>
      </c>
      <c r="K134" s="5">
        <v>45205.189048819448</v>
      </c>
      <c r="L134" s="5">
        <v>45215.783573229171</v>
      </c>
      <c r="M134">
        <f t="shared" si="5"/>
        <v>10029727262</v>
      </c>
      <c r="N134">
        <f ca="1">IF(M134&lt;&gt;M133,INDEX(CustInfo!$A$2:$A$1001,RANDBETWEEN(1,1000)),N133)</f>
        <v>11680</v>
      </c>
      <c r="O134" t="s">
        <v>1002</v>
      </c>
      <c r="P134">
        <v>52936268</v>
      </c>
    </row>
    <row r="135" spans="1:16" x14ac:dyDescent="0.35">
      <c r="A135">
        <v>93827212032</v>
      </c>
      <c r="C135" s="2" t="s">
        <v>883</v>
      </c>
      <c r="D135">
        <v>2</v>
      </c>
      <c r="E135">
        <v>76891213360</v>
      </c>
      <c r="F135">
        <f t="shared" ca="1" si="4"/>
        <v>51</v>
      </c>
      <c r="G135">
        <f ca="1">VLOOKUP(E135,PurchItem!$A$2:$H$508,8,0)</f>
        <v>6087.4432655359151</v>
      </c>
      <c r="H135">
        <v>0.04</v>
      </c>
      <c r="I135" t="s">
        <v>244</v>
      </c>
      <c r="J135" s="5">
        <v>45002.594524409724</v>
      </c>
      <c r="K135" s="5">
        <v>45004.189048819448</v>
      </c>
      <c r="L135" s="5">
        <v>45009.783573229171</v>
      </c>
      <c r="M135">
        <f t="shared" si="5"/>
        <v>10029727262</v>
      </c>
      <c r="N135">
        <f ca="1">IF(M135&lt;&gt;M134,INDEX(CustInfo!$A$2:$A$1001,RANDBETWEEN(1,1000)),N134)</f>
        <v>11680</v>
      </c>
      <c r="O135" t="s">
        <v>1002</v>
      </c>
      <c r="P135">
        <v>52936269</v>
      </c>
    </row>
    <row r="136" spans="1:16" x14ac:dyDescent="0.35">
      <c r="A136">
        <v>93827212032</v>
      </c>
      <c r="C136" s="2" t="s">
        <v>883</v>
      </c>
      <c r="D136">
        <v>3</v>
      </c>
      <c r="E136">
        <v>76891213571</v>
      </c>
      <c r="F136">
        <f t="shared" ca="1" si="4"/>
        <v>25</v>
      </c>
      <c r="G136">
        <f ca="1">VLOOKUP(E136,PurchItem!$A$2:$H$508,8,0)</f>
        <v>3575.5287130457696</v>
      </c>
      <c r="H136">
        <v>0.06</v>
      </c>
      <c r="I136" t="s">
        <v>244</v>
      </c>
      <c r="J136" s="5">
        <v>45250.594524409724</v>
      </c>
      <c r="K136" s="5">
        <v>45251.189048819448</v>
      </c>
      <c r="L136" s="5">
        <v>45254.783573229171</v>
      </c>
      <c r="M136">
        <f t="shared" si="5"/>
        <v>10029727262</v>
      </c>
      <c r="N136">
        <f ca="1">IF(M136&lt;&gt;M135,INDEX(CustInfo!$A$2:$A$1001,RANDBETWEEN(1,1000)),N135)</f>
        <v>11680</v>
      </c>
      <c r="O136" t="s">
        <v>1002</v>
      </c>
      <c r="P136">
        <v>52936270</v>
      </c>
    </row>
    <row r="137" spans="1:16" x14ac:dyDescent="0.35">
      <c r="A137">
        <v>93827212032</v>
      </c>
      <c r="C137" s="2" t="s">
        <v>883</v>
      </c>
      <c r="D137">
        <v>4</v>
      </c>
      <c r="E137">
        <v>76891213601</v>
      </c>
      <c r="F137">
        <f t="shared" ca="1" si="4"/>
        <v>62</v>
      </c>
      <c r="G137">
        <f ca="1">VLOOKUP(E137,PurchItem!$A$2:$H$508,8,0)</f>
        <v>3260.9614068008614</v>
      </c>
      <c r="H137">
        <v>0.05</v>
      </c>
      <c r="I137" t="s">
        <v>244</v>
      </c>
      <c r="J137" s="5">
        <v>45401.594524409724</v>
      </c>
      <c r="K137" s="5">
        <v>45403.189048819448</v>
      </c>
      <c r="L137" s="5">
        <v>45409.783573229171</v>
      </c>
      <c r="M137">
        <f t="shared" si="5"/>
        <v>10029727262</v>
      </c>
      <c r="N137">
        <f ca="1">IF(M137&lt;&gt;M136,INDEX(CustInfo!$A$2:$A$1001,RANDBETWEEN(1,1000)),N136)</f>
        <v>11680</v>
      </c>
      <c r="O137" t="s">
        <v>1002</v>
      </c>
      <c r="P137">
        <v>52936271</v>
      </c>
    </row>
    <row r="138" spans="1:16" x14ac:dyDescent="0.35">
      <c r="A138">
        <v>93827212033</v>
      </c>
      <c r="C138" s="2" t="s">
        <v>883</v>
      </c>
      <c r="D138">
        <v>1</v>
      </c>
      <c r="E138">
        <v>76891213334</v>
      </c>
      <c r="F138">
        <f t="shared" ca="1" si="4"/>
        <v>26</v>
      </c>
      <c r="G138">
        <f ca="1">VLOOKUP(E138,PurchItem!$A$2:$H$508,8,0)</f>
        <v>8701.4873817400676</v>
      </c>
      <c r="H138">
        <v>0.04</v>
      </c>
      <c r="I138" t="s">
        <v>244</v>
      </c>
      <c r="J138" s="5">
        <v>45421.594524409724</v>
      </c>
      <c r="K138" s="5">
        <v>45422.189048819448</v>
      </c>
      <c r="L138" s="5">
        <v>45432.783573229171</v>
      </c>
      <c r="M138">
        <f t="shared" si="5"/>
        <v>10029727263</v>
      </c>
      <c r="N138">
        <f ca="1">IF(M138&lt;&gt;M137,INDEX(CustInfo!$A$2:$A$1001,RANDBETWEEN(1,1000)),N137)</f>
        <v>11338</v>
      </c>
      <c r="O138" t="s">
        <v>1003</v>
      </c>
      <c r="P138">
        <v>52936272</v>
      </c>
    </row>
    <row r="139" spans="1:16" x14ac:dyDescent="0.35">
      <c r="A139">
        <v>93827212033</v>
      </c>
      <c r="C139" s="2" t="s">
        <v>883</v>
      </c>
      <c r="D139">
        <v>2</v>
      </c>
      <c r="E139">
        <v>76891213238</v>
      </c>
      <c r="F139">
        <f t="shared" ca="1" si="4"/>
        <v>99</v>
      </c>
      <c r="G139">
        <f ca="1">VLOOKUP(E139,PurchItem!$A$2:$H$508,8,0)</f>
        <v>1532.7056343143986</v>
      </c>
      <c r="H139">
        <v>0.05</v>
      </c>
      <c r="I139" t="s">
        <v>244</v>
      </c>
      <c r="J139" s="5">
        <v>44696.594524409724</v>
      </c>
      <c r="K139" s="5">
        <v>44697.189048819448</v>
      </c>
      <c r="L139" s="5">
        <v>44697.783573229171</v>
      </c>
      <c r="M139">
        <f t="shared" si="5"/>
        <v>10029727263</v>
      </c>
      <c r="N139">
        <f ca="1">IF(M139&lt;&gt;M138,INDEX(CustInfo!$A$2:$A$1001,RANDBETWEEN(1,1000)),N138)</f>
        <v>11338</v>
      </c>
      <c r="O139" t="s">
        <v>1003</v>
      </c>
      <c r="P139">
        <v>52936273</v>
      </c>
    </row>
    <row r="140" spans="1:16" x14ac:dyDescent="0.35">
      <c r="A140">
        <v>93827212033</v>
      </c>
      <c r="C140" s="2" t="s">
        <v>883</v>
      </c>
      <c r="D140">
        <v>3</v>
      </c>
      <c r="E140">
        <v>76891213635</v>
      </c>
      <c r="F140">
        <f t="shared" ca="1" si="4"/>
        <v>43</v>
      </c>
      <c r="G140">
        <f ca="1">VLOOKUP(E140,PurchItem!$A$2:$H$508,8,0)</f>
        <v>683.81529686480883</v>
      </c>
      <c r="H140">
        <v>0.06</v>
      </c>
      <c r="I140" t="s">
        <v>244</v>
      </c>
      <c r="J140" s="5">
        <v>45399.594524409724</v>
      </c>
      <c r="K140" s="5">
        <v>45403.189048819448</v>
      </c>
      <c r="L140" s="5">
        <v>45403.783573229171</v>
      </c>
      <c r="M140">
        <f t="shared" si="5"/>
        <v>10029727263</v>
      </c>
      <c r="N140">
        <f ca="1">IF(M140&lt;&gt;M139,INDEX(CustInfo!$A$2:$A$1001,RANDBETWEEN(1,1000)),N139)</f>
        <v>11338</v>
      </c>
      <c r="O140" t="s">
        <v>1003</v>
      </c>
      <c r="P140">
        <v>52936274</v>
      </c>
    </row>
    <row r="141" spans="1:16" x14ac:dyDescent="0.35">
      <c r="A141">
        <v>93827212034</v>
      </c>
      <c r="C141" s="2" t="s">
        <v>883</v>
      </c>
      <c r="D141">
        <v>1</v>
      </c>
      <c r="E141">
        <v>76891213214</v>
      </c>
      <c r="F141">
        <f t="shared" ca="1" si="4"/>
        <v>57</v>
      </c>
      <c r="G141">
        <f ca="1">VLOOKUP(E141,PurchItem!$A$2:$H$508,8,0)</f>
        <v>3862.299244354836</v>
      </c>
      <c r="H141">
        <v>0.05</v>
      </c>
      <c r="I141" t="s">
        <v>244</v>
      </c>
      <c r="J141" s="5">
        <v>44797.594524409724</v>
      </c>
      <c r="K141" s="5">
        <v>44798.189048819448</v>
      </c>
      <c r="L141" s="5">
        <v>44808.783573229171</v>
      </c>
      <c r="M141">
        <f t="shared" si="5"/>
        <v>10029727264</v>
      </c>
      <c r="N141">
        <f ca="1">IF(M141&lt;&gt;M140,INDEX(CustInfo!$A$2:$A$1001,RANDBETWEEN(1,1000)),N140)</f>
        <v>11906</v>
      </c>
      <c r="O141" t="s">
        <v>1002</v>
      </c>
      <c r="P141">
        <v>52936275</v>
      </c>
    </row>
    <row r="142" spans="1:16" x14ac:dyDescent="0.35">
      <c r="A142">
        <v>93827212034</v>
      </c>
      <c r="C142" s="2" t="s">
        <v>883</v>
      </c>
      <c r="D142">
        <v>2</v>
      </c>
      <c r="E142">
        <v>76891213477</v>
      </c>
      <c r="F142">
        <f t="shared" ca="1" si="4"/>
        <v>81</v>
      </c>
      <c r="G142">
        <f ca="1">VLOOKUP(E142,PurchItem!$A$2:$H$508,8,0)</f>
        <v>6279.1440013265192</v>
      </c>
      <c r="H142">
        <v>0.04</v>
      </c>
      <c r="I142" t="s">
        <v>244</v>
      </c>
      <c r="J142" s="5">
        <v>44996.594524409724</v>
      </c>
      <c r="K142" s="5">
        <v>44997.189048819448</v>
      </c>
      <c r="L142" s="5">
        <v>44999.783573229171</v>
      </c>
      <c r="M142">
        <f t="shared" si="5"/>
        <v>10029727264</v>
      </c>
      <c r="N142">
        <f ca="1">IF(M142&lt;&gt;M141,INDEX(CustInfo!$A$2:$A$1001,RANDBETWEEN(1,1000)),N141)</f>
        <v>11906</v>
      </c>
      <c r="O142" t="s">
        <v>1002</v>
      </c>
      <c r="P142">
        <v>52936276</v>
      </c>
    </row>
    <row r="143" spans="1:16" x14ac:dyDescent="0.35">
      <c r="A143">
        <v>93827212034</v>
      </c>
      <c r="C143" s="2" t="s">
        <v>883</v>
      </c>
      <c r="D143">
        <v>3</v>
      </c>
      <c r="E143">
        <v>76891213572</v>
      </c>
      <c r="F143">
        <f t="shared" ca="1" si="4"/>
        <v>34</v>
      </c>
      <c r="G143">
        <f ca="1">VLOOKUP(E143,PurchItem!$A$2:$H$508,8,0)</f>
        <v>8369.1775258535399</v>
      </c>
      <c r="H143">
        <v>0.05</v>
      </c>
      <c r="I143" t="s">
        <v>244</v>
      </c>
      <c r="J143" s="5">
        <v>45566.594524409724</v>
      </c>
      <c r="K143" s="5">
        <v>45568.189048819448</v>
      </c>
      <c r="L143" s="5">
        <v>45573.783573229171</v>
      </c>
      <c r="M143">
        <f t="shared" si="5"/>
        <v>10029727264</v>
      </c>
      <c r="N143">
        <f ca="1">IF(M143&lt;&gt;M142,INDEX(CustInfo!$A$2:$A$1001,RANDBETWEEN(1,1000)),N142)</f>
        <v>11906</v>
      </c>
      <c r="O143" t="s">
        <v>1002</v>
      </c>
      <c r="P143">
        <v>52936277</v>
      </c>
    </row>
    <row r="144" spans="1:16" x14ac:dyDescent="0.35">
      <c r="A144">
        <v>93827212034</v>
      </c>
      <c r="C144" s="2" t="s">
        <v>883</v>
      </c>
      <c r="D144">
        <v>4</v>
      </c>
      <c r="E144">
        <v>76891213263</v>
      </c>
      <c r="F144">
        <f t="shared" ca="1" si="4"/>
        <v>48</v>
      </c>
      <c r="G144">
        <f ca="1">VLOOKUP(E144,PurchItem!$A$2:$H$508,8,0)</f>
        <v>7259.5126296854596</v>
      </c>
      <c r="H144">
        <v>0.05</v>
      </c>
      <c r="I144" t="s">
        <v>244</v>
      </c>
      <c r="J144" s="5">
        <v>44870.594524409724</v>
      </c>
      <c r="K144" s="5">
        <v>44872.189048819448</v>
      </c>
      <c r="L144" s="5">
        <v>44873.783573229171</v>
      </c>
      <c r="M144">
        <f t="shared" si="5"/>
        <v>10029727264</v>
      </c>
      <c r="N144">
        <f ca="1">IF(M144&lt;&gt;M143,INDEX(CustInfo!$A$2:$A$1001,RANDBETWEEN(1,1000)),N143)</f>
        <v>11906</v>
      </c>
      <c r="O144" t="s">
        <v>1002</v>
      </c>
      <c r="P144">
        <v>52936278</v>
      </c>
    </row>
    <row r="145" spans="1:16" x14ac:dyDescent="0.35">
      <c r="A145">
        <v>93827212035</v>
      </c>
      <c r="C145" s="2" t="s">
        <v>883</v>
      </c>
      <c r="D145">
        <v>1</v>
      </c>
      <c r="E145">
        <v>76891213376</v>
      </c>
      <c r="F145">
        <f t="shared" ca="1" si="4"/>
        <v>52</v>
      </c>
      <c r="G145">
        <f ca="1">VLOOKUP(E145,PurchItem!$A$2:$H$508,8,0)</f>
        <v>7089.7517680320707</v>
      </c>
      <c r="H145">
        <v>0.05</v>
      </c>
      <c r="I145" t="s">
        <v>244</v>
      </c>
      <c r="J145" s="5">
        <v>45483.594524409724</v>
      </c>
      <c r="K145" s="5">
        <v>45486.189048819448</v>
      </c>
      <c r="L145" s="5">
        <v>45494.783573229171</v>
      </c>
      <c r="M145">
        <f t="shared" si="5"/>
        <v>10029727265</v>
      </c>
      <c r="N145">
        <f ca="1">IF(M145&lt;&gt;M144,INDEX(CustInfo!$A$2:$A$1001,RANDBETWEEN(1,1000)),N144)</f>
        <v>11261</v>
      </c>
      <c r="O145" t="s">
        <v>1003</v>
      </c>
      <c r="P145">
        <v>52936279</v>
      </c>
    </row>
    <row r="146" spans="1:16" x14ac:dyDescent="0.35">
      <c r="A146">
        <v>93827212035</v>
      </c>
      <c r="C146" s="2" t="s">
        <v>883</v>
      </c>
      <c r="D146">
        <v>2</v>
      </c>
      <c r="E146">
        <v>76891213416</v>
      </c>
      <c r="F146">
        <f t="shared" ca="1" si="4"/>
        <v>17</v>
      </c>
      <c r="G146">
        <f ca="1">VLOOKUP(E146,PurchItem!$A$2:$H$508,8,0)</f>
        <v>254.34781389929725</v>
      </c>
      <c r="H146">
        <v>0.05</v>
      </c>
      <c r="I146" t="s">
        <v>244</v>
      </c>
      <c r="J146" s="5">
        <v>44572.594524409724</v>
      </c>
      <c r="K146" s="5">
        <v>44573.189048819448</v>
      </c>
      <c r="L146" s="5">
        <v>44581.783573229171</v>
      </c>
      <c r="M146">
        <f t="shared" si="5"/>
        <v>10029727265</v>
      </c>
      <c r="N146">
        <f ca="1">IF(M146&lt;&gt;M145,INDEX(CustInfo!$A$2:$A$1001,RANDBETWEEN(1,1000)),N145)</f>
        <v>11261</v>
      </c>
      <c r="O146" t="s">
        <v>1003</v>
      </c>
      <c r="P146">
        <v>52936280</v>
      </c>
    </row>
    <row r="147" spans="1:16" x14ac:dyDescent="0.35">
      <c r="A147">
        <v>93827212035</v>
      </c>
      <c r="C147" s="2" t="s">
        <v>883</v>
      </c>
      <c r="D147">
        <v>3</v>
      </c>
      <c r="E147">
        <v>76891213543</v>
      </c>
      <c r="F147">
        <f t="shared" ca="1" si="4"/>
        <v>22</v>
      </c>
      <c r="G147">
        <f ca="1">VLOOKUP(E147,PurchItem!$A$2:$H$508,8,0)</f>
        <v>645.98032194518066</v>
      </c>
      <c r="H147">
        <v>0.04</v>
      </c>
      <c r="I147" t="s">
        <v>244</v>
      </c>
      <c r="J147" s="5">
        <v>44801.594524409724</v>
      </c>
      <c r="K147" s="5">
        <v>44805.189048819448</v>
      </c>
      <c r="L147" s="5">
        <v>44807.783573229171</v>
      </c>
      <c r="M147">
        <f t="shared" si="5"/>
        <v>10029727265</v>
      </c>
      <c r="N147">
        <f ca="1">IF(M147&lt;&gt;M146,INDEX(CustInfo!$A$2:$A$1001,RANDBETWEEN(1,1000)),N146)</f>
        <v>11261</v>
      </c>
      <c r="O147" t="s">
        <v>1003</v>
      </c>
      <c r="P147">
        <v>52936281</v>
      </c>
    </row>
    <row r="148" spans="1:16" x14ac:dyDescent="0.35">
      <c r="A148">
        <v>93827212035</v>
      </c>
      <c r="C148" s="2" t="s">
        <v>883</v>
      </c>
      <c r="D148">
        <v>4</v>
      </c>
      <c r="E148">
        <v>76891213174</v>
      </c>
      <c r="F148">
        <f t="shared" ca="1" si="4"/>
        <v>10</v>
      </c>
      <c r="G148">
        <f ca="1">VLOOKUP(E148,PurchItem!$A$2:$H$508,8,0)</f>
        <v>3971.755790241577</v>
      </c>
      <c r="H148">
        <v>0.04</v>
      </c>
      <c r="I148" t="s">
        <v>244</v>
      </c>
      <c r="J148" s="5">
        <v>44747.594524409724</v>
      </c>
      <c r="K148" s="5">
        <v>44749.189048819448</v>
      </c>
      <c r="L148" s="5">
        <v>44758.783573229171</v>
      </c>
      <c r="M148">
        <f t="shared" si="5"/>
        <v>10029727265</v>
      </c>
      <c r="N148">
        <f ca="1">IF(M148&lt;&gt;M147,INDEX(CustInfo!$A$2:$A$1001,RANDBETWEEN(1,1000)),N147)</f>
        <v>11261</v>
      </c>
      <c r="O148" t="s">
        <v>1003</v>
      </c>
      <c r="P148">
        <v>52936282</v>
      </c>
    </row>
    <row r="149" spans="1:16" x14ac:dyDescent="0.35">
      <c r="A149">
        <v>93827212036</v>
      </c>
      <c r="C149" s="2" t="s">
        <v>883</v>
      </c>
      <c r="D149">
        <v>1</v>
      </c>
      <c r="E149">
        <v>76891213280</v>
      </c>
      <c r="F149">
        <f t="shared" ca="1" si="4"/>
        <v>89</v>
      </c>
      <c r="G149">
        <f ca="1">VLOOKUP(E149,PurchItem!$A$2:$H$508,8,0)</f>
        <v>5014.5777640027172</v>
      </c>
      <c r="H149">
        <v>0.04</v>
      </c>
      <c r="I149" t="s">
        <v>244</v>
      </c>
      <c r="J149" s="5">
        <v>44717.594524409724</v>
      </c>
      <c r="K149" s="5">
        <v>44719.189048819448</v>
      </c>
      <c r="L149" s="5">
        <v>44721.783573229171</v>
      </c>
      <c r="M149">
        <f t="shared" si="5"/>
        <v>10029727266</v>
      </c>
      <c r="N149">
        <f ca="1">IF(M149&lt;&gt;M148,INDEX(CustInfo!$A$2:$A$1001,RANDBETWEEN(1,1000)),N148)</f>
        <v>11320</v>
      </c>
      <c r="O149" t="s">
        <v>1003</v>
      </c>
      <c r="P149">
        <v>52936283</v>
      </c>
    </row>
    <row r="150" spans="1:16" x14ac:dyDescent="0.35">
      <c r="A150">
        <v>93827212036</v>
      </c>
      <c r="C150" s="2" t="s">
        <v>883</v>
      </c>
      <c r="D150">
        <v>2</v>
      </c>
      <c r="E150">
        <v>76891213503</v>
      </c>
      <c r="F150">
        <f t="shared" ca="1" si="4"/>
        <v>74</v>
      </c>
      <c r="G150">
        <f ca="1">VLOOKUP(E150,PurchItem!$A$2:$H$508,8,0)</f>
        <v>9117.4983275195518</v>
      </c>
      <c r="H150">
        <v>0.04</v>
      </c>
      <c r="I150" t="s">
        <v>244</v>
      </c>
      <c r="J150" s="5">
        <v>45397.594524409724</v>
      </c>
      <c r="K150" s="5">
        <v>45399.189048819448</v>
      </c>
      <c r="L150" s="5">
        <v>45403.783573229171</v>
      </c>
      <c r="M150">
        <f t="shared" si="5"/>
        <v>10029727266</v>
      </c>
      <c r="N150">
        <f ca="1">IF(M150&lt;&gt;M149,INDEX(CustInfo!$A$2:$A$1001,RANDBETWEEN(1,1000)),N149)</f>
        <v>11320</v>
      </c>
      <c r="O150" t="s">
        <v>1003</v>
      </c>
      <c r="P150">
        <v>52936284</v>
      </c>
    </row>
    <row r="151" spans="1:16" x14ac:dyDescent="0.35">
      <c r="A151">
        <v>93827212036</v>
      </c>
      <c r="C151" s="2" t="s">
        <v>883</v>
      </c>
      <c r="D151">
        <v>3</v>
      </c>
      <c r="E151">
        <v>76891213215</v>
      </c>
      <c r="F151">
        <f t="shared" ca="1" si="4"/>
        <v>10</v>
      </c>
      <c r="G151">
        <f ca="1">VLOOKUP(E151,PurchItem!$A$2:$H$508,8,0)</f>
        <v>2142.1644782232815</v>
      </c>
      <c r="H151">
        <v>0.04</v>
      </c>
      <c r="I151" t="s">
        <v>244</v>
      </c>
      <c r="J151" s="5">
        <v>45307.594524409724</v>
      </c>
      <c r="K151" s="5">
        <v>45311.189048819448</v>
      </c>
      <c r="L151" s="5">
        <v>45320.783573229171</v>
      </c>
      <c r="M151">
        <f t="shared" si="5"/>
        <v>10029727266</v>
      </c>
      <c r="N151">
        <f ca="1">IF(M151&lt;&gt;M150,INDEX(CustInfo!$A$2:$A$1001,RANDBETWEEN(1,1000)),N150)</f>
        <v>11320</v>
      </c>
      <c r="O151" t="s">
        <v>1003</v>
      </c>
      <c r="P151">
        <v>52936285</v>
      </c>
    </row>
    <row r="152" spans="1:16" x14ac:dyDescent="0.35">
      <c r="A152">
        <v>93827212036</v>
      </c>
      <c r="C152" s="2" t="s">
        <v>883</v>
      </c>
      <c r="D152">
        <v>4</v>
      </c>
      <c r="E152">
        <v>76891213325</v>
      </c>
      <c r="F152">
        <f t="shared" ca="1" si="4"/>
        <v>4</v>
      </c>
      <c r="G152">
        <f ca="1">VLOOKUP(E152,PurchItem!$A$2:$H$508,8,0)</f>
        <v>7717.8815474662742</v>
      </c>
      <c r="H152">
        <v>0.06</v>
      </c>
      <c r="I152" t="s">
        <v>244</v>
      </c>
      <c r="J152" s="5">
        <v>45305.594524409724</v>
      </c>
      <c r="K152" s="5">
        <v>45309.189048819448</v>
      </c>
      <c r="L152" s="5">
        <v>45311.783573229171</v>
      </c>
      <c r="M152">
        <f t="shared" si="5"/>
        <v>10029727266</v>
      </c>
      <c r="N152">
        <f ca="1">IF(M152&lt;&gt;M151,INDEX(CustInfo!$A$2:$A$1001,RANDBETWEEN(1,1000)),N151)</f>
        <v>11320</v>
      </c>
      <c r="O152" t="s">
        <v>1003</v>
      </c>
      <c r="P152">
        <v>52936286</v>
      </c>
    </row>
    <row r="153" spans="1:16" x14ac:dyDescent="0.35">
      <c r="A153">
        <v>93827212037</v>
      </c>
      <c r="C153" s="2" t="s">
        <v>883</v>
      </c>
      <c r="D153">
        <v>1</v>
      </c>
      <c r="E153">
        <v>76891213150</v>
      </c>
      <c r="F153">
        <f t="shared" ca="1" si="4"/>
        <v>87</v>
      </c>
      <c r="G153">
        <f ca="1">VLOOKUP(E153,PurchItem!$A$2:$H$508,8,0)</f>
        <v>4841.3945699159722</v>
      </c>
      <c r="H153">
        <v>0.04</v>
      </c>
      <c r="I153" t="s">
        <v>244</v>
      </c>
      <c r="J153" s="5">
        <v>45132.594524409724</v>
      </c>
      <c r="K153" s="5">
        <v>45134.189048819448</v>
      </c>
      <c r="L153" s="5">
        <v>45134.783573229171</v>
      </c>
      <c r="M153">
        <f t="shared" si="5"/>
        <v>10029727267</v>
      </c>
      <c r="N153">
        <f ca="1">IF(M153&lt;&gt;M152,INDEX(CustInfo!$A$2:$A$1001,RANDBETWEEN(1,1000)),N152)</f>
        <v>11072</v>
      </c>
      <c r="O153" t="s">
        <v>1001</v>
      </c>
      <c r="P153">
        <v>52936287</v>
      </c>
    </row>
    <row r="154" spans="1:16" x14ac:dyDescent="0.35">
      <c r="A154">
        <v>93827212037</v>
      </c>
      <c r="C154" s="2" t="s">
        <v>883</v>
      </c>
      <c r="D154">
        <v>2</v>
      </c>
      <c r="E154">
        <v>76891213463</v>
      </c>
      <c r="F154">
        <f t="shared" ca="1" si="4"/>
        <v>57</v>
      </c>
      <c r="G154">
        <f ca="1">VLOOKUP(E154,PurchItem!$A$2:$H$508,8,0)</f>
        <v>9794.8638044577037</v>
      </c>
      <c r="H154">
        <v>0.06</v>
      </c>
      <c r="I154" t="s">
        <v>244</v>
      </c>
      <c r="J154" s="5">
        <v>45428.594524409724</v>
      </c>
      <c r="K154" s="5">
        <v>45431.189048819448</v>
      </c>
      <c r="L154" s="5">
        <v>45431.783573229171</v>
      </c>
      <c r="M154">
        <f t="shared" si="5"/>
        <v>10029727267</v>
      </c>
      <c r="N154">
        <f ca="1">IF(M154&lt;&gt;M153,INDEX(CustInfo!$A$2:$A$1001,RANDBETWEEN(1,1000)),N153)</f>
        <v>11072</v>
      </c>
      <c r="O154" t="s">
        <v>1001</v>
      </c>
      <c r="P154">
        <v>52936288</v>
      </c>
    </row>
    <row r="155" spans="1:16" x14ac:dyDescent="0.35">
      <c r="A155">
        <v>93827212037</v>
      </c>
      <c r="C155" s="2" t="s">
        <v>883</v>
      </c>
      <c r="D155">
        <v>3</v>
      </c>
      <c r="E155">
        <v>76891213600</v>
      </c>
      <c r="F155">
        <f t="shared" ca="1" si="4"/>
        <v>27</v>
      </c>
      <c r="G155">
        <f ca="1">VLOOKUP(E155,PurchItem!$A$2:$H$508,8,0)</f>
        <v>7451.9049034169639</v>
      </c>
      <c r="H155">
        <v>0.05</v>
      </c>
      <c r="I155" t="s">
        <v>244</v>
      </c>
      <c r="J155" s="5">
        <v>44831.594524409724</v>
      </c>
      <c r="K155" s="5">
        <v>44833.189048819448</v>
      </c>
      <c r="L155" s="5">
        <v>44836.783573229171</v>
      </c>
      <c r="M155">
        <f t="shared" si="5"/>
        <v>10029727267</v>
      </c>
      <c r="N155">
        <f ca="1">IF(M155&lt;&gt;M154,INDEX(CustInfo!$A$2:$A$1001,RANDBETWEEN(1,1000)),N154)</f>
        <v>11072</v>
      </c>
      <c r="O155" t="s">
        <v>1001</v>
      </c>
      <c r="P155">
        <v>52936289</v>
      </c>
    </row>
    <row r="156" spans="1:16" x14ac:dyDescent="0.35">
      <c r="A156">
        <v>93827212038</v>
      </c>
      <c r="C156" s="2" t="s">
        <v>883</v>
      </c>
      <c r="D156">
        <v>1</v>
      </c>
      <c r="E156">
        <v>76891213473</v>
      </c>
      <c r="F156">
        <f t="shared" ca="1" si="4"/>
        <v>8</v>
      </c>
      <c r="G156">
        <f ca="1">VLOOKUP(E156,PurchItem!$A$2:$H$508,8,0)</f>
        <v>2246.8538983085609</v>
      </c>
      <c r="H156">
        <v>0.06</v>
      </c>
      <c r="I156" t="s">
        <v>244</v>
      </c>
      <c r="J156" s="5">
        <v>44859.594524409724</v>
      </c>
      <c r="K156" s="5">
        <v>44862.189048819448</v>
      </c>
      <c r="L156" s="5">
        <v>44865.783573229171</v>
      </c>
      <c r="M156">
        <f t="shared" si="5"/>
        <v>10029727268</v>
      </c>
      <c r="N156">
        <f ca="1">IF(M156&lt;&gt;M155,INDEX(CustInfo!$A$2:$A$1001,RANDBETWEEN(1,1000)),N155)</f>
        <v>11703</v>
      </c>
      <c r="O156" t="s">
        <v>1002</v>
      </c>
      <c r="P156">
        <v>52936290</v>
      </c>
    </row>
    <row r="157" spans="1:16" x14ac:dyDescent="0.35">
      <c r="A157">
        <v>93827212038</v>
      </c>
      <c r="C157" s="2" t="s">
        <v>883</v>
      </c>
      <c r="D157">
        <v>2</v>
      </c>
      <c r="E157">
        <v>76891213323</v>
      </c>
      <c r="F157">
        <f t="shared" ca="1" si="4"/>
        <v>81</v>
      </c>
      <c r="G157">
        <f ca="1">VLOOKUP(E157,PurchItem!$A$2:$H$508,8,0)</f>
        <v>2479.1591943264802</v>
      </c>
      <c r="H157">
        <v>0.05</v>
      </c>
      <c r="I157" t="s">
        <v>244</v>
      </c>
      <c r="J157" s="5">
        <v>45579.594524409724</v>
      </c>
      <c r="K157" s="5">
        <v>45581.189048819448</v>
      </c>
      <c r="L157" s="5">
        <v>45582.783573229171</v>
      </c>
      <c r="M157">
        <f t="shared" si="5"/>
        <v>10029727268</v>
      </c>
      <c r="N157">
        <f ca="1">IF(M157&lt;&gt;M156,INDEX(CustInfo!$A$2:$A$1001,RANDBETWEEN(1,1000)),N156)</f>
        <v>11703</v>
      </c>
      <c r="O157" t="s">
        <v>1002</v>
      </c>
      <c r="P157">
        <v>52936291</v>
      </c>
    </row>
    <row r="158" spans="1:16" x14ac:dyDescent="0.35">
      <c r="A158">
        <v>93827212038</v>
      </c>
      <c r="C158" s="2" t="s">
        <v>883</v>
      </c>
      <c r="D158">
        <v>3</v>
      </c>
      <c r="E158">
        <v>76891213334</v>
      </c>
      <c r="F158">
        <f t="shared" ca="1" si="4"/>
        <v>38</v>
      </c>
      <c r="G158">
        <f ca="1">VLOOKUP(E158,PurchItem!$A$2:$H$508,8,0)</f>
        <v>8701.4873817400676</v>
      </c>
      <c r="H158">
        <v>0.05</v>
      </c>
      <c r="I158" t="s">
        <v>244</v>
      </c>
      <c r="J158" s="5">
        <v>45572.594524409724</v>
      </c>
      <c r="K158" s="5">
        <v>45576.189048819448</v>
      </c>
      <c r="L158" s="5">
        <v>45585.783573229171</v>
      </c>
      <c r="M158">
        <f t="shared" si="5"/>
        <v>10029727268</v>
      </c>
      <c r="N158">
        <f ca="1">IF(M158&lt;&gt;M157,INDEX(CustInfo!$A$2:$A$1001,RANDBETWEEN(1,1000)),N157)</f>
        <v>11703</v>
      </c>
      <c r="O158" t="s">
        <v>1002</v>
      </c>
      <c r="P158">
        <v>52936292</v>
      </c>
    </row>
    <row r="159" spans="1:16" x14ac:dyDescent="0.35">
      <c r="A159">
        <v>93827212038</v>
      </c>
      <c r="C159" s="2" t="s">
        <v>883</v>
      </c>
      <c r="D159">
        <v>4</v>
      </c>
      <c r="E159">
        <v>76891213372</v>
      </c>
      <c r="F159">
        <f t="shared" ca="1" si="4"/>
        <v>65</v>
      </c>
      <c r="G159">
        <f ca="1">VLOOKUP(E159,PurchItem!$A$2:$H$508,8,0)</f>
        <v>6535.386894947068</v>
      </c>
      <c r="H159">
        <v>0.04</v>
      </c>
      <c r="I159" t="s">
        <v>244</v>
      </c>
      <c r="J159" s="5">
        <v>44912.594524409724</v>
      </c>
      <c r="K159" s="5">
        <v>44913.189048819448</v>
      </c>
      <c r="L159" s="5">
        <v>44917.783573229171</v>
      </c>
      <c r="M159">
        <f t="shared" si="5"/>
        <v>10029727268</v>
      </c>
      <c r="N159">
        <f ca="1">IF(M159&lt;&gt;M158,INDEX(CustInfo!$A$2:$A$1001,RANDBETWEEN(1,1000)),N158)</f>
        <v>11703</v>
      </c>
      <c r="O159" t="s">
        <v>1002</v>
      </c>
      <c r="P159">
        <v>52936293</v>
      </c>
    </row>
    <row r="160" spans="1:16" x14ac:dyDescent="0.35">
      <c r="A160">
        <v>93827212039</v>
      </c>
      <c r="C160" s="2" t="s">
        <v>883</v>
      </c>
      <c r="D160">
        <v>1</v>
      </c>
      <c r="E160">
        <v>76891213179</v>
      </c>
      <c r="F160">
        <f t="shared" ca="1" si="4"/>
        <v>52</v>
      </c>
      <c r="G160">
        <f ca="1">VLOOKUP(E160,PurchItem!$A$2:$H$508,8,0)</f>
        <v>6832.2348521988297</v>
      </c>
      <c r="H160">
        <v>0.05</v>
      </c>
      <c r="I160" t="s">
        <v>244</v>
      </c>
      <c r="J160" s="5">
        <v>44717.594524409724</v>
      </c>
      <c r="K160" s="5">
        <v>44719.189048819448</v>
      </c>
      <c r="L160" s="5">
        <v>44727.783573229171</v>
      </c>
      <c r="M160">
        <f t="shared" si="5"/>
        <v>10029727269</v>
      </c>
      <c r="N160">
        <f ca="1">IF(M160&lt;&gt;M159,INDEX(CustInfo!$A$2:$A$1001,RANDBETWEEN(1,1000)),N159)</f>
        <v>11506</v>
      </c>
      <c r="O160" t="s">
        <v>1001</v>
      </c>
      <c r="P160">
        <v>52936294</v>
      </c>
    </row>
    <row r="161" spans="1:16" x14ac:dyDescent="0.35">
      <c r="A161">
        <v>93827212039</v>
      </c>
      <c r="C161" s="2" t="s">
        <v>883</v>
      </c>
      <c r="D161">
        <v>2</v>
      </c>
      <c r="E161">
        <v>76891213462</v>
      </c>
      <c r="F161">
        <f t="shared" ca="1" si="4"/>
        <v>9</v>
      </c>
      <c r="G161">
        <f ca="1">VLOOKUP(E161,PurchItem!$A$2:$H$508,8,0)</f>
        <v>2503.8974047317301</v>
      </c>
      <c r="H161">
        <v>0.06</v>
      </c>
      <c r="I161" t="s">
        <v>244</v>
      </c>
      <c r="J161" s="5">
        <v>45150.594524409724</v>
      </c>
      <c r="K161" s="5">
        <v>45152.189048819448</v>
      </c>
      <c r="L161" s="5">
        <v>45158.783573229171</v>
      </c>
      <c r="M161">
        <f t="shared" si="5"/>
        <v>10029727269</v>
      </c>
      <c r="N161">
        <f ca="1">IF(M161&lt;&gt;M160,INDEX(CustInfo!$A$2:$A$1001,RANDBETWEEN(1,1000)),N160)</f>
        <v>11506</v>
      </c>
      <c r="O161" t="s">
        <v>1001</v>
      </c>
      <c r="P161">
        <v>52936295</v>
      </c>
    </row>
    <row r="162" spans="1:16" x14ac:dyDescent="0.35">
      <c r="A162">
        <v>93827212040</v>
      </c>
      <c r="C162" s="2" t="s">
        <v>883</v>
      </c>
      <c r="D162">
        <v>1</v>
      </c>
      <c r="E162">
        <v>76891213479</v>
      </c>
      <c r="F162">
        <f t="shared" ca="1" si="4"/>
        <v>91</v>
      </c>
      <c r="G162">
        <f ca="1">VLOOKUP(E162,PurchItem!$A$2:$H$508,8,0)</f>
        <v>6220.9089937272938</v>
      </c>
      <c r="H162">
        <v>0.05</v>
      </c>
      <c r="I162" t="s">
        <v>244</v>
      </c>
      <c r="J162" s="5">
        <v>45470.594524409724</v>
      </c>
      <c r="K162" s="5">
        <v>45473.189048819448</v>
      </c>
      <c r="L162" s="5">
        <v>45475.783573229171</v>
      </c>
      <c r="M162">
        <f t="shared" si="5"/>
        <v>10029727270</v>
      </c>
      <c r="N162">
        <f ca="1">IF(M162&lt;&gt;M161,INDEX(CustInfo!$A$2:$A$1001,RANDBETWEEN(1,1000)),N161)</f>
        <v>11792</v>
      </c>
      <c r="O162" t="s">
        <v>1003</v>
      </c>
      <c r="P162">
        <v>52936296</v>
      </c>
    </row>
    <row r="163" spans="1:16" x14ac:dyDescent="0.35">
      <c r="A163">
        <v>93827212040</v>
      </c>
      <c r="C163" s="2" t="s">
        <v>883</v>
      </c>
      <c r="D163">
        <v>2</v>
      </c>
      <c r="E163">
        <v>76891213565</v>
      </c>
      <c r="F163">
        <f t="shared" ca="1" si="4"/>
        <v>79</v>
      </c>
      <c r="G163">
        <f ca="1">VLOOKUP(E163,PurchItem!$A$2:$H$508,8,0)</f>
        <v>5060.9339224760633</v>
      </c>
      <c r="H163">
        <v>0.05</v>
      </c>
      <c r="I163" t="s">
        <v>244</v>
      </c>
      <c r="J163" s="5">
        <v>45098.594524409724</v>
      </c>
      <c r="K163" s="5">
        <v>45099.189048819448</v>
      </c>
      <c r="L163" s="5">
        <v>45100.783573229171</v>
      </c>
      <c r="M163">
        <f t="shared" si="5"/>
        <v>10029727270</v>
      </c>
      <c r="N163">
        <f ca="1">IF(M163&lt;&gt;M162,INDEX(CustInfo!$A$2:$A$1001,RANDBETWEEN(1,1000)),N162)</f>
        <v>11792</v>
      </c>
      <c r="O163" t="s">
        <v>1003</v>
      </c>
      <c r="P163">
        <v>52936297</v>
      </c>
    </row>
    <row r="164" spans="1:16" x14ac:dyDescent="0.35">
      <c r="A164">
        <v>93827212041</v>
      </c>
      <c r="C164" s="2" t="s">
        <v>883</v>
      </c>
      <c r="D164">
        <v>1</v>
      </c>
      <c r="E164">
        <v>76891213220</v>
      </c>
      <c r="F164">
        <f t="shared" ca="1" si="4"/>
        <v>67</v>
      </c>
      <c r="G164">
        <f ca="1">VLOOKUP(E164,PurchItem!$A$2:$H$508,8,0)</f>
        <v>2008.1764337227496</v>
      </c>
      <c r="H164">
        <v>0.06</v>
      </c>
      <c r="I164" t="s">
        <v>244</v>
      </c>
      <c r="J164" s="5">
        <v>44589.594524409724</v>
      </c>
      <c r="K164" s="5">
        <v>44590.189048819448</v>
      </c>
      <c r="L164" s="5">
        <v>44596.783573229171</v>
      </c>
      <c r="M164">
        <f t="shared" si="5"/>
        <v>10029727271</v>
      </c>
      <c r="N164">
        <f ca="1">IF(M164&lt;&gt;M163,INDEX(CustInfo!$A$2:$A$1001,RANDBETWEEN(1,1000)),N163)</f>
        <v>11623</v>
      </c>
      <c r="O164" t="s">
        <v>1001</v>
      </c>
      <c r="P164">
        <v>52936298</v>
      </c>
    </row>
    <row r="165" spans="1:16" x14ac:dyDescent="0.35">
      <c r="A165">
        <v>93827212041</v>
      </c>
      <c r="C165" s="2" t="s">
        <v>883</v>
      </c>
      <c r="D165">
        <v>2</v>
      </c>
      <c r="E165">
        <v>76891213391</v>
      </c>
      <c r="F165">
        <f t="shared" ca="1" si="4"/>
        <v>82</v>
      </c>
      <c r="G165">
        <f ca="1">VLOOKUP(E165,PurchItem!$A$2:$H$508,8,0)</f>
        <v>3029.6020190014342</v>
      </c>
      <c r="H165">
        <v>0.05</v>
      </c>
      <c r="I165" t="s">
        <v>244</v>
      </c>
      <c r="J165" s="5">
        <v>45258.594524409724</v>
      </c>
      <c r="K165" s="5">
        <v>45262.189048819448</v>
      </c>
      <c r="L165" s="5">
        <v>45264.783573229171</v>
      </c>
      <c r="M165">
        <f t="shared" si="5"/>
        <v>10029727271</v>
      </c>
      <c r="N165">
        <f ca="1">IF(M165&lt;&gt;M164,INDEX(CustInfo!$A$2:$A$1001,RANDBETWEEN(1,1000)),N164)</f>
        <v>11623</v>
      </c>
      <c r="O165" t="s">
        <v>1001</v>
      </c>
      <c r="P165">
        <v>52936299</v>
      </c>
    </row>
    <row r="166" spans="1:16" x14ac:dyDescent="0.35">
      <c r="A166">
        <v>93827212042</v>
      </c>
      <c r="C166" s="2" t="s">
        <v>883</v>
      </c>
      <c r="D166">
        <v>1</v>
      </c>
      <c r="E166">
        <v>76891213319</v>
      </c>
      <c r="F166">
        <f t="shared" ca="1" si="4"/>
        <v>43</v>
      </c>
      <c r="G166">
        <f ca="1">VLOOKUP(E166,PurchItem!$A$2:$H$508,8,0)</f>
        <v>9761.3302948596265</v>
      </c>
      <c r="H166">
        <v>0.04</v>
      </c>
      <c r="I166" t="s">
        <v>244</v>
      </c>
      <c r="J166" s="5">
        <v>44592.594524409724</v>
      </c>
      <c r="K166" s="5">
        <v>44594.189048819448</v>
      </c>
      <c r="L166" s="5">
        <v>44594.783573229171</v>
      </c>
      <c r="M166">
        <f t="shared" si="5"/>
        <v>10029727272</v>
      </c>
      <c r="N166">
        <f ca="1">IF(M166&lt;&gt;M165,INDEX(CustInfo!$A$2:$A$1001,RANDBETWEEN(1,1000)),N165)</f>
        <v>11313</v>
      </c>
      <c r="O166" t="s">
        <v>1002</v>
      </c>
      <c r="P166">
        <v>52936300</v>
      </c>
    </row>
    <row r="167" spans="1:16" x14ac:dyDescent="0.35">
      <c r="A167">
        <v>93827212042</v>
      </c>
      <c r="C167" s="2" t="s">
        <v>883</v>
      </c>
      <c r="D167">
        <v>2</v>
      </c>
      <c r="E167">
        <v>76891213175</v>
      </c>
      <c r="F167">
        <f t="shared" ca="1" si="4"/>
        <v>75</v>
      </c>
      <c r="G167">
        <f ca="1">VLOOKUP(E167,PurchItem!$A$2:$H$508,8,0)</f>
        <v>8239.6279667406998</v>
      </c>
      <c r="H167">
        <v>0.05</v>
      </c>
      <c r="I167" t="s">
        <v>244</v>
      </c>
      <c r="J167" s="5">
        <v>44667.594524409724</v>
      </c>
      <c r="K167" s="5">
        <v>44668.189048819448</v>
      </c>
      <c r="L167" s="5">
        <v>44675.783573229171</v>
      </c>
      <c r="M167">
        <f t="shared" si="5"/>
        <v>10029727272</v>
      </c>
      <c r="N167">
        <f ca="1">IF(M167&lt;&gt;M166,INDEX(CustInfo!$A$2:$A$1001,RANDBETWEEN(1,1000)),N166)</f>
        <v>11313</v>
      </c>
      <c r="O167" t="s">
        <v>1002</v>
      </c>
      <c r="P167">
        <v>52936301</v>
      </c>
    </row>
    <row r="168" spans="1:16" x14ac:dyDescent="0.35">
      <c r="A168">
        <v>93827212042</v>
      </c>
      <c r="C168" s="2" t="s">
        <v>883</v>
      </c>
      <c r="D168">
        <v>3</v>
      </c>
      <c r="E168">
        <v>76891213169</v>
      </c>
      <c r="F168">
        <f t="shared" ca="1" si="4"/>
        <v>82</v>
      </c>
      <c r="G168">
        <f ca="1">VLOOKUP(E168,PurchItem!$A$2:$H$508,8,0)</f>
        <v>1750.9223085517885</v>
      </c>
      <c r="H168">
        <v>0.06</v>
      </c>
      <c r="I168" t="s">
        <v>244</v>
      </c>
      <c r="J168" s="5">
        <v>44652.594524409724</v>
      </c>
      <c r="K168" s="5">
        <v>44653.189048819448</v>
      </c>
      <c r="L168" s="5">
        <v>44662.783573229171</v>
      </c>
      <c r="M168">
        <f t="shared" si="5"/>
        <v>10029727272</v>
      </c>
      <c r="N168">
        <f ca="1">IF(M168&lt;&gt;M167,INDEX(CustInfo!$A$2:$A$1001,RANDBETWEEN(1,1000)),N167)</f>
        <v>11313</v>
      </c>
      <c r="O168" t="s">
        <v>1002</v>
      </c>
      <c r="P168">
        <v>52936302</v>
      </c>
    </row>
    <row r="169" spans="1:16" x14ac:dyDescent="0.35">
      <c r="A169">
        <v>93827212042</v>
      </c>
      <c r="C169" s="2" t="s">
        <v>883</v>
      </c>
      <c r="D169">
        <v>4</v>
      </c>
      <c r="E169">
        <v>76891213599</v>
      </c>
      <c r="F169">
        <f t="shared" ca="1" si="4"/>
        <v>68</v>
      </c>
      <c r="G169">
        <f ca="1">VLOOKUP(E169,PurchItem!$A$2:$H$508,8,0)</f>
        <v>5445.9165158335209</v>
      </c>
      <c r="H169">
        <v>0.05</v>
      </c>
      <c r="I169" t="s">
        <v>244</v>
      </c>
      <c r="J169" s="5">
        <v>45293.594524409724</v>
      </c>
      <c r="K169" s="5">
        <v>45295.189048819448</v>
      </c>
      <c r="L169" s="5">
        <v>45296.783573229171</v>
      </c>
      <c r="M169">
        <f t="shared" si="5"/>
        <v>10029727272</v>
      </c>
      <c r="N169">
        <f ca="1">IF(M169&lt;&gt;M168,INDEX(CustInfo!$A$2:$A$1001,RANDBETWEEN(1,1000)),N168)</f>
        <v>11313</v>
      </c>
      <c r="O169" t="s">
        <v>1002</v>
      </c>
      <c r="P169">
        <v>52936303</v>
      </c>
    </row>
    <row r="170" spans="1:16" x14ac:dyDescent="0.35">
      <c r="A170">
        <v>93827212043</v>
      </c>
      <c r="C170" s="2" t="s">
        <v>883</v>
      </c>
      <c r="D170">
        <v>1</v>
      </c>
      <c r="E170">
        <v>76891213359</v>
      </c>
      <c r="F170">
        <f t="shared" ca="1" si="4"/>
        <v>17</v>
      </c>
      <c r="G170">
        <f ca="1">VLOOKUP(E170,PurchItem!$A$2:$H$508,8,0)</f>
        <v>6704.6084395031594</v>
      </c>
      <c r="H170">
        <v>0.05</v>
      </c>
      <c r="I170" t="s">
        <v>244</v>
      </c>
      <c r="J170" s="5">
        <v>45191.594524409724</v>
      </c>
      <c r="K170" s="5">
        <v>45192.189048819448</v>
      </c>
      <c r="L170" s="5">
        <v>45198.783573229171</v>
      </c>
      <c r="M170">
        <f t="shared" si="5"/>
        <v>10029727273</v>
      </c>
      <c r="N170">
        <f ca="1">IF(M170&lt;&gt;M169,INDEX(CustInfo!$A$2:$A$1001,RANDBETWEEN(1,1000)),N169)</f>
        <v>11808</v>
      </c>
      <c r="O170" t="s">
        <v>1003</v>
      </c>
      <c r="P170">
        <v>52936304</v>
      </c>
    </row>
    <row r="171" spans="1:16" x14ac:dyDescent="0.35">
      <c r="A171">
        <v>93827212043</v>
      </c>
      <c r="C171" s="2" t="s">
        <v>883</v>
      </c>
      <c r="D171">
        <v>2</v>
      </c>
      <c r="E171">
        <v>76891213268</v>
      </c>
      <c r="F171">
        <f t="shared" ca="1" si="4"/>
        <v>7</v>
      </c>
      <c r="G171">
        <f ca="1">VLOOKUP(E171,PurchItem!$A$2:$H$508,8,0)</f>
        <v>3438.1492682800576</v>
      </c>
      <c r="H171">
        <v>0.05</v>
      </c>
      <c r="I171" t="s">
        <v>244</v>
      </c>
      <c r="J171" s="5">
        <v>44673.594524409724</v>
      </c>
      <c r="K171" s="5">
        <v>44677.189048819448</v>
      </c>
      <c r="L171" s="5">
        <v>44683.783573229171</v>
      </c>
      <c r="M171">
        <f t="shared" si="5"/>
        <v>10029727273</v>
      </c>
      <c r="N171">
        <f ca="1">IF(M171&lt;&gt;M170,INDEX(CustInfo!$A$2:$A$1001,RANDBETWEEN(1,1000)),N170)</f>
        <v>11808</v>
      </c>
      <c r="O171" t="s">
        <v>1003</v>
      </c>
      <c r="P171">
        <v>52936305</v>
      </c>
    </row>
    <row r="172" spans="1:16" x14ac:dyDescent="0.35">
      <c r="A172">
        <v>93827212044</v>
      </c>
      <c r="C172" s="2" t="s">
        <v>883</v>
      </c>
      <c r="D172">
        <v>1</v>
      </c>
      <c r="E172">
        <v>76891213377</v>
      </c>
      <c r="F172">
        <f t="shared" ca="1" si="4"/>
        <v>41</v>
      </c>
      <c r="G172">
        <f ca="1">VLOOKUP(E172,PurchItem!$A$2:$H$508,8,0)</f>
        <v>747.79686367362922</v>
      </c>
      <c r="H172">
        <v>0.04</v>
      </c>
      <c r="I172" t="s">
        <v>244</v>
      </c>
      <c r="J172" s="5">
        <v>45351.594524409724</v>
      </c>
      <c r="K172" s="5">
        <v>45352.189048819448</v>
      </c>
      <c r="L172" s="5">
        <v>45360.783573229171</v>
      </c>
      <c r="M172">
        <f t="shared" si="5"/>
        <v>10029727274</v>
      </c>
      <c r="N172">
        <f ca="1">IF(M172&lt;&gt;M171,INDEX(CustInfo!$A$2:$A$1001,RANDBETWEEN(1,1000)),N171)</f>
        <v>11836</v>
      </c>
      <c r="O172" t="s">
        <v>1003</v>
      </c>
      <c r="P172">
        <v>52936306</v>
      </c>
    </row>
    <row r="173" spans="1:16" x14ac:dyDescent="0.35">
      <c r="A173">
        <v>93827212044</v>
      </c>
      <c r="C173" s="2" t="s">
        <v>883</v>
      </c>
      <c r="D173">
        <v>2</v>
      </c>
      <c r="E173">
        <v>76891213153</v>
      </c>
      <c r="F173">
        <f t="shared" ca="1" si="4"/>
        <v>17</v>
      </c>
      <c r="G173">
        <f ca="1">VLOOKUP(E173,PurchItem!$A$2:$H$508,8,0)</f>
        <v>9849.9949858218879</v>
      </c>
      <c r="H173">
        <v>0.05</v>
      </c>
      <c r="I173" t="s">
        <v>244</v>
      </c>
      <c r="J173" s="5">
        <v>45267.594524409724</v>
      </c>
      <c r="K173" s="5">
        <v>45268.189048819448</v>
      </c>
      <c r="L173" s="5">
        <v>45272.783573229171</v>
      </c>
      <c r="M173">
        <f t="shared" si="5"/>
        <v>10029727274</v>
      </c>
      <c r="N173">
        <f ca="1">IF(M173&lt;&gt;M172,INDEX(CustInfo!$A$2:$A$1001,RANDBETWEEN(1,1000)),N172)</f>
        <v>11836</v>
      </c>
      <c r="O173" t="s">
        <v>1003</v>
      </c>
      <c r="P173">
        <v>52936307</v>
      </c>
    </row>
    <row r="174" spans="1:16" x14ac:dyDescent="0.35">
      <c r="A174">
        <v>93827212044</v>
      </c>
      <c r="C174" s="2" t="s">
        <v>883</v>
      </c>
      <c r="D174">
        <v>3</v>
      </c>
      <c r="E174">
        <v>76891213572</v>
      </c>
      <c r="F174">
        <f t="shared" ca="1" si="4"/>
        <v>74</v>
      </c>
      <c r="G174">
        <f ca="1">VLOOKUP(E174,PurchItem!$A$2:$H$508,8,0)</f>
        <v>8369.1775258535399</v>
      </c>
      <c r="H174">
        <v>0.06</v>
      </c>
      <c r="I174" t="s">
        <v>244</v>
      </c>
      <c r="J174" s="5">
        <v>45077.594524409724</v>
      </c>
      <c r="K174" s="5">
        <v>45078.189048819448</v>
      </c>
      <c r="L174" s="5">
        <v>45087.783573229171</v>
      </c>
      <c r="M174">
        <f t="shared" si="5"/>
        <v>10029727274</v>
      </c>
      <c r="N174">
        <f ca="1">IF(M174&lt;&gt;M173,INDEX(CustInfo!$A$2:$A$1001,RANDBETWEEN(1,1000)),N173)</f>
        <v>11836</v>
      </c>
      <c r="O174" t="s">
        <v>1003</v>
      </c>
      <c r="P174">
        <v>52936308</v>
      </c>
    </row>
    <row r="175" spans="1:16" x14ac:dyDescent="0.35">
      <c r="A175">
        <v>93827212044</v>
      </c>
      <c r="C175" s="2" t="s">
        <v>883</v>
      </c>
      <c r="D175">
        <v>4</v>
      </c>
      <c r="E175">
        <v>76891213505</v>
      </c>
      <c r="F175">
        <f t="shared" ca="1" si="4"/>
        <v>96</v>
      </c>
      <c r="G175">
        <f ca="1">VLOOKUP(E175,PurchItem!$A$2:$H$508,8,0)</f>
        <v>6494.2629478443014</v>
      </c>
      <c r="H175">
        <v>0.06</v>
      </c>
      <c r="I175" t="s">
        <v>244</v>
      </c>
      <c r="J175" s="5">
        <v>45367.594524409724</v>
      </c>
      <c r="K175" s="5">
        <v>45368.189048819448</v>
      </c>
      <c r="L175" s="5">
        <v>45370.783573229171</v>
      </c>
      <c r="M175">
        <f t="shared" si="5"/>
        <v>10029727274</v>
      </c>
      <c r="N175">
        <f ca="1">IF(M175&lt;&gt;M174,INDEX(CustInfo!$A$2:$A$1001,RANDBETWEEN(1,1000)),N174)</f>
        <v>11836</v>
      </c>
      <c r="O175" t="s">
        <v>1003</v>
      </c>
      <c r="P175">
        <v>52936309</v>
      </c>
    </row>
    <row r="176" spans="1:16" x14ac:dyDescent="0.35">
      <c r="A176">
        <v>93827212045</v>
      </c>
      <c r="C176" s="2" t="s">
        <v>883</v>
      </c>
      <c r="D176">
        <v>1</v>
      </c>
      <c r="E176">
        <v>76891213424</v>
      </c>
      <c r="F176">
        <f t="shared" ca="1" si="4"/>
        <v>58</v>
      </c>
      <c r="G176">
        <f ca="1">VLOOKUP(E176,PurchItem!$A$2:$H$508,8,0)</f>
        <v>7376.2580680938527</v>
      </c>
      <c r="H176">
        <v>0.05</v>
      </c>
      <c r="I176" t="s">
        <v>244</v>
      </c>
      <c r="J176" s="5">
        <v>45234.594524409724</v>
      </c>
      <c r="K176" s="5">
        <v>45237.189048819448</v>
      </c>
      <c r="L176" s="5">
        <v>45244.783573229171</v>
      </c>
      <c r="M176">
        <f t="shared" si="5"/>
        <v>10029727275</v>
      </c>
      <c r="N176">
        <f ca="1">IF(M176&lt;&gt;M175,INDEX(CustInfo!$A$2:$A$1001,RANDBETWEEN(1,1000)),N175)</f>
        <v>11645</v>
      </c>
      <c r="O176" t="s">
        <v>1001</v>
      </c>
      <c r="P176">
        <v>52936310</v>
      </c>
    </row>
    <row r="177" spans="1:16" x14ac:dyDescent="0.35">
      <c r="A177">
        <v>93827212045</v>
      </c>
      <c r="C177" s="2" t="s">
        <v>883</v>
      </c>
      <c r="D177">
        <v>2</v>
      </c>
      <c r="E177">
        <v>76891213184</v>
      </c>
      <c r="F177">
        <f t="shared" ca="1" si="4"/>
        <v>44</v>
      </c>
      <c r="G177">
        <f ca="1">VLOOKUP(E177,PurchItem!$A$2:$H$508,8,0)</f>
        <v>5805.1190284202921</v>
      </c>
      <c r="H177">
        <v>0.05</v>
      </c>
      <c r="I177" t="s">
        <v>244</v>
      </c>
      <c r="J177" s="5">
        <v>45225.594524409724</v>
      </c>
      <c r="K177" s="5">
        <v>45227.189048819448</v>
      </c>
      <c r="L177" s="5">
        <v>45230.783573229171</v>
      </c>
      <c r="M177">
        <f t="shared" si="5"/>
        <v>10029727275</v>
      </c>
      <c r="N177">
        <f ca="1">IF(M177&lt;&gt;M176,INDEX(CustInfo!$A$2:$A$1001,RANDBETWEEN(1,1000)),N176)</f>
        <v>11645</v>
      </c>
      <c r="O177" t="s">
        <v>1001</v>
      </c>
      <c r="P177">
        <v>52936311</v>
      </c>
    </row>
    <row r="178" spans="1:16" x14ac:dyDescent="0.35">
      <c r="A178">
        <v>93827212045</v>
      </c>
      <c r="C178" s="2" t="s">
        <v>883</v>
      </c>
      <c r="D178">
        <v>3</v>
      </c>
      <c r="E178">
        <v>76891213470</v>
      </c>
      <c r="F178">
        <f t="shared" ca="1" si="4"/>
        <v>48</v>
      </c>
      <c r="G178">
        <f ca="1">VLOOKUP(E178,PurchItem!$A$2:$H$508,8,0)</f>
        <v>2084.2612195739525</v>
      </c>
      <c r="H178">
        <v>0.06</v>
      </c>
      <c r="I178" t="s">
        <v>244</v>
      </c>
      <c r="J178" s="5">
        <v>44569.594524409724</v>
      </c>
      <c r="K178" s="5">
        <v>44570.189048819448</v>
      </c>
      <c r="L178" s="5">
        <v>44570.783573229171</v>
      </c>
      <c r="M178">
        <f t="shared" si="5"/>
        <v>10029727275</v>
      </c>
      <c r="N178">
        <f ca="1">IF(M178&lt;&gt;M177,INDEX(CustInfo!$A$2:$A$1001,RANDBETWEEN(1,1000)),N177)</f>
        <v>11645</v>
      </c>
      <c r="O178" t="s">
        <v>1001</v>
      </c>
      <c r="P178">
        <v>52936312</v>
      </c>
    </row>
    <row r="179" spans="1:16" x14ac:dyDescent="0.35">
      <c r="A179">
        <v>93827212046</v>
      </c>
      <c r="C179" s="2" t="s">
        <v>883</v>
      </c>
      <c r="D179">
        <v>1</v>
      </c>
      <c r="E179">
        <v>76891213615</v>
      </c>
      <c r="F179">
        <f t="shared" ca="1" si="4"/>
        <v>86</v>
      </c>
      <c r="G179">
        <f ca="1">VLOOKUP(E179,PurchItem!$A$2:$H$508,8,0)</f>
        <v>8114.5563501764591</v>
      </c>
      <c r="H179">
        <v>0.06</v>
      </c>
      <c r="I179" t="s">
        <v>244</v>
      </c>
      <c r="J179" s="5">
        <v>45334.594524409724</v>
      </c>
      <c r="K179" s="5">
        <v>45335.189048819448</v>
      </c>
      <c r="L179" s="5">
        <v>45344.783573229171</v>
      </c>
      <c r="M179">
        <f t="shared" si="5"/>
        <v>10029727276</v>
      </c>
      <c r="N179">
        <f ca="1">IF(M179&lt;&gt;M178,INDEX(CustInfo!$A$2:$A$1001,RANDBETWEEN(1,1000)),N178)</f>
        <v>11303</v>
      </c>
      <c r="O179" t="s">
        <v>1002</v>
      </c>
      <c r="P179">
        <v>52936313</v>
      </c>
    </row>
    <row r="180" spans="1:16" x14ac:dyDescent="0.35">
      <c r="A180">
        <v>93827212046</v>
      </c>
      <c r="C180" s="2" t="s">
        <v>883</v>
      </c>
      <c r="D180">
        <v>2</v>
      </c>
      <c r="E180">
        <v>76891213555</v>
      </c>
      <c r="F180">
        <f t="shared" ca="1" si="4"/>
        <v>28</v>
      </c>
      <c r="G180">
        <f ca="1">VLOOKUP(E180,PurchItem!$A$2:$H$508,8,0)</f>
        <v>6639.131764227679</v>
      </c>
      <c r="H180">
        <v>0.06</v>
      </c>
      <c r="I180" t="s">
        <v>244</v>
      </c>
      <c r="J180" s="5">
        <v>44631.594524409724</v>
      </c>
      <c r="K180" s="5">
        <v>44632.189048819448</v>
      </c>
      <c r="L180" s="5">
        <v>44636.783573229171</v>
      </c>
      <c r="M180">
        <f t="shared" si="5"/>
        <v>10029727276</v>
      </c>
      <c r="N180">
        <f ca="1">IF(M180&lt;&gt;M179,INDEX(CustInfo!$A$2:$A$1001,RANDBETWEEN(1,1000)),N179)</f>
        <v>11303</v>
      </c>
      <c r="O180" t="s">
        <v>1002</v>
      </c>
      <c r="P180">
        <v>52936314</v>
      </c>
    </row>
    <row r="181" spans="1:16" x14ac:dyDescent="0.35">
      <c r="A181">
        <v>93827212047</v>
      </c>
      <c r="C181" s="2" t="s">
        <v>883</v>
      </c>
      <c r="D181">
        <v>1</v>
      </c>
      <c r="E181">
        <v>76891213370</v>
      </c>
      <c r="F181">
        <f t="shared" ca="1" si="4"/>
        <v>7</v>
      </c>
      <c r="G181">
        <f ca="1">VLOOKUP(E181,PurchItem!$A$2:$H$508,8,0)</f>
        <v>5363.0925561437452</v>
      </c>
      <c r="H181">
        <v>0.06</v>
      </c>
      <c r="I181" t="s">
        <v>244</v>
      </c>
      <c r="J181" s="5">
        <v>45575.594524409724</v>
      </c>
      <c r="K181" s="5">
        <v>45578.189048819448</v>
      </c>
      <c r="L181" s="5">
        <v>45586.783573229171</v>
      </c>
      <c r="M181">
        <f t="shared" si="5"/>
        <v>10029727277</v>
      </c>
      <c r="N181">
        <f ca="1">IF(M181&lt;&gt;M180,INDEX(CustInfo!$A$2:$A$1001,RANDBETWEEN(1,1000)),N180)</f>
        <v>11252</v>
      </c>
      <c r="O181" t="s">
        <v>1003</v>
      </c>
      <c r="P181">
        <v>52936315</v>
      </c>
    </row>
    <row r="182" spans="1:16" x14ac:dyDescent="0.35">
      <c r="A182">
        <v>93827212047</v>
      </c>
      <c r="C182" s="2" t="s">
        <v>883</v>
      </c>
      <c r="D182">
        <v>2</v>
      </c>
      <c r="E182">
        <v>76891213599</v>
      </c>
      <c r="F182">
        <f t="shared" ca="1" si="4"/>
        <v>9</v>
      </c>
      <c r="G182">
        <f ca="1">VLOOKUP(E182,PurchItem!$A$2:$H$508,8,0)</f>
        <v>5445.9165158335209</v>
      </c>
      <c r="H182">
        <v>0.04</v>
      </c>
      <c r="I182" t="s">
        <v>244</v>
      </c>
      <c r="J182" s="5">
        <v>44984.594524409724</v>
      </c>
      <c r="K182" s="5">
        <v>44986.189048819448</v>
      </c>
      <c r="L182" s="5">
        <v>44994.783573229171</v>
      </c>
      <c r="M182">
        <f t="shared" si="5"/>
        <v>10029727277</v>
      </c>
      <c r="N182">
        <f ca="1">IF(M182&lt;&gt;M181,INDEX(CustInfo!$A$2:$A$1001,RANDBETWEEN(1,1000)),N181)</f>
        <v>11252</v>
      </c>
      <c r="O182" t="s">
        <v>1003</v>
      </c>
      <c r="P182">
        <v>52936316</v>
      </c>
    </row>
    <row r="183" spans="1:16" x14ac:dyDescent="0.35">
      <c r="A183">
        <v>93827212047</v>
      </c>
      <c r="C183" s="2" t="s">
        <v>883</v>
      </c>
      <c r="D183">
        <v>3</v>
      </c>
      <c r="E183">
        <v>76891213480</v>
      </c>
      <c r="F183">
        <f t="shared" ca="1" si="4"/>
        <v>52</v>
      </c>
      <c r="G183">
        <f ca="1">VLOOKUP(E183,PurchItem!$A$2:$H$508,8,0)</f>
        <v>5818.9796436144088</v>
      </c>
      <c r="H183">
        <v>0.06</v>
      </c>
      <c r="I183" t="s">
        <v>244</v>
      </c>
      <c r="J183" s="5">
        <v>45056.594524409724</v>
      </c>
      <c r="K183" s="5">
        <v>45058.189048819448</v>
      </c>
      <c r="L183" s="5">
        <v>45061.783573229171</v>
      </c>
      <c r="M183">
        <f t="shared" si="5"/>
        <v>10029727277</v>
      </c>
      <c r="N183">
        <f ca="1">IF(M183&lt;&gt;M182,INDEX(CustInfo!$A$2:$A$1001,RANDBETWEEN(1,1000)),N182)</f>
        <v>11252</v>
      </c>
      <c r="O183" t="s">
        <v>1003</v>
      </c>
      <c r="P183">
        <v>52936317</v>
      </c>
    </row>
    <row r="184" spans="1:16" x14ac:dyDescent="0.35">
      <c r="A184">
        <v>93827212047</v>
      </c>
      <c r="C184" s="2" t="s">
        <v>883</v>
      </c>
      <c r="D184">
        <v>4</v>
      </c>
      <c r="E184">
        <v>76891213363</v>
      </c>
      <c r="F184">
        <f t="shared" ca="1" si="4"/>
        <v>19</v>
      </c>
      <c r="G184">
        <f ca="1">VLOOKUP(E184,PurchItem!$A$2:$H$508,8,0)</f>
        <v>1463.7798305631063</v>
      </c>
      <c r="H184">
        <v>0.04</v>
      </c>
      <c r="I184" t="s">
        <v>244</v>
      </c>
      <c r="J184" s="5">
        <v>44807.594524409724</v>
      </c>
      <c r="K184" s="5">
        <v>44808.189048819448</v>
      </c>
      <c r="L184" s="5">
        <v>44817.783573229171</v>
      </c>
      <c r="M184">
        <f t="shared" si="5"/>
        <v>10029727277</v>
      </c>
      <c r="N184">
        <f ca="1">IF(M184&lt;&gt;M183,INDEX(CustInfo!$A$2:$A$1001,RANDBETWEEN(1,1000)),N183)</f>
        <v>11252</v>
      </c>
      <c r="O184" t="s">
        <v>1003</v>
      </c>
      <c r="P184">
        <v>52936318</v>
      </c>
    </row>
    <row r="185" spans="1:16" x14ac:dyDescent="0.35">
      <c r="A185">
        <v>93827212048</v>
      </c>
      <c r="C185" s="2" t="s">
        <v>883</v>
      </c>
      <c r="D185">
        <v>1</v>
      </c>
      <c r="E185">
        <v>76891213184</v>
      </c>
      <c r="F185">
        <f t="shared" ca="1" si="4"/>
        <v>100</v>
      </c>
      <c r="G185">
        <f ca="1">VLOOKUP(E185,PurchItem!$A$2:$H$508,8,0)</f>
        <v>5805.1190284202921</v>
      </c>
      <c r="H185">
        <v>0.06</v>
      </c>
      <c r="I185" t="s">
        <v>244</v>
      </c>
      <c r="J185" s="5">
        <v>44624.594524409724</v>
      </c>
      <c r="K185" s="5">
        <v>44628.189048819448</v>
      </c>
      <c r="L185" s="5">
        <v>44635.783573229171</v>
      </c>
      <c r="M185">
        <f t="shared" si="5"/>
        <v>10029727278</v>
      </c>
      <c r="N185">
        <f ca="1">IF(M185&lt;&gt;M184,INDEX(CustInfo!$A$2:$A$1001,RANDBETWEEN(1,1000)),N184)</f>
        <v>11970</v>
      </c>
      <c r="O185" t="s">
        <v>1001</v>
      </c>
      <c r="P185">
        <v>52936319</v>
      </c>
    </row>
    <row r="186" spans="1:16" x14ac:dyDescent="0.35">
      <c r="A186">
        <v>93827212048</v>
      </c>
      <c r="C186" s="2" t="s">
        <v>883</v>
      </c>
      <c r="D186">
        <v>2</v>
      </c>
      <c r="E186">
        <v>76891213294</v>
      </c>
      <c r="F186">
        <f t="shared" ca="1" si="4"/>
        <v>36</v>
      </c>
      <c r="G186">
        <f ca="1">VLOOKUP(E186,PurchItem!$A$2:$H$508,8,0)</f>
        <v>1758.1992003080466</v>
      </c>
      <c r="H186">
        <v>0.06</v>
      </c>
      <c r="I186" t="s">
        <v>244</v>
      </c>
      <c r="J186" s="5">
        <v>44562.594524409724</v>
      </c>
      <c r="K186" s="5">
        <v>44565.189048819448</v>
      </c>
      <c r="L186" s="5">
        <v>44565.783573229171</v>
      </c>
      <c r="M186">
        <f t="shared" si="5"/>
        <v>10029727278</v>
      </c>
      <c r="N186">
        <f ca="1">IF(M186&lt;&gt;M185,INDEX(CustInfo!$A$2:$A$1001,RANDBETWEEN(1,1000)),N185)</f>
        <v>11970</v>
      </c>
      <c r="O186" t="s">
        <v>1001</v>
      </c>
      <c r="P186">
        <v>52936320</v>
      </c>
    </row>
    <row r="187" spans="1:16" x14ac:dyDescent="0.35">
      <c r="A187">
        <v>93827212048</v>
      </c>
      <c r="C187" s="2" t="s">
        <v>883</v>
      </c>
      <c r="D187">
        <v>3</v>
      </c>
      <c r="E187">
        <v>76891213606</v>
      </c>
      <c r="F187">
        <f t="shared" ca="1" si="4"/>
        <v>69</v>
      </c>
      <c r="G187">
        <f ca="1">VLOOKUP(E187,PurchItem!$A$2:$H$508,8,0)</f>
        <v>2599.1188743033085</v>
      </c>
      <c r="H187">
        <v>0.05</v>
      </c>
      <c r="I187" t="s">
        <v>244</v>
      </c>
      <c r="J187" s="5">
        <v>45285.594524409724</v>
      </c>
      <c r="K187" s="5">
        <v>45289.189048819448</v>
      </c>
      <c r="L187" s="5">
        <v>45296.783573229171</v>
      </c>
      <c r="M187">
        <f t="shared" si="5"/>
        <v>10029727278</v>
      </c>
      <c r="N187">
        <f ca="1">IF(M187&lt;&gt;M186,INDEX(CustInfo!$A$2:$A$1001,RANDBETWEEN(1,1000)),N186)</f>
        <v>11970</v>
      </c>
      <c r="O187" t="s">
        <v>1001</v>
      </c>
      <c r="P187">
        <v>52936321</v>
      </c>
    </row>
    <row r="188" spans="1:16" x14ac:dyDescent="0.35">
      <c r="A188">
        <v>93827212048</v>
      </c>
      <c r="C188" s="2" t="s">
        <v>883</v>
      </c>
      <c r="D188">
        <v>4</v>
      </c>
      <c r="E188">
        <v>76891213186</v>
      </c>
      <c r="F188">
        <f t="shared" ca="1" si="4"/>
        <v>45</v>
      </c>
      <c r="G188">
        <f ca="1">VLOOKUP(E188,PurchItem!$A$2:$H$508,8,0)</f>
        <v>9814.0624540391254</v>
      </c>
      <c r="H188">
        <v>0.04</v>
      </c>
      <c r="I188" t="s">
        <v>244</v>
      </c>
      <c r="J188" s="5">
        <v>44810.594524409724</v>
      </c>
      <c r="K188" s="5">
        <v>44813.189048819448</v>
      </c>
      <c r="L188" s="5">
        <v>44821.783573229171</v>
      </c>
      <c r="M188">
        <f t="shared" si="5"/>
        <v>10029727278</v>
      </c>
      <c r="N188">
        <f ca="1">IF(M188&lt;&gt;M187,INDEX(CustInfo!$A$2:$A$1001,RANDBETWEEN(1,1000)),N187)</f>
        <v>11970</v>
      </c>
      <c r="O188" t="s">
        <v>1001</v>
      </c>
      <c r="P188">
        <v>52936322</v>
      </c>
    </row>
    <row r="189" spans="1:16" x14ac:dyDescent="0.35">
      <c r="A189">
        <v>93827212049</v>
      </c>
      <c r="C189" s="2" t="s">
        <v>883</v>
      </c>
      <c r="D189">
        <v>1</v>
      </c>
      <c r="E189">
        <v>76891213591</v>
      </c>
      <c r="F189">
        <f t="shared" ca="1" si="4"/>
        <v>94</v>
      </c>
      <c r="G189">
        <f ca="1">VLOOKUP(E189,PurchItem!$A$2:$H$508,8,0)</f>
        <v>6944.0526942245015</v>
      </c>
      <c r="H189">
        <v>0.04</v>
      </c>
      <c r="I189" t="s">
        <v>244</v>
      </c>
      <c r="J189" s="5">
        <v>45538.594524409724</v>
      </c>
      <c r="K189" s="5">
        <v>45541.189048819448</v>
      </c>
      <c r="L189" s="5">
        <v>45550.783573229171</v>
      </c>
      <c r="M189">
        <f t="shared" si="5"/>
        <v>10029727279</v>
      </c>
      <c r="N189">
        <f ca="1">IF(M189&lt;&gt;M188,INDEX(CustInfo!$A$2:$A$1001,RANDBETWEEN(1,1000)),N188)</f>
        <v>11571</v>
      </c>
      <c r="O189" t="s">
        <v>1002</v>
      </c>
      <c r="P189">
        <v>52936323</v>
      </c>
    </row>
    <row r="190" spans="1:16" x14ac:dyDescent="0.35">
      <c r="A190">
        <v>93827212049</v>
      </c>
      <c r="C190" s="2" t="s">
        <v>883</v>
      </c>
      <c r="D190">
        <v>2</v>
      </c>
      <c r="E190">
        <v>76891213488</v>
      </c>
      <c r="F190">
        <f t="shared" ca="1" si="4"/>
        <v>76</v>
      </c>
      <c r="G190">
        <f ca="1">VLOOKUP(E190,PurchItem!$A$2:$H$508,8,0)</f>
        <v>5393.4804222875409</v>
      </c>
      <c r="H190">
        <v>0.05</v>
      </c>
      <c r="I190" t="s">
        <v>244</v>
      </c>
      <c r="J190" s="5">
        <v>44634.594524409724</v>
      </c>
      <c r="K190" s="5">
        <v>44638.189048819448</v>
      </c>
      <c r="L190" s="5">
        <v>44640.783573229171</v>
      </c>
      <c r="M190">
        <f t="shared" si="5"/>
        <v>10029727279</v>
      </c>
      <c r="N190">
        <f ca="1">IF(M190&lt;&gt;M189,INDEX(CustInfo!$A$2:$A$1001,RANDBETWEEN(1,1000)),N189)</f>
        <v>11571</v>
      </c>
      <c r="O190" t="s">
        <v>1002</v>
      </c>
      <c r="P190">
        <v>52936324</v>
      </c>
    </row>
    <row r="191" spans="1:16" x14ac:dyDescent="0.35">
      <c r="A191">
        <v>93827212049</v>
      </c>
      <c r="C191" s="2" t="s">
        <v>883</v>
      </c>
      <c r="D191">
        <v>3</v>
      </c>
      <c r="E191">
        <v>76891213444</v>
      </c>
      <c r="F191">
        <f t="shared" ca="1" si="4"/>
        <v>37</v>
      </c>
      <c r="G191">
        <f ca="1">VLOOKUP(E191,PurchItem!$A$2:$H$508,8,0)</f>
        <v>3599.8456531871029</v>
      </c>
      <c r="H191">
        <v>0.04</v>
      </c>
      <c r="I191" t="s">
        <v>244</v>
      </c>
      <c r="J191" s="5">
        <v>44593.594524409724</v>
      </c>
      <c r="K191" s="5">
        <v>44594.189048819448</v>
      </c>
      <c r="L191" s="5">
        <v>44601.783573229171</v>
      </c>
      <c r="M191">
        <f t="shared" si="5"/>
        <v>10029727279</v>
      </c>
      <c r="N191">
        <f ca="1">IF(M191&lt;&gt;M190,INDEX(CustInfo!$A$2:$A$1001,RANDBETWEEN(1,1000)),N190)</f>
        <v>11571</v>
      </c>
      <c r="O191" t="s">
        <v>1002</v>
      </c>
      <c r="P191">
        <v>52936325</v>
      </c>
    </row>
    <row r="192" spans="1:16" x14ac:dyDescent="0.35">
      <c r="A192">
        <v>93827212050</v>
      </c>
      <c r="C192" s="2" t="s">
        <v>883</v>
      </c>
      <c r="D192">
        <v>1</v>
      </c>
      <c r="E192">
        <v>76891213432</v>
      </c>
      <c r="F192">
        <f t="shared" ca="1" si="4"/>
        <v>23</v>
      </c>
      <c r="G192">
        <f ca="1">VLOOKUP(E192,PurchItem!$A$2:$H$508,8,0)</f>
        <v>1008.1791642733751</v>
      </c>
      <c r="H192">
        <v>0.04</v>
      </c>
      <c r="I192" t="s">
        <v>244</v>
      </c>
      <c r="J192" s="5">
        <v>44619.594524409724</v>
      </c>
      <c r="K192" s="5">
        <v>44621.189048819448</v>
      </c>
      <c r="L192" s="5">
        <v>44626.783573229171</v>
      </c>
      <c r="M192">
        <f t="shared" si="5"/>
        <v>10029727280</v>
      </c>
      <c r="N192">
        <f ca="1">IF(M192&lt;&gt;M191,INDEX(CustInfo!$A$2:$A$1001,RANDBETWEEN(1,1000)),N191)</f>
        <v>11717</v>
      </c>
      <c r="O192" t="s">
        <v>1003</v>
      </c>
      <c r="P192">
        <v>52936326</v>
      </c>
    </row>
    <row r="193" spans="1:16" x14ac:dyDescent="0.35">
      <c r="A193">
        <v>93827212051</v>
      </c>
      <c r="C193" s="2" t="s">
        <v>883</v>
      </c>
      <c r="D193">
        <v>1</v>
      </c>
      <c r="E193">
        <v>76891213585</v>
      </c>
      <c r="F193">
        <f t="shared" ca="1" si="4"/>
        <v>62</v>
      </c>
      <c r="G193">
        <f ca="1">VLOOKUP(E193,PurchItem!$A$2:$H$508,8,0)</f>
        <v>7205.2405986070289</v>
      </c>
      <c r="H193">
        <v>0.05</v>
      </c>
      <c r="I193" t="s">
        <v>244</v>
      </c>
      <c r="J193" s="5">
        <v>45030.594524409724</v>
      </c>
      <c r="K193" s="5">
        <v>45034.189048819448</v>
      </c>
      <c r="L193" s="5">
        <v>45034.783573229171</v>
      </c>
      <c r="M193">
        <f t="shared" si="5"/>
        <v>10029727281</v>
      </c>
      <c r="N193">
        <f ca="1">IF(M193&lt;&gt;M192,INDEX(CustInfo!$A$2:$A$1001,RANDBETWEEN(1,1000)),N192)</f>
        <v>11333</v>
      </c>
      <c r="O193" t="s">
        <v>1001</v>
      </c>
      <c r="P193">
        <v>52936327</v>
      </c>
    </row>
    <row r="194" spans="1:16" x14ac:dyDescent="0.35">
      <c r="A194">
        <v>93827212051</v>
      </c>
      <c r="C194" s="2" t="s">
        <v>883</v>
      </c>
      <c r="D194">
        <v>2</v>
      </c>
      <c r="E194">
        <v>76891213512</v>
      </c>
      <c r="F194">
        <f t="shared" ca="1" si="4"/>
        <v>62</v>
      </c>
      <c r="G194">
        <f ca="1">VLOOKUP(E194,PurchItem!$A$2:$H$508,8,0)</f>
        <v>9875.6826871447392</v>
      </c>
      <c r="H194">
        <v>0.05</v>
      </c>
      <c r="I194" t="s">
        <v>244</v>
      </c>
      <c r="J194" s="5">
        <v>45115.594524409724</v>
      </c>
      <c r="K194" s="5">
        <v>45118.189048819448</v>
      </c>
      <c r="L194" s="5">
        <v>45127.783573229171</v>
      </c>
      <c r="M194">
        <f t="shared" si="5"/>
        <v>10029727281</v>
      </c>
      <c r="N194">
        <f ca="1">IF(M194&lt;&gt;M193,INDEX(CustInfo!$A$2:$A$1001,RANDBETWEEN(1,1000)),N193)</f>
        <v>11333</v>
      </c>
      <c r="O194" t="s">
        <v>1001</v>
      </c>
      <c r="P194">
        <v>52936328</v>
      </c>
    </row>
    <row r="195" spans="1:16" x14ac:dyDescent="0.35">
      <c r="A195">
        <v>93827212051</v>
      </c>
      <c r="C195" s="2" t="s">
        <v>883</v>
      </c>
      <c r="D195">
        <v>3</v>
      </c>
      <c r="E195">
        <v>76891213551</v>
      </c>
      <c r="F195">
        <f t="shared" ref="F195:F258" ca="1" si="6">RANDBETWEEN(1,100)</f>
        <v>89</v>
      </c>
      <c r="G195">
        <f ca="1">VLOOKUP(E195,PurchItem!$A$2:$H$508,8,0)</f>
        <v>8257.6439178880792</v>
      </c>
      <c r="H195">
        <v>0.05</v>
      </c>
      <c r="I195" t="s">
        <v>244</v>
      </c>
      <c r="J195" s="5">
        <v>44870.594524409724</v>
      </c>
      <c r="K195" s="5">
        <v>44873.189048819448</v>
      </c>
      <c r="L195" s="5">
        <v>44883.783573229171</v>
      </c>
      <c r="M195">
        <f t="shared" si="5"/>
        <v>10029727281</v>
      </c>
      <c r="N195">
        <f ca="1">IF(M195&lt;&gt;M194,INDEX(CustInfo!$A$2:$A$1001,RANDBETWEEN(1,1000)),N194)</f>
        <v>11333</v>
      </c>
      <c r="O195" t="s">
        <v>1001</v>
      </c>
      <c r="P195">
        <v>52936329</v>
      </c>
    </row>
    <row r="196" spans="1:16" x14ac:dyDescent="0.35">
      <c r="A196">
        <v>93827212052</v>
      </c>
      <c r="C196" s="2" t="s">
        <v>883</v>
      </c>
      <c r="D196">
        <v>1</v>
      </c>
      <c r="E196">
        <v>76891213492</v>
      </c>
      <c r="F196">
        <f t="shared" ca="1" si="6"/>
        <v>23</v>
      </c>
      <c r="G196">
        <f ca="1">VLOOKUP(E196,PurchItem!$A$2:$H$508,8,0)</f>
        <v>4212.9527121259771</v>
      </c>
      <c r="H196">
        <v>0.06</v>
      </c>
      <c r="I196" t="s">
        <v>244</v>
      </c>
      <c r="J196" s="5">
        <v>44601.594524409724</v>
      </c>
      <c r="K196" s="5">
        <v>44602.189048819448</v>
      </c>
      <c r="M196">
        <f t="shared" si="5"/>
        <v>10029727282</v>
      </c>
      <c r="N196">
        <f ca="1">IF(M196&lt;&gt;M195,INDEX(CustInfo!$A$2:$A$1001,RANDBETWEEN(1,1000)),N195)</f>
        <v>11201</v>
      </c>
      <c r="O196" t="s">
        <v>1003</v>
      </c>
      <c r="P196">
        <v>52936330</v>
      </c>
    </row>
    <row r="197" spans="1:16" x14ac:dyDescent="0.35">
      <c r="A197">
        <v>93827212052</v>
      </c>
      <c r="C197" s="2" t="s">
        <v>883</v>
      </c>
      <c r="D197">
        <v>2</v>
      </c>
      <c r="E197">
        <v>76891213169</v>
      </c>
      <c r="F197">
        <f t="shared" ca="1" si="6"/>
        <v>16</v>
      </c>
      <c r="G197">
        <f ca="1">VLOOKUP(E197,PurchItem!$A$2:$H$508,8,0)</f>
        <v>1750.9223085517885</v>
      </c>
      <c r="H197">
        <v>0.04</v>
      </c>
      <c r="I197" t="s">
        <v>244</v>
      </c>
      <c r="J197" s="5">
        <v>44933.594524409724</v>
      </c>
      <c r="K197" s="5">
        <v>44935.189048819448</v>
      </c>
      <c r="M197">
        <f t="shared" ref="M197:M260" si="7">IF(A197&lt;&gt;A196,M196+1,M196)</f>
        <v>10029727282</v>
      </c>
      <c r="N197">
        <f ca="1">IF(M197&lt;&gt;M196,INDEX(CustInfo!$A$2:$A$1001,RANDBETWEEN(1,1000)),N196)</f>
        <v>11201</v>
      </c>
      <c r="O197" t="s">
        <v>1003</v>
      </c>
      <c r="P197">
        <v>52936331</v>
      </c>
    </row>
    <row r="198" spans="1:16" x14ac:dyDescent="0.35">
      <c r="A198">
        <v>93827212053</v>
      </c>
      <c r="C198" s="2" t="s">
        <v>883</v>
      </c>
      <c r="D198">
        <v>1</v>
      </c>
      <c r="E198">
        <v>76891213578</v>
      </c>
      <c r="F198">
        <f t="shared" ca="1" si="6"/>
        <v>52</v>
      </c>
      <c r="G198">
        <f ca="1">VLOOKUP(E198,PurchItem!$A$2:$H$508,8,0)</f>
        <v>9231.1246594035256</v>
      </c>
      <c r="H198">
        <v>0.06</v>
      </c>
      <c r="I198" t="s">
        <v>244</v>
      </c>
      <c r="J198" s="5">
        <v>45524.594524409724</v>
      </c>
      <c r="K198" s="5">
        <v>45525.189048819448</v>
      </c>
      <c r="M198">
        <f t="shared" si="7"/>
        <v>10029727283</v>
      </c>
      <c r="N198">
        <f ca="1">IF(M198&lt;&gt;M197,INDEX(CustInfo!$A$2:$A$1001,RANDBETWEEN(1,1000)),N197)</f>
        <v>11977</v>
      </c>
      <c r="O198" t="s">
        <v>1003</v>
      </c>
      <c r="P198">
        <v>52936332</v>
      </c>
    </row>
    <row r="199" spans="1:16" x14ac:dyDescent="0.35">
      <c r="A199">
        <v>93827212053</v>
      </c>
      <c r="C199" s="2" t="s">
        <v>883</v>
      </c>
      <c r="D199">
        <v>2</v>
      </c>
      <c r="E199">
        <v>76891213245</v>
      </c>
      <c r="F199">
        <f t="shared" ca="1" si="6"/>
        <v>1</v>
      </c>
      <c r="G199">
        <f ca="1">VLOOKUP(E199,PurchItem!$A$2:$H$508,8,0)</f>
        <v>4529.342003374114</v>
      </c>
      <c r="H199">
        <v>0.04</v>
      </c>
      <c r="I199" t="s">
        <v>244</v>
      </c>
      <c r="J199" s="5">
        <v>45282.594524409724</v>
      </c>
      <c r="K199" s="5">
        <v>45283.189048819448</v>
      </c>
      <c r="M199">
        <f t="shared" si="7"/>
        <v>10029727283</v>
      </c>
      <c r="N199">
        <f ca="1">IF(M199&lt;&gt;M198,INDEX(CustInfo!$A$2:$A$1001,RANDBETWEEN(1,1000)),N198)</f>
        <v>11977</v>
      </c>
      <c r="O199" t="s">
        <v>1003</v>
      </c>
      <c r="P199">
        <v>52936333</v>
      </c>
    </row>
    <row r="200" spans="1:16" x14ac:dyDescent="0.35">
      <c r="A200">
        <v>93827212053</v>
      </c>
      <c r="C200" s="2" t="s">
        <v>883</v>
      </c>
      <c r="D200">
        <v>3</v>
      </c>
      <c r="E200">
        <v>76891213593</v>
      </c>
      <c r="F200">
        <f t="shared" ca="1" si="6"/>
        <v>45</v>
      </c>
      <c r="G200">
        <f ca="1">VLOOKUP(E200,PurchItem!$A$2:$H$508,8,0)</f>
        <v>2737.5203426229455</v>
      </c>
      <c r="H200">
        <v>0.04</v>
      </c>
      <c r="I200" t="s">
        <v>244</v>
      </c>
      <c r="J200" s="5">
        <v>44715.594524409724</v>
      </c>
      <c r="K200" s="5">
        <v>44719.189048819448</v>
      </c>
      <c r="M200">
        <f t="shared" si="7"/>
        <v>10029727283</v>
      </c>
      <c r="N200">
        <f ca="1">IF(M200&lt;&gt;M199,INDEX(CustInfo!$A$2:$A$1001,RANDBETWEEN(1,1000)),N199)</f>
        <v>11977</v>
      </c>
      <c r="O200" t="s">
        <v>1003</v>
      </c>
      <c r="P200">
        <v>52936334</v>
      </c>
    </row>
    <row r="201" spans="1:16" x14ac:dyDescent="0.35">
      <c r="A201">
        <v>93827212054</v>
      </c>
      <c r="C201" s="2" t="s">
        <v>883</v>
      </c>
      <c r="D201">
        <v>1</v>
      </c>
      <c r="E201">
        <v>76891213449</v>
      </c>
      <c r="F201">
        <f t="shared" ca="1" si="6"/>
        <v>67</v>
      </c>
      <c r="G201">
        <f ca="1">VLOOKUP(E201,PurchItem!$A$2:$H$508,8,0)</f>
        <v>8466.7708817939128</v>
      </c>
      <c r="H201">
        <v>0.04</v>
      </c>
      <c r="I201" t="s">
        <v>244</v>
      </c>
      <c r="J201" s="5">
        <v>44983.594524409724</v>
      </c>
      <c r="K201" s="5">
        <v>44986.189048819448</v>
      </c>
      <c r="M201">
        <f t="shared" si="7"/>
        <v>10029727284</v>
      </c>
      <c r="N201">
        <f ca="1">IF(M201&lt;&gt;M200,INDEX(CustInfo!$A$2:$A$1001,RANDBETWEEN(1,1000)),N200)</f>
        <v>11712</v>
      </c>
      <c r="O201" t="s">
        <v>1001</v>
      </c>
      <c r="P201">
        <v>52936335</v>
      </c>
    </row>
    <row r="202" spans="1:16" x14ac:dyDescent="0.35">
      <c r="A202">
        <v>93827212054</v>
      </c>
      <c r="C202" s="2" t="s">
        <v>883</v>
      </c>
      <c r="D202">
        <v>2</v>
      </c>
      <c r="E202">
        <v>76891213232</v>
      </c>
      <c r="F202">
        <f t="shared" ca="1" si="6"/>
        <v>7</v>
      </c>
      <c r="G202">
        <f ca="1">VLOOKUP(E202,PurchItem!$A$2:$H$508,8,0)</f>
        <v>8714.7937057341314</v>
      </c>
      <c r="H202">
        <v>0.06</v>
      </c>
      <c r="I202" t="s">
        <v>244</v>
      </c>
      <c r="J202" s="5">
        <v>45193.594524409724</v>
      </c>
      <c r="K202" s="5">
        <v>45195.189048819448</v>
      </c>
      <c r="M202">
        <f t="shared" si="7"/>
        <v>10029727284</v>
      </c>
      <c r="N202">
        <f ca="1">IF(M202&lt;&gt;M201,INDEX(CustInfo!$A$2:$A$1001,RANDBETWEEN(1,1000)),N201)</f>
        <v>11712</v>
      </c>
      <c r="O202" t="s">
        <v>1001</v>
      </c>
      <c r="P202">
        <v>52936336</v>
      </c>
    </row>
    <row r="203" spans="1:16" x14ac:dyDescent="0.35">
      <c r="A203">
        <v>93827212054</v>
      </c>
      <c r="C203" s="2" t="s">
        <v>883</v>
      </c>
      <c r="D203">
        <v>3</v>
      </c>
      <c r="E203">
        <v>76891213469</v>
      </c>
      <c r="F203">
        <f t="shared" ca="1" si="6"/>
        <v>83</v>
      </c>
      <c r="G203">
        <f ca="1">VLOOKUP(E203,PurchItem!$A$2:$H$508,8,0)</f>
        <v>3640.4377524868119</v>
      </c>
      <c r="H203">
        <v>0.05</v>
      </c>
      <c r="I203" t="s">
        <v>244</v>
      </c>
      <c r="J203" s="5">
        <v>44916.594524409724</v>
      </c>
      <c r="K203" s="5">
        <v>44920.189048819448</v>
      </c>
      <c r="M203">
        <f t="shared" si="7"/>
        <v>10029727284</v>
      </c>
      <c r="N203">
        <f ca="1">IF(M203&lt;&gt;M202,INDEX(CustInfo!$A$2:$A$1001,RANDBETWEEN(1,1000)),N202)</f>
        <v>11712</v>
      </c>
      <c r="O203" t="s">
        <v>1001</v>
      </c>
      <c r="P203">
        <v>52936337</v>
      </c>
    </row>
    <row r="204" spans="1:16" x14ac:dyDescent="0.35">
      <c r="A204">
        <v>93827212055</v>
      </c>
      <c r="C204" s="2" t="s">
        <v>883</v>
      </c>
      <c r="D204">
        <v>1</v>
      </c>
      <c r="E204">
        <v>76891213223</v>
      </c>
      <c r="F204">
        <f t="shared" ca="1" si="6"/>
        <v>91</v>
      </c>
      <c r="G204">
        <f ca="1">VLOOKUP(E204,PurchItem!$A$2:$H$508,8,0)</f>
        <v>9143.6020748149404</v>
      </c>
      <c r="H204">
        <v>0.05</v>
      </c>
      <c r="I204" t="s">
        <v>244</v>
      </c>
      <c r="J204" s="5">
        <v>44860.594524409724</v>
      </c>
      <c r="K204" s="5">
        <v>44863.189048819448</v>
      </c>
      <c r="M204">
        <f t="shared" si="7"/>
        <v>10029727285</v>
      </c>
      <c r="N204">
        <f ca="1">IF(M204&lt;&gt;M203,INDEX(CustInfo!$A$2:$A$1001,RANDBETWEEN(1,1000)),N203)</f>
        <v>11757</v>
      </c>
      <c r="O204" t="s">
        <v>1002</v>
      </c>
      <c r="P204">
        <v>52936338</v>
      </c>
    </row>
    <row r="205" spans="1:16" x14ac:dyDescent="0.35">
      <c r="A205">
        <v>93827212055</v>
      </c>
      <c r="C205" s="2" t="s">
        <v>883</v>
      </c>
      <c r="D205">
        <v>2</v>
      </c>
      <c r="E205">
        <v>76891213572</v>
      </c>
      <c r="F205">
        <f t="shared" ca="1" si="6"/>
        <v>8</v>
      </c>
      <c r="G205">
        <f ca="1">VLOOKUP(E205,PurchItem!$A$2:$H$508,8,0)</f>
        <v>8369.1775258535399</v>
      </c>
      <c r="H205">
        <v>0.05</v>
      </c>
      <c r="I205" t="s">
        <v>244</v>
      </c>
      <c r="J205" s="5">
        <v>45302.594524409724</v>
      </c>
      <c r="K205" s="5">
        <v>45304.189048819448</v>
      </c>
      <c r="M205">
        <f t="shared" si="7"/>
        <v>10029727285</v>
      </c>
      <c r="N205">
        <f ca="1">IF(M205&lt;&gt;M204,INDEX(CustInfo!$A$2:$A$1001,RANDBETWEEN(1,1000)),N204)</f>
        <v>11757</v>
      </c>
      <c r="O205" t="s">
        <v>1002</v>
      </c>
      <c r="P205">
        <v>52936339</v>
      </c>
    </row>
    <row r="206" spans="1:16" x14ac:dyDescent="0.35">
      <c r="A206">
        <v>93827212055</v>
      </c>
      <c r="C206" s="2" t="s">
        <v>883</v>
      </c>
      <c r="D206">
        <v>3</v>
      </c>
      <c r="E206">
        <v>76891213327</v>
      </c>
      <c r="F206">
        <f t="shared" ca="1" si="6"/>
        <v>96</v>
      </c>
      <c r="G206">
        <f ca="1">VLOOKUP(E206,PurchItem!$A$2:$H$508,8,0)</f>
        <v>2188.043722839745</v>
      </c>
      <c r="H206">
        <v>0.06</v>
      </c>
      <c r="I206" t="s">
        <v>244</v>
      </c>
      <c r="J206" s="5">
        <v>44900.594524409724</v>
      </c>
      <c r="K206" s="5">
        <v>44903.189048819448</v>
      </c>
      <c r="M206">
        <f t="shared" si="7"/>
        <v>10029727285</v>
      </c>
      <c r="N206">
        <f ca="1">IF(M206&lt;&gt;M205,INDEX(CustInfo!$A$2:$A$1001,RANDBETWEEN(1,1000)),N205)</f>
        <v>11757</v>
      </c>
      <c r="O206" t="s">
        <v>1002</v>
      </c>
      <c r="P206">
        <v>52936340</v>
      </c>
    </row>
    <row r="207" spans="1:16" x14ac:dyDescent="0.35">
      <c r="A207">
        <v>93827212056</v>
      </c>
      <c r="C207" s="2" t="s">
        <v>883</v>
      </c>
      <c r="D207">
        <v>1</v>
      </c>
      <c r="E207">
        <v>76891213454</v>
      </c>
      <c r="F207">
        <f t="shared" ca="1" si="6"/>
        <v>50</v>
      </c>
      <c r="G207">
        <f ca="1">VLOOKUP(E207,PurchItem!$A$2:$H$508,8,0)</f>
        <v>9734.0214996119394</v>
      </c>
      <c r="H207">
        <v>0.06</v>
      </c>
      <c r="I207" t="s">
        <v>244</v>
      </c>
      <c r="J207" s="5">
        <v>44643.594524409724</v>
      </c>
      <c r="K207" s="5">
        <v>44646.189048819448</v>
      </c>
      <c r="M207">
        <f t="shared" si="7"/>
        <v>10029727286</v>
      </c>
      <c r="N207">
        <f ca="1">IF(M207&lt;&gt;M206,INDEX(CustInfo!$A$2:$A$1001,RANDBETWEEN(1,1000)),N206)</f>
        <v>11914</v>
      </c>
      <c r="O207" t="s">
        <v>1001</v>
      </c>
      <c r="P207">
        <v>52936341</v>
      </c>
    </row>
    <row r="208" spans="1:16" x14ac:dyDescent="0.35">
      <c r="A208">
        <v>93827212056</v>
      </c>
      <c r="C208" s="2" t="s">
        <v>883</v>
      </c>
      <c r="D208">
        <v>2</v>
      </c>
      <c r="E208">
        <v>76891213326</v>
      </c>
      <c r="F208">
        <f t="shared" ca="1" si="6"/>
        <v>35</v>
      </c>
      <c r="G208">
        <f ca="1">VLOOKUP(E208,PurchItem!$A$2:$H$508,8,0)</f>
        <v>8893.450961561346</v>
      </c>
      <c r="H208">
        <v>0.05</v>
      </c>
      <c r="I208" t="s">
        <v>244</v>
      </c>
      <c r="J208" s="5">
        <v>45037.594524409724</v>
      </c>
      <c r="K208" s="5">
        <v>45041.189048819448</v>
      </c>
      <c r="M208">
        <f t="shared" si="7"/>
        <v>10029727286</v>
      </c>
      <c r="N208">
        <f ca="1">IF(M208&lt;&gt;M207,INDEX(CustInfo!$A$2:$A$1001,RANDBETWEEN(1,1000)),N207)</f>
        <v>11914</v>
      </c>
      <c r="O208" t="s">
        <v>1001</v>
      </c>
      <c r="P208">
        <v>52936342</v>
      </c>
    </row>
    <row r="209" spans="1:16" x14ac:dyDescent="0.35">
      <c r="A209">
        <v>93827212056</v>
      </c>
      <c r="C209" s="2" t="s">
        <v>883</v>
      </c>
      <c r="D209">
        <v>3</v>
      </c>
      <c r="E209">
        <v>76891213612</v>
      </c>
      <c r="F209">
        <f t="shared" ca="1" si="6"/>
        <v>66</v>
      </c>
      <c r="G209">
        <f ca="1">VLOOKUP(E209,PurchItem!$A$2:$H$508,8,0)</f>
        <v>7526.7928414753633</v>
      </c>
      <c r="H209">
        <v>0.04</v>
      </c>
      <c r="I209" t="s">
        <v>244</v>
      </c>
      <c r="J209" s="5">
        <v>44675.594524409724</v>
      </c>
      <c r="K209" s="5">
        <v>44678.189048819448</v>
      </c>
      <c r="M209">
        <f t="shared" si="7"/>
        <v>10029727286</v>
      </c>
      <c r="N209">
        <f ca="1">IF(M209&lt;&gt;M208,INDEX(CustInfo!$A$2:$A$1001,RANDBETWEEN(1,1000)),N208)</f>
        <v>11914</v>
      </c>
      <c r="O209" t="s">
        <v>1001</v>
      </c>
      <c r="P209">
        <v>52936343</v>
      </c>
    </row>
    <row r="210" spans="1:16" x14ac:dyDescent="0.35">
      <c r="A210">
        <v>93827212056</v>
      </c>
      <c r="C210" s="2" t="s">
        <v>883</v>
      </c>
      <c r="D210">
        <v>4</v>
      </c>
      <c r="E210">
        <v>76891213437</v>
      </c>
      <c r="F210">
        <f t="shared" ca="1" si="6"/>
        <v>96</v>
      </c>
      <c r="G210">
        <f ca="1">VLOOKUP(E210,PurchItem!$A$2:$H$508,8,0)</f>
        <v>8431.2390871264779</v>
      </c>
      <c r="H210">
        <v>0.06</v>
      </c>
      <c r="I210" t="s">
        <v>244</v>
      </c>
      <c r="J210" s="5">
        <v>45258.594524409724</v>
      </c>
      <c r="K210" s="5">
        <v>45260.189048819448</v>
      </c>
      <c r="M210">
        <f t="shared" si="7"/>
        <v>10029727286</v>
      </c>
      <c r="N210">
        <f ca="1">IF(M210&lt;&gt;M209,INDEX(CustInfo!$A$2:$A$1001,RANDBETWEEN(1,1000)),N209)</f>
        <v>11914</v>
      </c>
      <c r="O210" t="s">
        <v>1001</v>
      </c>
      <c r="P210">
        <v>52936344</v>
      </c>
    </row>
    <row r="211" spans="1:16" x14ac:dyDescent="0.35">
      <c r="A211">
        <v>93827212057</v>
      </c>
      <c r="C211" s="2" t="s">
        <v>883</v>
      </c>
      <c r="D211">
        <v>1</v>
      </c>
      <c r="E211">
        <v>76891213193</v>
      </c>
      <c r="F211">
        <f t="shared" ca="1" si="6"/>
        <v>28</v>
      </c>
      <c r="G211">
        <f ca="1">VLOOKUP(E211,PurchItem!$A$2:$H$508,8,0)</f>
        <v>6207.5236658812264</v>
      </c>
      <c r="H211">
        <v>0.05</v>
      </c>
      <c r="I211" t="s">
        <v>244</v>
      </c>
      <c r="J211" s="5">
        <v>44574.594524409724</v>
      </c>
      <c r="K211" s="5">
        <v>44578.189048819448</v>
      </c>
      <c r="M211">
        <f t="shared" si="7"/>
        <v>10029727287</v>
      </c>
      <c r="N211">
        <f ca="1">IF(M211&lt;&gt;M210,INDEX(CustInfo!$A$2:$A$1001,RANDBETWEEN(1,1000)),N210)</f>
        <v>11578</v>
      </c>
      <c r="O211" t="s">
        <v>1002</v>
      </c>
      <c r="P211">
        <v>52936345</v>
      </c>
    </row>
    <row r="212" spans="1:16" x14ac:dyDescent="0.35">
      <c r="A212">
        <v>93827212058</v>
      </c>
      <c r="C212" s="2" t="s">
        <v>883</v>
      </c>
      <c r="D212">
        <v>1</v>
      </c>
      <c r="E212">
        <v>76891213641</v>
      </c>
      <c r="F212">
        <f t="shared" ca="1" si="6"/>
        <v>3</v>
      </c>
      <c r="G212">
        <f ca="1">VLOOKUP(E212,PurchItem!$A$2:$H$508,8,0)</f>
        <v>5514.86649240525</v>
      </c>
      <c r="H212">
        <v>0.04</v>
      </c>
      <c r="I212" t="s">
        <v>244</v>
      </c>
      <c r="J212" s="5">
        <v>44983.594524409724</v>
      </c>
      <c r="K212" s="5">
        <v>44987.189048819448</v>
      </c>
      <c r="M212">
        <f t="shared" si="7"/>
        <v>10029727288</v>
      </c>
      <c r="N212">
        <f ca="1">IF(M212&lt;&gt;M211,INDEX(CustInfo!$A$2:$A$1001,RANDBETWEEN(1,1000)),N211)</f>
        <v>11793</v>
      </c>
      <c r="O212" t="s">
        <v>1002</v>
      </c>
      <c r="P212">
        <v>52936346</v>
      </c>
    </row>
    <row r="213" spans="1:16" x14ac:dyDescent="0.35">
      <c r="A213">
        <v>93827212058</v>
      </c>
      <c r="C213" s="2" t="s">
        <v>883</v>
      </c>
      <c r="D213">
        <v>2</v>
      </c>
      <c r="E213">
        <v>76891213568</v>
      </c>
      <c r="F213">
        <f t="shared" ca="1" si="6"/>
        <v>75</v>
      </c>
      <c r="G213">
        <f ca="1">VLOOKUP(E213,PurchItem!$A$2:$H$508,8,0)</f>
        <v>7832.221940741756</v>
      </c>
      <c r="H213">
        <v>0.04</v>
      </c>
      <c r="I213" t="s">
        <v>244</v>
      </c>
      <c r="J213" s="5">
        <v>45473.594524409724</v>
      </c>
      <c r="K213" s="5">
        <v>45477.189048819448</v>
      </c>
      <c r="M213">
        <f t="shared" si="7"/>
        <v>10029727288</v>
      </c>
      <c r="N213">
        <f ca="1">IF(M213&lt;&gt;M212,INDEX(CustInfo!$A$2:$A$1001,RANDBETWEEN(1,1000)),N212)</f>
        <v>11793</v>
      </c>
      <c r="O213" t="s">
        <v>1002</v>
      </c>
      <c r="P213">
        <v>52936347</v>
      </c>
    </row>
    <row r="214" spans="1:16" x14ac:dyDescent="0.35">
      <c r="A214">
        <v>93827212059</v>
      </c>
      <c r="C214" s="2" t="s">
        <v>883</v>
      </c>
      <c r="D214">
        <v>1</v>
      </c>
      <c r="E214">
        <v>76891213230</v>
      </c>
      <c r="F214">
        <f t="shared" ca="1" si="6"/>
        <v>96</v>
      </c>
      <c r="G214">
        <f ca="1">VLOOKUP(E214,PurchItem!$A$2:$H$508,8,0)</f>
        <v>3755.1895040007321</v>
      </c>
      <c r="H214">
        <v>0.05</v>
      </c>
      <c r="I214" t="s">
        <v>244</v>
      </c>
      <c r="J214" s="5">
        <v>44581.594524409724</v>
      </c>
      <c r="K214" s="5">
        <v>44583.189048819448</v>
      </c>
      <c r="M214">
        <f t="shared" si="7"/>
        <v>10029727289</v>
      </c>
      <c r="N214">
        <f ca="1">IF(M214&lt;&gt;M213,INDEX(CustInfo!$A$2:$A$1001,RANDBETWEEN(1,1000)),N213)</f>
        <v>11209</v>
      </c>
      <c r="O214" t="s">
        <v>1001</v>
      </c>
      <c r="P214">
        <v>52936348</v>
      </c>
    </row>
    <row r="215" spans="1:16" x14ac:dyDescent="0.35">
      <c r="A215">
        <v>93827212059</v>
      </c>
      <c r="C215" s="2" t="s">
        <v>883</v>
      </c>
      <c r="D215">
        <v>2</v>
      </c>
      <c r="E215">
        <v>76891213251</v>
      </c>
      <c r="F215">
        <f t="shared" ca="1" si="6"/>
        <v>86</v>
      </c>
      <c r="G215">
        <f ca="1">VLOOKUP(E215,PurchItem!$A$2:$H$508,8,0)</f>
        <v>1404.0728362642287</v>
      </c>
      <c r="H215">
        <v>0.06</v>
      </c>
      <c r="I215" t="s">
        <v>244</v>
      </c>
      <c r="J215" s="5">
        <v>45270.594524409724</v>
      </c>
      <c r="K215" s="5">
        <v>45273.189048819448</v>
      </c>
      <c r="M215">
        <f t="shared" si="7"/>
        <v>10029727289</v>
      </c>
      <c r="N215">
        <f ca="1">IF(M215&lt;&gt;M214,INDEX(CustInfo!$A$2:$A$1001,RANDBETWEEN(1,1000)),N214)</f>
        <v>11209</v>
      </c>
      <c r="O215" t="s">
        <v>1001</v>
      </c>
      <c r="P215">
        <v>52936349</v>
      </c>
    </row>
    <row r="216" spans="1:16" x14ac:dyDescent="0.35">
      <c r="A216">
        <v>93827212060</v>
      </c>
      <c r="C216" s="2" t="s">
        <v>883</v>
      </c>
      <c r="D216">
        <v>1</v>
      </c>
      <c r="E216">
        <v>76891213409</v>
      </c>
      <c r="F216">
        <f t="shared" ca="1" si="6"/>
        <v>58</v>
      </c>
      <c r="G216">
        <f ca="1">VLOOKUP(E216,PurchItem!$A$2:$H$508,8,0)</f>
        <v>2712.1982659831201</v>
      </c>
      <c r="H216">
        <v>0.05</v>
      </c>
      <c r="I216" t="s">
        <v>244</v>
      </c>
      <c r="J216" s="5">
        <v>45021.594524409724</v>
      </c>
      <c r="K216" s="5">
        <v>45024.189048819448</v>
      </c>
      <c r="M216">
        <f t="shared" si="7"/>
        <v>10029727290</v>
      </c>
      <c r="N216">
        <f ca="1">IF(M216&lt;&gt;M215,INDEX(CustInfo!$A$2:$A$1001,RANDBETWEEN(1,1000)),N215)</f>
        <v>11698</v>
      </c>
      <c r="O216" t="s">
        <v>1003</v>
      </c>
      <c r="P216">
        <v>52936350</v>
      </c>
    </row>
    <row r="217" spans="1:16" x14ac:dyDescent="0.35">
      <c r="A217">
        <v>93827212060</v>
      </c>
      <c r="C217" s="2" t="s">
        <v>883</v>
      </c>
      <c r="D217">
        <v>2</v>
      </c>
      <c r="E217">
        <v>76891213476</v>
      </c>
      <c r="F217">
        <f t="shared" ca="1" si="6"/>
        <v>49</v>
      </c>
      <c r="G217">
        <f ca="1">VLOOKUP(E217,PurchItem!$A$2:$H$508,8,0)</f>
        <v>9770.3876233997762</v>
      </c>
      <c r="H217">
        <v>0.05</v>
      </c>
      <c r="I217" t="s">
        <v>244</v>
      </c>
      <c r="J217" s="5">
        <v>45272.594524409724</v>
      </c>
      <c r="K217" s="5">
        <v>45276.189048819448</v>
      </c>
      <c r="M217">
        <f t="shared" si="7"/>
        <v>10029727290</v>
      </c>
      <c r="N217">
        <f ca="1">IF(M217&lt;&gt;M216,INDEX(CustInfo!$A$2:$A$1001,RANDBETWEEN(1,1000)),N216)</f>
        <v>11698</v>
      </c>
      <c r="O217" t="s">
        <v>1003</v>
      </c>
      <c r="P217">
        <v>52936351</v>
      </c>
    </row>
    <row r="218" spans="1:16" x14ac:dyDescent="0.35">
      <c r="A218">
        <v>93827212061</v>
      </c>
      <c r="C218" s="2" t="s">
        <v>883</v>
      </c>
      <c r="D218">
        <v>1</v>
      </c>
      <c r="E218">
        <v>76891213291</v>
      </c>
      <c r="F218">
        <f t="shared" ca="1" si="6"/>
        <v>27</v>
      </c>
      <c r="G218">
        <f ca="1">VLOOKUP(E218,PurchItem!$A$2:$H$508,8,0)</f>
        <v>8661.3541584480317</v>
      </c>
      <c r="H218">
        <v>0.04</v>
      </c>
      <c r="I218" t="s">
        <v>244</v>
      </c>
      <c r="J218" s="5">
        <v>45588.594524409724</v>
      </c>
      <c r="K218" s="5">
        <v>45589.189048819448</v>
      </c>
      <c r="M218">
        <f t="shared" si="7"/>
        <v>10029727291</v>
      </c>
      <c r="N218">
        <f ca="1">IF(M218&lt;&gt;M217,INDEX(CustInfo!$A$2:$A$1001,RANDBETWEEN(1,1000)),N217)</f>
        <v>11402</v>
      </c>
      <c r="O218" t="s">
        <v>1001</v>
      </c>
      <c r="P218">
        <v>52936352</v>
      </c>
    </row>
    <row r="219" spans="1:16" x14ac:dyDescent="0.35">
      <c r="A219">
        <v>93827212061</v>
      </c>
      <c r="C219" s="2" t="s">
        <v>883</v>
      </c>
      <c r="D219">
        <v>2</v>
      </c>
      <c r="E219">
        <v>76891213201</v>
      </c>
      <c r="F219">
        <f t="shared" ca="1" si="6"/>
        <v>4</v>
      </c>
      <c r="G219">
        <f ca="1">VLOOKUP(E219,PurchItem!$A$2:$H$508,8,0)</f>
        <v>6682.2142517924858</v>
      </c>
      <c r="H219">
        <v>0.04</v>
      </c>
      <c r="I219" t="s">
        <v>244</v>
      </c>
      <c r="J219" s="5">
        <v>45390.594524409724</v>
      </c>
      <c r="K219" s="5">
        <v>45392.189048819448</v>
      </c>
      <c r="M219">
        <f t="shared" si="7"/>
        <v>10029727291</v>
      </c>
      <c r="N219">
        <f ca="1">IF(M219&lt;&gt;M218,INDEX(CustInfo!$A$2:$A$1001,RANDBETWEEN(1,1000)),N218)</f>
        <v>11402</v>
      </c>
      <c r="O219" t="s">
        <v>1001</v>
      </c>
      <c r="P219">
        <v>52936353</v>
      </c>
    </row>
    <row r="220" spans="1:16" x14ac:dyDescent="0.35">
      <c r="A220">
        <v>93827212061</v>
      </c>
      <c r="C220" s="2" t="s">
        <v>883</v>
      </c>
      <c r="D220">
        <v>3</v>
      </c>
      <c r="E220">
        <v>76891213396</v>
      </c>
      <c r="F220">
        <f t="shared" ca="1" si="6"/>
        <v>62</v>
      </c>
      <c r="G220">
        <f ca="1">VLOOKUP(E220,PurchItem!$A$2:$H$508,8,0)</f>
        <v>6179.0713956087257</v>
      </c>
      <c r="H220">
        <v>0.04</v>
      </c>
      <c r="I220" t="s">
        <v>244</v>
      </c>
      <c r="J220" s="5">
        <v>44750.594524409724</v>
      </c>
      <c r="K220" s="5">
        <v>44751.189048819448</v>
      </c>
      <c r="M220">
        <f t="shared" si="7"/>
        <v>10029727291</v>
      </c>
      <c r="N220">
        <f ca="1">IF(M220&lt;&gt;M219,INDEX(CustInfo!$A$2:$A$1001,RANDBETWEEN(1,1000)),N219)</f>
        <v>11402</v>
      </c>
      <c r="O220" t="s">
        <v>1001</v>
      </c>
      <c r="P220">
        <v>52936354</v>
      </c>
    </row>
    <row r="221" spans="1:16" x14ac:dyDescent="0.35">
      <c r="A221">
        <v>93827212062</v>
      </c>
      <c r="C221" s="2" t="s">
        <v>883</v>
      </c>
      <c r="D221">
        <v>1</v>
      </c>
      <c r="E221">
        <v>76891213434</v>
      </c>
      <c r="F221">
        <f t="shared" ca="1" si="6"/>
        <v>37</v>
      </c>
      <c r="G221">
        <f ca="1">VLOOKUP(E221,PurchItem!$A$2:$H$508,8,0)</f>
        <v>1035.2793986688564</v>
      </c>
      <c r="H221">
        <v>0.06</v>
      </c>
      <c r="I221" t="s">
        <v>244</v>
      </c>
      <c r="J221" s="5">
        <v>44693.594524409724</v>
      </c>
      <c r="K221" s="5">
        <v>44694.189048819448</v>
      </c>
      <c r="M221">
        <f t="shared" si="7"/>
        <v>10029727292</v>
      </c>
      <c r="N221">
        <f ca="1">IF(M221&lt;&gt;M220,INDEX(CustInfo!$A$2:$A$1001,RANDBETWEEN(1,1000)),N220)</f>
        <v>11009</v>
      </c>
      <c r="O221" t="s">
        <v>1003</v>
      </c>
      <c r="P221">
        <v>52936355</v>
      </c>
    </row>
    <row r="222" spans="1:16" x14ac:dyDescent="0.35">
      <c r="A222">
        <v>93827212062</v>
      </c>
      <c r="C222" s="2" t="s">
        <v>883</v>
      </c>
      <c r="D222">
        <v>2</v>
      </c>
      <c r="E222">
        <v>76891213586</v>
      </c>
      <c r="F222">
        <f t="shared" ca="1" si="6"/>
        <v>19</v>
      </c>
      <c r="G222">
        <f ca="1">VLOOKUP(E222,PurchItem!$A$2:$H$508,8,0)</f>
        <v>8795.5935082912856</v>
      </c>
      <c r="H222">
        <v>0.05</v>
      </c>
      <c r="I222" t="s">
        <v>244</v>
      </c>
      <c r="J222" s="5">
        <v>44659.594524409724</v>
      </c>
      <c r="K222" s="5">
        <v>44663.189048819448</v>
      </c>
      <c r="M222">
        <f t="shared" si="7"/>
        <v>10029727292</v>
      </c>
      <c r="N222">
        <f ca="1">IF(M222&lt;&gt;M221,INDEX(CustInfo!$A$2:$A$1001,RANDBETWEEN(1,1000)),N221)</f>
        <v>11009</v>
      </c>
      <c r="O222" t="s">
        <v>1003</v>
      </c>
      <c r="P222">
        <v>52936356</v>
      </c>
    </row>
    <row r="223" spans="1:16" x14ac:dyDescent="0.35">
      <c r="A223">
        <v>93827212062</v>
      </c>
      <c r="C223" s="2" t="s">
        <v>883</v>
      </c>
      <c r="D223">
        <v>3</v>
      </c>
      <c r="E223">
        <v>76891213162</v>
      </c>
      <c r="F223">
        <f t="shared" ca="1" si="6"/>
        <v>74</v>
      </c>
      <c r="G223">
        <f ca="1">VLOOKUP(E223,PurchItem!$A$2:$H$508,8,0)</f>
        <v>4691.9230552298568</v>
      </c>
      <c r="H223">
        <v>0.04</v>
      </c>
      <c r="I223" t="s">
        <v>244</v>
      </c>
      <c r="J223" s="5">
        <v>44668.594524409724</v>
      </c>
      <c r="K223" s="5">
        <v>44670.189048819448</v>
      </c>
      <c r="M223">
        <f t="shared" si="7"/>
        <v>10029727292</v>
      </c>
      <c r="N223">
        <f ca="1">IF(M223&lt;&gt;M222,INDEX(CustInfo!$A$2:$A$1001,RANDBETWEEN(1,1000)),N222)</f>
        <v>11009</v>
      </c>
      <c r="O223" t="s">
        <v>1003</v>
      </c>
      <c r="P223">
        <v>52936357</v>
      </c>
    </row>
    <row r="224" spans="1:16" x14ac:dyDescent="0.35">
      <c r="A224">
        <v>93827212062</v>
      </c>
      <c r="C224" s="2" t="s">
        <v>883</v>
      </c>
      <c r="D224">
        <v>4</v>
      </c>
      <c r="E224">
        <v>76891213561</v>
      </c>
      <c r="F224">
        <f t="shared" ca="1" si="6"/>
        <v>51</v>
      </c>
      <c r="G224">
        <f ca="1">VLOOKUP(E224,PurchItem!$A$2:$H$508,8,0)</f>
        <v>4135.0778560905919</v>
      </c>
      <c r="H224">
        <v>0.06</v>
      </c>
      <c r="I224" t="s">
        <v>244</v>
      </c>
      <c r="J224" s="5">
        <v>44841.594524409724</v>
      </c>
      <c r="K224" s="5">
        <v>44844.189048819448</v>
      </c>
      <c r="M224">
        <f t="shared" si="7"/>
        <v>10029727292</v>
      </c>
      <c r="N224">
        <f ca="1">IF(M224&lt;&gt;M223,INDEX(CustInfo!$A$2:$A$1001,RANDBETWEEN(1,1000)),N223)</f>
        <v>11009</v>
      </c>
      <c r="O224" t="s">
        <v>1003</v>
      </c>
      <c r="P224">
        <v>52936358</v>
      </c>
    </row>
    <row r="225" spans="1:16" x14ac:dyDescent="0.35">
      <c r="A225">
        <v>93827212063</v>
      </c>
      <c r="C225" s="2" t="s">
        <v>883</v>
      </c>
      <c r="D225">
        <v>1</v>
      </c>
      <c r="E225">
        <v>76891213522</v>
      </c>
      <c r="F225">
        <f t="shared" ca="1" si="6"/>
        <v>79</v>
      </c>
      <c r="G225">
        <f ca="1">VLOOKUP(E225,PurchItem!$A$2:$H$508,8,0)</f>
        <v>2861.1857686932035</v>
      </c>
      <c r="H225">
        <v>0.04</v>
      </c>
      <c r="I225" t="s">
        <v>244</v>
      </c>
      <c r="J225" s="5">
        <v>45301.594524409724</v>
      </c>
      <c r="K225" s="5">
        <v>45302.189048819448</v>
      </c>
      <c r="M225">
        <f t="shared" si="7"/>
        <v>10029727293</v>
      </c>
      <c r="N225">
        <f ca="1">IF(M225&lt;&gt;M224,INDEX(CustInfo!$A$2:$A$1001,RANDBETWEEN(1,1000)),N224)</f>
        <v>11064</v>
      </c>
      <c r="O225" t="s">
        <v>1002</v>
      </c>
      <c r="P225">
        <v>52936359</v>
      </c>
    </row>
    <row r="226" spans="1:16" x14ac:dyDescent="0.35">
      <c r="A226">
        <v>93827212063</v>
      </c>
      <c r="C226" s="2" t="s">
        <v>883</v>
      </c>
      <c r="D226">
        <v>2</v>
      </c>
      <c r="E226">
        <v>76891213600</v>
      </c>
      <c r="F226">
        <f t="shared" ca="1" si="6"/>
        <v>75</v>
      </c>
      <c r="G226">
        <f ca="1">VLOOKUP(E226,PurchItem!$A$2:$H$508,8,0)</f>
        <v>7451.9049034169639</v>
      </c>
      <c r="H226">
        <v>0.05</v>
      </c>
      <c r="I226" t="s">
        <v>244</v>
      </c>
      <c r="J226" s="5">
        <v>45255.594524409724</v>
      </c>
      <c r="K226" s="5">
        <v>45258.189048819448</v>
      </c>
      <c r="M226">
        <f t="shared" si="7"/>
        <v>10029727293</v>
      </c>
      <c r="N226">
        <f ca="1">IF(M226&lt;&gt;M225,INDEX(CustInfo!$A$2:$A$1001,RANDBETWEEN(1,1000)),N225)</f>
        <v>11064</v>
      </c>
      <c r="O226" t="s">
        <v>1002</v>
      </c>
      <c r="P226">
        <v>52936360</v>
      </c>
    </row>
    <row r="227" spans="1:16" x14ac:dyDescent="0.35">
      <c r="A227">
        <v>93827212063</v>
      </c>
      <c r="C227" s="2" t="s">
        <v>883</v>
      </c>
      <c r="D227">
        <v>3</v>
      </c>
      <c r="E227">
        <v>76891213264</v>
      </c>
      <c r="F227">
        <f t="shared" ca="1" si="6"/>
        <v>30</v>
      </c>
      <c r="G227">
        <f ca="1">VLOOKUP(E227,PurchItem!$A$2:$H$508,8,0)</f>
        <v>3913.070746797428</v>
      </c>
      <c r="H227">
        <v>0.06</v>
      </c>
      <c r="I227" t="s">
        <v>244</v>
      </c>
      <c r="J227" s="5">
        <v>44785.594524409724</v>
      </c>
      <c r="K227" s="5">
        <v>44789.189048819448</v>
      </c>
      <c r="M227">
        <f t="shared" si="7"/>
        <v>10029727293</v>
      </c>
      <c r="N227">
        <f ca="1">IF(M227&lt;&gt;M226,INDEX(CustInfo!$A$2:$A$1001,RANDBETWEEN(1,1000)),N226)</f>
        <v>11064</v>
      </c>
      <c r="O227" t="s">
        <v>1002</v>
      </c>
      <c r="P227">
        <v>52936361</v>
      </c>
    </row>
    <row r="228" spans="1:16" x14ac:dyDescent="0.35">
      <c r="A228">
        <v>93827212063</v>
      </c>
      <c r="C228" s="2" t="s">
        <v>883</v>
      </c>
      <c r="D228">
        <v>4</v>
      </c>
      <c r="E228">
        <v>76891213435</v>
      </c>
      <c r="F228">
        <f t="shared" ca="1" si="6"/>
        <v>97</v>
      </c>
      <c r="G228">
        <f ca="1">VLOOKUP(E228,PurchItem!$A$2:$H$508,8,0)</f>
        <v>1716.0407979817521</v>
      </c>
      <c r="H228">
        <v>0.06</v>
      </c>
      <c r="I228" t="s">
        <v>244</v>
      </c>
      <c r="J228" s="5">
        <v>44653.594524409724</v>
      </c>
      <c r="K228" s="5">
        <v>44654.189048819448</v>
      </c>
      <c r="M228">
        <f t="shared" si="7"/>
        <v>10029727293</v>
      </c>
      <c r="N228">
        <f ca="1">IF(M228&lt;&gt;M227,INDEX(CustInfo!$A$2:$A$1001,RANDBETWEEN(1,1000)),N227)</f>
        <v>11064</v>
      </c>
      <c r="O228" t="s">
        <v>1002</v>
      </c>
      <c r="P228">
        <v>52936362</v>
      </c>
    </row>
    <row r="229" spans="1:16" x14ac:dyDescent="0.35">
      <c r="A229">
        <v>93827212064</v>
      </c>
      <c r="C229" s="2" t="s">
        <v>883</v>
      </c>
      <c r="D229">
        <v>1</v>
      </c>
      <c r="E229">
        <v>76891213500</v>
      </c>
      <c r="F229">
        <f t="shared" ca="1" si="6"/>
        <v>96</v>
      </c>
      <c r="G229">
        <f ca="1">VLOOKUP(E229,PurchItem!$A$2:$H$508,8,0)</f>
        <v>3624.8814666574617</v>
      </c>
      <c r="H229">
        <v>0.06</v>
      </c>
      <c r="I229" t="s">
        <v>244</v>
      </c>
      <c r="J229" s="5">
        <v>45370.594524409724</v>
      </c>
      <c r="K229" s="5">
        <v>45374.189048819448</v>
      </c>
      <c r="M229">
        <f t="shared" si="7"/>
        <v>10029727294</v>
      </c>
      <c r="N229">
        <f ca="1">IF(M229&lt;&gt;M228,INDEX(CustInfo!$A$2:$A$1001,RANDBETWEEN(1,1000)),N228)</f>
        <v>11502</v>
      </c>
      <c r="O229" t="s">
        <v>1003</v>
      </c>
      <c r="P229">
        <v>52936363</v>
      </c>
    </row>
    <row r="230" spans="1:16" x14ac:dyDescent="0.35">
      <c r="A230">
        <v>93827212064</v>
      </c>
      <c r="C230" s="2" t="s">
        <v>883</v>
      </c>
      <c r="D230">
        <v>2</v>
      </c>
      <c r="E230">
        <v>76891213168</v>
      </c>
      <c r="F230">
        <f t="shared" ca="1" si="6"/>
        <v>85</v>
      </c>
      <c r="G230">
        <f ca="1">VLOOKUP(E230,PurchItem!$A$2:$H$508,8,0)</f>
        <v>1428.4461535663661</v>
      </c>
      <c r="H230">
        <v>0.06</v>
      </c>
      <c r="I230" t="s">
        <v>244</v>
      </c>
      <c r="J230" s="5">
        <v>45340.594524409724</v>
      </c>
      <c r="K230" s="5">
        <v>45344.189048819448</v>
      </c>
      <c r="M230">
        <f t="shared" si="7"/>
        <v>10029727294</v>
      </c>
      <c r="N230">
        <f ca="1">IF(M230&lt;&gt;M229,INDEX(CustInfo!$A$2:$A$1001,RANDBETWEEN(1,1000)),N229)</f>
        <v>11502</v>
      </c>
      <c r="O230" t="s">
        <v>1003</v>
      </c>
      <c r="P230">
        <v>52936364</v>
      </c>
    </row>
    <row r="231" spans="1:16" x14ac:dyDescent="0.35">
      <c r="A231">
        <v>93827212065</v>
      </c>
      <c r="C231" s="2" t="s">
        <v>883</v>
      </c>
      <c r="D231">
        <v>1</v>
      </c>
      <c r="E231">
        <v>76891213198</v>
      </c>
      <c r="F231">
        <f t="shared" ca="1" si="6"/>
        <v>4</v>
      </c>
      <c r="G231">
        <f ca="1">VLOOKUP(E231,PurchItem!$A$2:$H$508,8,0)</f>
        <v>137.73349163160216</v>
      </c>
      <c r="H231">
        <v>0.04</v>
      </c>
      <c r="I231" t="s">
        <v>244</v>
      </c>
      <c r="J231" s="5">
        <v>45280.594524409724</v>
      </c>
      <c r="K231" s="5">
        <v>45284.189048819448</v>
      </c>
      <c r="M231">
        <f t="shared" si="7"/>
        <v>10029727295</v>
      </c>
      <c r="N231">
        <f ca="1">IF(M231&lt;&gt;M230,INDEX(CustInfo!$A$2:$A$1001,RANDBETWEEN(1,1000)),N230)</f>
        <v>11703</v>
      </c>
      <c r="O231" t="s">
        <v>1003</v>
      </c>
      <c r="P231">
        <v>52936365</v>
      </c>
    </row>
    <row r="232" spans="1:16" x14ac:dyDescent="0.35">
      <c r="A232">
        <v>93827212065</v>
      </c>
      <c r="C232" s="2" t="s">
        <v>883</v>
      </c>
      <c r="D232">
        <v>2</v>
      </c>
      <c r="E232">
        <v>76891213597</v>
      </c>
      <c r="F232">
        <f t="shared" ca="1" si="6"/>
        <v>9</v>
      </c>
      <c r="G232">
        <f ca="1">VLOOKUP(E232,PurchItem!$A$2:$H$508,8,0)</f>
        <v>6407.6591066993278</v>
      </c>
      <c r="H232">
        <v>0.05</v>
      </c>
      <c r="I232" t="s">
        <v>244</v>
      </c>
      <c r="J232" s="5">
        <v>44817.594524409724</v>
      </c>
      <c r="K232" s="5">
        <v>44820.189048819448</v>
      </c>
      <c r="M232">
        <f t="shared" si="7"/>
        <v>10029727295</v>
      </c>
      <c r="N232">
        <f ca="1">IF(M232&lt;&gt;M231,INDEX(CustInfo!$A$2:$A$1001,RANDBETWEEN(1,1000)),N231)</f>
        <v>11703</v>
      </c>
      <c r="O232" t="s">
        <v>1003</v>
      </c>
      <c r="P232">
        <v>52936366</v>
      </c>
    </row>
    <row r="233" spans="1:16" x14ac:dyDescent="0.35">
      <c r="A233">
        <v>93827212065</v>
      </c>
      <c r="C233" s="2" t="s">
        <v>883</v>
      </c>
      <c r="D233">
        <v>3</v>
      </c>
      <c r="E233">
        <v>76891213632</v>
      </c>
      <c r="F233">
        <f t="shared" ca="1" si="6"/>
        <v>21</v>
      </c>
      <c r="G233">
        <f ca="1">VLOOKUP(E233,PurchItem!$A$2:$H$508,8,0)</f>
        <v>2684.3182600797395</v>
      </c>
      <c r="H233">
        <v>0.04</v>
      </c>
      <c r="I233" t="s">
        <v>244</v>
      </c>
      <c r="J233" s="5">
        <v>45231.594524409724</v>
      </c>
      <c r="K233" s="5">
        <v>45235.189048819448</v>
      </c>
      <c r="M233">
        <f t="shared" si="7"/>
        <v>10029727295</v>
      </c>
      <c r="N233">
        <f ca="1">IF(M233&lt;&gt;M232,INDEX(CustInfo!$A$2:$A$1001,RANDBETWEEN(1,1000)),N232)</f>
        <v>11703</v>
      </c>
      <c r="O233" t="s">
        <v>1003</v>
      </c>
      <c r="P233">
        <v>52936367</v>
      </c>
    </row>
    <row r="234" spans="1:16" x14ac:dyDescent="0.35">
      <c r="A234">
        <v>93827212065</v>
      </c>
      <c r="C234" s="2" t="s">
        <v>883</v>
      </c>
      <c r="D234">
        <v>4</v>
      </c>
      <c r="E234">
        <v>76891213275</v>
      </c>
      <c r="F234">
        <f t="shared" ca="1" si="6"/>
        <v>83</v>
      </c>
      <c r="G234">
        <f ca="1">VLOOKUP(E234,PurchItem!$A$2:$H$508,8,0)</f>
        <v>2363.1921713388774</v>
      </c>
      <c r="H234">
        <v>0.05</v>
      </c>
      <c r="I234" t="s">
        <v>244</v>
      </c>
      <c r="J234" s="5">
        <v>44587.594524409724</v>
      </c>
      <c r="K234" s="5">
        <v>44588.189048819448</v>
      </c>
      <c r="M234">
        <f t="shared" si="7"/>
        <v>10029727295</v>
      </c>
      <c r="N234">
        <f ca="1">IF(M234&lt;&gt;M233,INDEX(CustInfo!$A$2:$A$1001,RANDBETWEEN(1,1000)),N233)</f>
        <v>11703</v>
      </c>
      <c r="O234" t="s">
        <v>1003</v>
      </c>
      <c r="P234">
        <v>52936368</v>
      </c>
    </row>
    <row r="235" spans="1:16" x14ac:dyDescent="0.35">
      <c r="A235">
        <v>93827212066</v>
      </c>
      <c r="C235" s="2" t="s">
        <v>883</v>
      </c>
      <c r="D235">
        <v>1</v>
      </c>
      <c r="E235">
        <v>76891213369</v>
      </c>
      <c r="F235">
        <f t="shared" ca="1" si="6"/>
        <v>45</v>
      </c>
      <c r="G235">
        <f ca="1">VLOOKUP(E235,PurchItem!$A$2:$H$508,8,0)</f>
        <v>6056.9121168039474</v>
      </c>
      <c r="H235">
        <v>0.04</v>
      </c>
      <c r="I235" t="s">
        <v>244</v>
      </c>
      <c r="J235" s="5">
        <v>44989.594524409724</v>
      </c>
      <c r="K235" s="5">
        <v>44991.189048819448</v>
      </c>
      <c r="M235">
        <f t="shared" si="7"/>
        <v>10029727296</v>
      </c>
      <c r="N235">
        <f ca="1">IF(M235&lt;&gt;M234,INDEX(CustInfo!$A$2:$A$1001,RANDBETWEEN(1,1000)),N234)</f>
        <v>11890</v>
      </c>
      <c r="O235" t="s">
        <v>1002</v>
      </c>
      <c r="P235">
        <v>52936369</v>
      </c>
    </row>
    <row r="236" spans="1:16" x14ac:dyDescent="0.35">
      <c r="A236">
        <v>93827212067</v>
      </c>
      <c r="C236" s="2" t="s">
        <v>883</v>
      </c>
      <c r="D236">
        <v>1</v>
      </c>
      <c r="E236">
        <v>76891213151</v>
      </c>
      <c r="F236">
        <f t="shared" ca="1" si="6"/>
        <v>37</v>
      </c>
      <c r="G236">
        <f ca="1">VLOOKUP(E236,PurchItem!$A$2:$H$508,8,0)</f>
        <v>6578.9489505152096</v>
      </c>
      <c r="H236">
        <v>0.04</v>
      </c>
      <c r="I236" t="s">
        <v>244</v>
      </c>
      <c r="J236" s="5">
        <v>45507.594524409724</v>
      </c>
      <c r="K236" s="5">
        <v>45509.189048819448</v>
      </c>
      <c r="M236">
        <f t="shared" si="7"/>
        <v>10029727297</v>
      </c>
      <c r="N236">
        <f ca="1">IF(M236&lt;&gt;M235,INDEX(CustInfo!$A$2:$A$1001,RANDBETWEEN(1,1000)),N235)</f>
        <v>11638</v>
      </c>
      <c r="O236" t="s">
        <v>1001</v>
      </c>
      <c r="P236">
        <v>52936370</v>
      </c>
    </row>
    <row r="237" spans="1:16" x14ac:dyDescent="0.35">
      <c r="A237">
        <v>93827212068</v>
      </c>
      <c r="C237" s="2" t="s">
        <v>883</v>
      </c>
      <c r="D237">
        <v>1</v>
      </c>
      <c r="E237">
        <v>76891213179</v>
      </c>
      <c r="F237">
        <f t="shared" ca="1" si="6"/>
        <v>82</v>
      </c>
      <c r="G237">
        <f ca="1">VLOOKUP(E237,PurchItem!$A$2:$H$508,8,0)</f>
        <v>6832.2348521988297</v>
      </c>
      <c r="H237">
        <v>0.04</v>
      </c>
      <c r="I237" t="s">
        <v>244</v>
      </c>
      <c r="J237" s="5">
        <v>44649.594524409724</v>
      </c>
      <c r="K237" s="5">
        <v>44652.189048819448</v>
      </c>
      <c r="M237">
        <f t="shared" si="7"/>
        <v>10029727298</v>
      </c>
      <c r="N237">
        <f ca="1">IF(M237&lt;&gt;M236,INDEX(CustInfo!$A$2:$A$1001,RANDBETWEEN(1,1000)),N236)</f>
        <v>11938</v>
      </c>
      <c r="O237" t="s">
        <v>1003</v>
      </c>
      <c r="P237">
        <v>52936371</v>
      </c>
    </row>
    <row r="238" spans="1:16" x14ac:dyDescent="0.35">
      <c r="A238">
        <v>93827212068</v>
      </c>
      <c r="C238" s="2" t="s">
        <v>883</v>
      </c>
      <c r="D238">
        <v>2</v>
      </c>
      <c r="E238">
        <v>76891213216</v>
      </c>
      <c r="F238">
        <f t="shared" ca="1" si="6"/>
        <v>98</v>
      </c>
      <c r="G238">
        <f ca="1">VLOOKUP(E238,PurchItem!$A$2:$H$508,8,0)</f>
        <v>8641.0792627268274</v>
      </c>
      <c r="H238">
        <v>0.05</v>
      </c>
      <c r="I238" t="s">
        <v>244</v>
      </c>
      <c r="J238" s="5">
        <v>44960.594524409724</v>
      </c>
      <c r="K238" s="5">
        <v>44964.189048819448</v>
      </c>
      <c r="M238">
        <f t="shared" si="7"/>
        <v>10029727298</v>
      </c>
      <c r="N238">
        <f ca="1">IF(M238&lt;&gt;M237,INDEX(CustInfo!$A$2:$A$1001,RANDBETWEEN(1,1000)),N237)</f>
        <v>11938</v>
      </c>
      <c r="O238" t="s">
        <v>1003</v>
      </c>
      <c r="P238">
        <v>52936372</v>
      </c>
    </row>
    <row r="239" spans="1:16" x14ac:dyDescent="0.35">
      <c r="A239">
        <v>93827212068</v>
      </c>
      <c r="C239" s="2" t="s">
        <v>883</v>
      </c>
      <c r="D239">
        <v>3</v>
      </c>
      <c r="E239">
        <v>76891213566</v>
      </c>
      <c r="F239">
        <f t="shared" ca="1" si="6"/>
        <v>57</v>
      </c>
      <c r="G239">
        <f ca="1">VLOOKUP(E239,PurchItem!$A$2:$H$508,8,0)</f>
        <v>4496.7840844503189</v>
      </c>
      <c r="H239">
        <v>0.06</v>
      </c>
      <c r="I239" t="s">
        <v>244</v>
      </c>
      <c r="J239" s="5">
        <v>45236.594524409724</v>
      </c>
      <c r="K239" s="5">
        <v>45240.189048819448</v>
      </c>
      <c r="M239">
        <f t="shared" si="7"/>
        <v>10029727298</v>
      </c>
      <c r="N239">
        <f ca="1">IF(M239&lt;&gt;M238,INDEX(CustInfo!$A$2:$A$1001,RANDBETWEEN(1,1000)),N238)</f>
        <v>11938</v>
      </c>
      <c r="O239" t="s">
        <v>1003</v>
      </c>
      <c r="P239">
        <v>52936373</v>
      </c>
    </row>
    <row r="240" spans="1:16" x14ac:dyDescent="0.35">
      <c r="A240">
        <v>93827212068</v>
      </c>
      <c r="C240" s="2" t="s">
        <v>883</v>
      </c>
      <c r="D240">
        <v>4</v>
      </c>
      <c r="E240">
        <v>76891213223</v>
      </c>
      <c r="F240">
        <f t="shared" ca="1" si="6"/>
        <v>6</v>
      </c>
      <c r="G240">
        <f ca="1">VLOOKUP(E240,PurchItem!$A$2:$H$508,8,0)</f>
        <v>9143.6020748149404</v>
      </c>
      <c r="H240">
        <v>0.04</v>
      </c>
      <c r="I240" t="s">
        <v>244</v>
      </c>
      <c r="J240" s="5">
        <v>44867.594524409724</v>
      </c>
      <c r="K240" s="5">
        <v>44870.189048819448</v>
      </c>
      <c r="M240">
        <f t="shared" si="7"/>
        <v>10029727298</v>
      </c>
      <c r="N240">
        <f ca="1">IF(M240&lt;&gt;M239,INDEX(CustInfo!$A$2:$A$1001,RANDBETWEEN(1,1000)),N239)</f>
        <v>11938</v>
      </c>
      <c r="O240" t="s">
        <v>1003</v>
      </c>
      <c r="P240">
        <v>52936374</v>
      </c>
    </row>
    <row r="241" spans="1:16" x14ac:dyDescent="0.35">
      <c r="A241">
        <v>93827212069</v>
      </c>
      <c r="C241" s="2" t="s">
        <v>883</v>
      </c>
      <c r="D241">
        <v>1</v>
      </c>
      <c r="E241">
        <v>76891213579</v>
      </c>
      <c r="F241">
        <f t="shared" ca="1" si="6"/>
        <v>69</v>
      </c>
      <c r="G241">
        <f ca="1">VLOOKUP(E241,PurchItem!$A$2:$H$508,8,0)</f>
        <v>7916.3108134357099</v>
      </c>
      <c r="H241">
        <v>0.04</v>
      </c>
      <c r="I241" t="s">
        <v>244</v>
      </c>
      <c r="J241" s="5">
        <v>45233.594524409724</v>
      </c>
      <c r="K241" s="5">
        <v>45237.189048819448</v>
      </c>
      <c r="M241">
        <f t="shared" si="7"/>
        <v>10029727299</v>
      </c>
      <c r="N241">
        <f ca="1">IF(M241&lt;&gt;M240,INDEX(CustInfo!$A$2:$A$1001,RANDBETWEEN(1,1000)),N240)</f>
        <v>11015</v>
      </c>
      <c r="O241" t="s">
        <v>1001</v>
      </c>
      <c r="P241">
        <v>52936375</v>
      </c>
    </row>
    <row r="242" spans="1:16" x14ac:dyDescent="0.35">
      <c r="A242">
        <v>93827212069</v>
      </c>
      <c r="C242" s="2" t="s">
        <v>883</v>
      </c>
      <c r="D242">
        <v>2</v>
      </c>
      <c r="E242">
        <v>76891213177</v>
      </c>
      <c r="F242">
        <f t="shared" ca="1" si="6"/>
        <v>39</v>
      </c>
      <c r="G242">
        <f ca="1">VLOOKUP(E242,PurchItem!$A$2:$H$508,8,0)</f>
        <v>8523.4521661003673</v>
      </c>
      <c r="H242">
        <v>0.06</v>
      </c>
      <c r="I242" t="s">
        <v>244</v>
      </c>
      <c r="J242" s="5">
        <v>44626.594524409724</v>
      </c>
      <c r="K242" s="5">
        <v>44627.189048819448</v>
      </c>
      <c r="M242">
        <f t="shared" si="7"/>
        <v>10029727299</v>
      </c>
      <c r="N242">
        <f ca="1">IF(M242&lt;&gt;M241,INDEX(CustInfo!$A$2:$A$1001,RANDBETWEEN(1,1000)),N241)</f>
        <v>11015</v>
      </c>
      <c r="O242" t="s">
        <v>1001</v>
      </c>
      <c r="P242">
        <v>52936376</v>
      </c>
    </row>
    <row r="243" spans="1:16" x14ac:dyDescent="0.35">
      <c r="A243">
        <v>93827212069</v>
      </c>
      <c r="C243" s="2" t="s">
        <v>883</v>
      </c>
      <c r="D243">
        <v>3</v>
      </c>
      <c r="E243">
        <v>76891213579</v>
      </c>
      <c r="F243">
        <f t="shared" ca="1" si="6"/>
        <v>44</v>
      </c>
      <c r="G243">
        <f ca="1">VLOOKUP(E243,PurchItem!$A$2:$H$508,8,0)</f>
        <v>7916.3108134357099</v>
      </c>
      <c r="H243">
        <v>0.05</v>
      </c>
      <c r="I243" t="s">
        <v>244</v>
      </c>
      <c r="J243" s="5">
        <v>44718.594524409724</v>
      </c>
      <c r="K243" s="5">
        <v>44722.189048819448</v>
      </c>
      <c r="M243">
        <f t="shared" si="7"/>
        <v>10029727299</v>
      </c>
      <c r="N243">
        <f ca="1">IF(M243&lt;&gt;M242,INDEX(CustInfo!$A$2:$A$1001,RANDBETWEEN(1,1000)),N242)</f>
        <v>11015</v>
      </c>
      <c r="O243" t="s">
        <v>1001</v>
      </c>
      <c r="P243">
        <v>52936377</v>
      </c>
    </row>
    <row r="244" spans="1:16" x14ac:dyDescent="0.35">
      <c r="A244">
        <v>93827212069</v>
      </c>
      <c r="C244" s="2" t="s">
        <v>883</v>
      </c>
      <c r="D244">
        <v>4</v>
      </c>
      <c r="E244">
        <v>76891213213</v>
      </c>
      <c r="F244">
        <f t="shared" ca="1" si="6"/>
        <v>64</v>
      </c>
      <c r="G244">
        <f ca="1">VLOOKUP(E244,PurchItem!$A$2:$H$508,8,0)</f>
        <v>1235.2952885490945</v>
      </c>
      <c r="H244">
        <v>0.05</v>
      </c>
      <c r="I244" t="s">
        <v>244</v>
      </c>
      <c r="J244" s="5">
        <v>45352.594524409724</v>
      </c>
      <c r="K244" s="5">
        <v>45356.189048819448</v>
      </c>
      <c r="M244">
        <f t="shared" si="7"/>
        <v>10029727299</v>
      </c>
      <c r="N244">
        <f ca="1">IF(M244&lt;&gt;M243,INDEX(CustInfo!$A$2:$A$1001,RANDBETWEEN(1,1000)),N243)</f>
        <v>11015</v>
      </c>
      <c r="O244" t="s">
        <v>1001</v>
      </c>
      <c r="P244">
        <v>52936378</v>
      </c>
    </row>
    <row r="245" spans="1:16" x14ac:dyDescent="0.35">
      <c r="A245">
        <v>93827212070</v>
      </c>
      <c r="C245" s="2" t="s">
        <v>883</v>
      </c>
      <c r="D245">
        <v>1</v>
      </c>
      <c r="E245">
        <v>76891213494</v>
      </c>
      <c r="F245">
        <f t="shared" ca="1" si="6"/>
        <v>77</v>
      </c>
      <c r="G245">
        <f ca="1">VLOOKUP(E245,PurchItem!$A$2:$H$508,8,0)</f>
        <v>4466.6672855124061</v>
      </c>
      <c r="H245">
        <v>0.04</v>
      </c>
      <c r="I245" t="s">
        <v>244</v>
      </c>
      <c r="J245" s="5">
        <v>44737.594524409724</v>
      </c>
      <c r="K245" s="5">
        <v>44741.189048819448</v>
      </c>
      <c r="M245">
        <f t="shared" si="7"/>
        <v>10029727300</v>
      </c>
      <c r="N245">
        <f ca="1">IF(M245&lt;&gt;M244,INDEX(CustInfo!$A$2:$A$1001,RANDBETWEEN(1,1000)),N244)</f>
        <v>11215</v>
      </c>
      <c r="O245" t="s">
        <v>1002</v>
      </c>
      <c r="P245">
        <v>52936379</v>
      </c>
    </row>
    <row r="246" spans="1:16" x14ac:dyDescent="0.35">
      <c r="A246">
        <v>93827212071</v>
      </c>
      <c r="C246" s="2" t="s">
        <v>883</v>
      </c>
      <c r="D246">
        <v>1</v>
      </c>
      <c r="E246">
        <v>76891213607</v>
      </c>
      <c r="F246">
        <f t="shared" ca="1" si="6"/>
        <v>84</v>
      </c>
      <c r="G246">
        <f ca="1">VLOOKUP(E246,PurchItem!$A$2:$H$508,8,0)</f>
        <v>2128.5929882153723</v>
      </c>
      <c r="H246">
        <v>0.06</v>
      </c>
      <c r="I246" t="s">
        <v>244</v>
      </c>
      <c r="J246" s="5">
        <v>45169.594524409724</v>
      </c>
      <c r="K246" s="5">
        <v>45172.189048819448</v>
      </c>
      <c r="M246">
        <f t="shared" si="7"/>
        <v>10029727301</v>
      </c>
      <c r="N246">
        <f ca="1">IF(M246&lt;&gt;M245,INDEX(CustInfo!$A$2:$A$1001,RANDBETWEEN(1,1000)),N245)</f>
        <v>11197</v>
      </c>
      <c r="O246" t="s">
        <v>1001</v>
      </c>
      <c r="P246">
        <v>52936380</v>
      </c>
    </row>
    <row r="247" spans="1:16" x14ac:dyDescent="0.35">
      <c r="A247">
        <v>93827212071</v>
      </c>
      <c r="C247" s="2" t="s">
        <v>883</v>
      </c>
      <c r="D247">
        <v>2</v>
      </c>
      <c r="E247">
        <v>76891213254</v>
      </c>
      <c r="F247">
        <f t="shared" ca="1" si="6"/>
        <v>2</v>
      </c>
      <c r="G247">
        <f ca="1">VLOOKUP(E247,PurchItem!$A$2:$H$508,8,0)</f>
        <v>8238.8569065705833</v>
      </c>
      <c r="H247">
        <v>0.04</v>
      </c>
      <c r="I247" t="s">
        <v>244</v>
      </c>
      <c r="J247" s="5">
        <v>44634.594524409724</v>
      </c>
      <c r="K247" s="5">
        <v>44637.189048819448</v>
      </c>
      <c r="M247">
        <f t="shared" si="7"/>
        <v>10029727301</v>
      </c>
      <c r="N247">
        <f ca="1">IF(M247&lt;&gt;M246,INDEX(CustInfo!$A$2:$A$1001,RANDBETWEEN(1,1000)),N246)</f>
        <v>11197</v>
      </c>
      <c r="O247" t="s">
        <v>1001</v>
      </c>
      <c r="P247">
        <v>52936381</v>
      </c>
    </row>
    <row r="248" spans="1:16" x14ac:dyDescent="0.35">
      <c r="A248">
        <v>93827212072</v>
      </c>
      <c r="C248" s="2" t="s">
        <v>883</v>
      </c>
      <c r="D248">
        <v>1</v>
      </c>
      <c r="E248">
        <v>76891213499</v>
      </c>
      <c r="F248">
        <f t="shared" ca="1" si="6"/>
        <v>100</v>
      </c>
      <c r="G248">
        <f ca="1">VLOOKUP(E248,PurchItem!$A$2:$H$508,8,0)</f>
        <v>4264.1968914330655</v>
      </c>
      <c r="H248">
        <v>0.06</v>
      </c>
      <c r="I248" t="s">
        <v>244</v>
      </c>
      <c r="J248" s="5">
        <v>44738.594524409724</v>
      </c>
      <c r="K248" s="5">
        <v>44739.189048819448</v>
      </c>
      <c r="M248">
        <f t="shared" si="7"/>
        <v>10029727302</v>
      </c>
      <c r="N248">
        <f ca="1">IF(M248&lt;&gt;M247,INDEX(CustInfo!$A$2:$A$1001,RANDBETWEEN(1,1000)),N247)</f>
        <v>11568</v>
      </c>
      <c r="O248" t="s">
        <v>1003</v>
      </c>
      <c r="P248">
        <v>52936382</v>
      </c>
    </row>
    <row r="249" spans="1:16" x14ac:dyDescent="0.35">
      <c r="A249">
        <v>93827212072</v>
      </c>
      <c r="C249" s="2" t="s">
        <v>883</v>
      </c>
      <c r="D249">
        <v>2</v>
      </c>
      <c r="E249">
        <v>76891213249</v>
      </c>
      <c r="F249">
        <f t="shared" ca="1" si="6"/>
        <v>35</v>
      </c>
      <c r="G249">
        <f ca="1">VLOOKUP(E249,PurchItem!$A$2:$H$508,8,0)</f>
        <v>8086.2832587876792</v>
      </c>
      <c r="H249">
        <v>0.06</v>
      </c>
      <c r="I249" t="s">
        <v>244</v>
      </c>
      <c r="J249" s="5">
        <v>44588.594524409724</v>
      </c>
      <c r="K249" s="5">
        <v>44589.189048819448</v>
      </c>
      <c r="M249">
        <f t="shared" si="7"/>
        <v>10029727302</v>
      </c>
      <c r="N249">
        <f ca="1">IF(M249&lt;&gt;M248,INDEX(CustInfo!$A$2:$A$1001,RANDBETWEEN(1,1000)),N248)</f>
        <v>11568</v>
      </c>
      <c r="O249" t="s">
        <v>1003</v>
      </c>
      <c r="P249">
        <v>52936383</v>
      </c>
    </row>
    <row r="250" spans="1:16" x14ac:dyDescent="0.35">
      <c r="A250">
        <v>93827212072</v>
      </c>
      <c r="C250" s="2" t="s">
        <v>883</v>
      </c>
      <c r="D250">
        <v>3</v>
      </c>
      <c r="E250">
        <v>76891213444</v>
      </c>
      <c r="F250">
        <f t="shared" ca="1" si="6"/>
        <v>23</v>
      </c>
      <c r="G250">
        <f ca="1">VLOOKUP(E250,PurchItem!$A$2:$H$508,8,0)</f>
        <v>3599.8456531871029</v>
      </c>
      <c r="H250">
        <v>0.06</v>
      </c>
      <c r="I250" t="s">
        <v>244</v>
      </c>
      <c r="J250" s="5">
        <v>45276.594524409724</v>
      </c>
      <c r="K250" s="5">
        <v>45280.189048819448</v>
      </c>
      <c r="M250">
        <f t="shared" si="7"/>
        <v>10029727302</v>
      </c>
      <c r="N250">
        <f ca="1">IF(M250&lt;&gt;M249,INDEX(CustInfo!$A$2:$A$1001,RANDBETWEEN(1,1000)),N249)</f>
        <v>11568</v>
      </c>
      <c r="O250" t="s">
        <v>1003</v>
      </c>
      <c r="P250">
        <v>52936384</v>
      </c>
    </row>
    <row r="251" spans="1:16" x14ac:dyDescent="0.35">
      <c r="A251">
        <v>93827212072</v>
      </c>
      <c r="C251" s="2" t="s">
        <v>883</v>
      </c>
      <c r="D251">
        <v>4</v>
      </c>
      <c r="E251">
        <v>76891213541</v>
      </c>
      <c r="F251">
        <f t="shared" ca="1" si="6"/>
        <v>30</v>
      </c>
      <c r="G251">
        <f ca="1">VLOOKUP(E251,PurchItem!$A$2:$H$508,8,0)</f>
        <v>8670.1313382850785</v>
      </c>
      <c r="H251">
        <v>0.05</v>
      </c>
      <c r="I251" t="s">
        <v>244</v>
      </c>
      <c r="J251" s="5">
        <v>45399.594524409724</v>
      </c>
      <c r="K251" s="5">
        <v>45402.189048819448</v>
      </c>
      <c r="M251">
        <f t="shared" si="7"/>
        <v>10029727302</v>
      </c>
      <c r="N251">
        <f ca="1">IF(M251&lt;&gt;M250,INDEX(CustInfo!$A$2:$A$1001,RANDBETWEEN(1,1000)),N250)</f>
        <v>11568</v>
      </c>
      <c r="O251" t="s">
        <v>1003</v>
      </c>
      <c r="P251">
        <v>52936385</v>
      </c>
    </row>
    <row r="252" spans="1:16" x14ac:dyDescent="0.35">
      <c r="A252">
        <v>93827212073</v>
      </c>
      <c r="C252" s="2" t="s">
        <v>883</v>
      </c>
      <c r="D252">
        <v>1</v>
      </c>
      <c r="E252">
        <v>76891213451</v>
      </c>
      <c r="F252">
        <f t="shared" ca="1" si="6"/>
        <v>38</v>
      </c>
      <c r="G252">
        <f ca="1">VLOOKUP(E252,PurchItem!$A$2:$H$508,8,0)</f>
        <v>5920.8667622686389</v>
      </c>
      <c r="H252">
        <v>0.04</v>
      </c>
      <c r="I252" t="s">
        <v>244</v>
      </c>
      <c r="J252" s="5">
        <v>44610.594524409724</v>
      </c>
      <c r="K252" s="5">
        <v>44612.189048819448</v>
      </c>
      <c r="M252">
        <f t="shared" si="7"/>
        <v>10029727303</v>
      </c>
      <c r="N252">
        <f ca="1">IF(M252&lt;&gt;M251,INDEX(CustInfo!$A$2:$A$1001,RANDBETWEEN(1,1000)),N251)</f>
        <v>11532</v>
      </c>
      <c r="O252" t="s">
        <v>1002</v>
      </c>
      <c r="P252">
        <v>52936386</v>
      </c>
    </row>
    <row r="253" spans="1:16" x14ac:dyDescent="0.35">
      <c r="A253">
        <v>93827212073</v>
      </c>
      <c r="C253" s="2" t="s">
        <v>883</v>
      </c>
      <c r="D253">
        <v>2</v>
      </c>
      <c r="E253">
        <v>76891213242</v>
      </c>
      <c r="F253">
        <f t="shared" ca="1" si="6"/>
        <v>24</v>
      </c>
      <c r="G253">
        <f ca="1">VLOOKUP(E253,PurchItem!$A$2:$H$508,8,0)</f>
        <v>4903.8156344587151</v>
      </c>
      <c r="H253">
        <v>0.05</v>
      </c>
      <c r="I253" t="s">
        <v>244</v>
      </c>
      <c r="J253" s="5">
        <v>44977.594524409724</v>
      </c>
      <c r="K253" s="5">
        <v>44981.189048819448</v>
      </c>
      <c r="M253">
        <f t="shared" si="7"/>
        <v>10029727303</v>
      </c>
      <c r="N253">
        <f ca="1">IF(M253&lt;&gt;M252,INDEX(CustInfo!$A$2:$A$1001,RANDBETWEEN(1,1000)),N252)</f>
        <v>11532</v>
      </c>
      <c r="O253" t="s">
        <v>1002</v>
      </c>
      <c r="P253">
        <v>52936387</v>
      </c>
    </row>
    <row r="254" spans="1:16" x14ac:dyDescent="0.35">
      <c r="A254">
        <v>93827212073</v>
      </c>
      <c r="C254" s="2" t="s">
        <v>883</v>
      </c>
      <c r="D254">
        <v>3</v>
      </c>
      <c r="E254">
        <v>76891213555</v>
      </c>
      <c r="F254">
        <f t="shared" ca="1" si="6"/>
        <v>71</v>
      </c>
      <c r="G254">
        <f ca="1">VLOOKUP(E254,PurchItem!$A$2:$H$508,8,0)</f>
        <v>6639.131764227679</v>
      </c>
      <c r="H254">
        <v>0.05</v>
      </c>
      <c r="I254" t="s">
        <v>244</v>
      </c>
      <c r="J254" s="5">
        <v>44705.594524409724</v>
      </c>
      <c r="K254" s="5">
        <v>44709.189048819448</v>
      </c>
      <c r="M254">
        <f t="shared" si="7"/>
        <v>10029727303</v>
      </c>
      <c r="N254">
        <f ca="1">IF(M254&lt;&gt;M253,INDEX(CustInfo!$A$2:$A$1001,RANDBETWEEN(1,1000)),N253)</f>
        <v>11532</v>
      </c>
      <c r="O254" t="s">
        <v>1002</v>
      </c>
      <c r="P254">
        <v>52936388</v>
      </c>
    </row>
    <row r="255" spans="1:16" x14ac:dyDescent="0.35">
      <c r="A255">
        <v>93827212074</v>
      </c>
      <c r="C255" s="2" t="s">
        <v>883</v>
      </c>
      <c r="D255">
        <v>1</v>
      </c>
      <c r="E255">
        <v>76891213616</v>
      </c>
      <c r="F255">
        <f t="shared" ca="1" si="6"/>
        <v>8</v>
      </c>
      <c r="G255">
        <f ca="1">VLOOKUP(E255,PurchItem!$A$2:$H$508,8,0)</f>
        <v>4776.4116895077213</v>
      </c>
      <c r="H255">
        <v>0.06</v>
      </c>
      <c r="I255" t="s">
        <v>244</v>
      </c>
      <c r="J255" s="5">
        <v>45270.594524409724</v>
      </c>
      <c r="K255" s="5">
        <v>45274.189048819448</v>
      </c>
      <c r="M255">
        <f t="shared" si="7"/>
        <v>10029727304</v>
      </c>
      <c r="N255">
        <f ca="1">IF(M255&lt;&gt;M254,INDEX(CustInfo!$A$2:$A$1001,RANDBETWEEN(1,1000)),N254)</f>
        <v>11376</v>
      </c>
      <c r="O255" t="s">
        <v>1002</v>
      </c>
      <c r="P255">
        <v>52936389</v>
      </c>
    </row>
    <row r="256" spans="1:16" x14ac:dyDescent="0.35">
      <c r="A256">
        <v>93827212074</v>
      </c>
      <c r="C256" s="2" t="s">
        <v>883</v>
      </c>
      <c r="D256">
        <v>2</v>
      </c>
      <c r="E256">
        <v>76891213217</v>
      </c>
      <c r="F256">
        <f t="shared" ca="1" si="6"/>
        <v>11</v>
      </c>
      <c r="G256">
        <f ca="1">VLOOKUP(E256,PurchItem!$A$2:$H$508,8,0)</f>
        <v>352.68898151898452</v>
      </c>
      <c r="H256">
        <v>0.04</v>
      </c>
      <c r="I256" t="s">
        <v>244</v>
      </c>
      <c r="J256" s="5">
        <v>45026.594524409724</v>
      </c>
      <c r="K256" s="5">
        <v>45029.189048819448</v>
      </c>
      <c r="M256">
        <f t="shared" si="7"/>
        <v>10029727304</v>
      </c>
      <c r="N256">
        <f ca="1">IF(M256&lt;&gt;M255,INDEX(CustInfo!$A$2:$A$1001,RANDBETWEEN(1,1000)),N255)</f>
        <v>11376</v>
      </c>
      <c r="O256" t="s">
        <v>1002</v>
      </c>
      <c r="P256">
        <v>52936390</v>
      </c>
    </row>
    <row r="257" spans="1:16" x14ac:dyDescent="0.35">
      <c r="A257">
        <v>93827212075</v>
      </c>
      <c r="C257" s="2" t="s">
        <v>883</v>
      </c>
      <c r="D257">
        <v>1</v>
      </c>
      <c r="E257">
        <v>76891213545</v>
      </c>
      <c r="F257">
        <f t="shared" ca="1" si="6"/>
        <v>22</v>
      </c>
      <c r="G257">
        <f ca="1">VLOOKUP(E257,PurchItem!$A$2:$H$508,8,0)</f>
        <v>4354.6425016633602</v>
      </c>
      <c r="H257">
        <v>0.05</v>
      </c>
      <c r="I257" t="s">
        <v>244</v>
      </c>
      <c r="J257" s="5">
        <v>44882.594524409724</v>
      </c>
      <c r="K257" s="5">
        <v>44885.189048819448</v>
      </c>
      <c r="M257">
        <f t="shared" si="7"/>
        <v>10029727305</v>
      </c>
      <c r="N257">
        <f ca="1">IF(M257&lt;&gt;M256,INDEX(CustInfo!$A$2:$A$1001,RANDBETWEEN(1,1000)),N256)</f>
        <v>11853</v>
      </c>
      <c r="O257" t="s">
        <v>1002</v>
      </c>
      <c r="P257">
        <v>52936391</v>
      </c>
    </row>
    <row r="258" spans="1:16" x14ac:dyDescent="0.35">
      <c r="A258">
        <v>93827212076</v>
      </c>
      <c r="C258" s="2" t="s">
        <v>883</v>
      </c>
      <c r="D258">
        <v>1</v>
      </c>
      <c r="E258">
        <v>76891213159</v>
      </c>
      <c r="F258">
        <f t="shared" ca="1" si="6"/>
        <v>54</v>
      </c>
      <c r="G258">
        <f ca="1">VLOOKUP(E258,PurchItem!$A$2:$H$508,8,0)</f>
        <v>1020.1296091286805</v>
      </c>
      <c r="H258">
        <v>0.06</v>
      </c>
      <c r="I258" t="s">
        <v>244</v>
      </c>
      <c r="J258" s="5">
        <v>45173.594524409724</v>
      </c>
      <c r="K258" s="5">
        <v>45174.189048819448</v>
      </c>
      <c r="M258">
        <f t="shared" si="7"/>
        <v>10029727306</v>
      </c>
      <c r="N258">
        <f ca="1">IF(M258&lt;&gt;M257,INDEX(CustInfo!$A$2:$A$1001,RANDBETWEEN(1,1000)),N257)</f>
        <v>11194</v>
      </c>
      <c r="O258" t="s">
        <v>1002</v>
      </c>
      <c r="P258">
        <v>52936392</v>
      </c>
    </row>
    <row r="259" spans="1:16" x14ac:dyDescent="0.35">
      <c r="A259">
        <v>93827212076</v>
      </c>
      <c r="C259" s="2" t="s">
        <v>883</v>
      </c>
      <c r="D259">
        <v>2</v>
      </c>
      <c r="E259">
        <v>76891213488</v>
      </c>
      <c r="F259">
        <f t="shared" ref="F259:F322" ca="1" si="8">RANDBETWEEN(1,100)</f>
        <v>28</v>
      </c>
      <c r="G259">
        <f ca="1">VLOOKUP(E259,PurchItem!$A$2:$H$508,8,0)</f>
        <v>5393.4804222875409</v>
      </c>
      <c r="H259">
        <v>0.04</v>
      </c>
      <c r="I259" t="s">
        <v>244</v>
      </c>
      <c r="J259" s="5">
        <v>44976.594524409724</v>
      </c>
      <c r="K259" s="5">
        <v>44979.189048819448</v>
      </c>
      <c r="M259">
        <f t="shared" si="7"/>
        <v>10029727306</v>
      </c>
      <c r="N259">
        <f ca="1">IF(M259&lt;&gt;M258,INDEX(CustInfo!$A$2:$A$1001,RANDBETWEEN(1,1000)),N258)</f>
        <v>11194</v>
      </c>
      <c r="O259" t="s">
        <v>1002</v>
      </c>
      <c r="P259">
        <v>52936393</v>
      </c>
    </row>
    <row r="260" spans="1:16" x14ac:dyDescent="0.35">
      <c r="A260">
        <v>93827212077</v>
      </c>
      <c r="C260" s="2" t="s">
        <v>883</v>
      </c>
      <c r="D260">
        <v>1</v>
      </c>
      <c r="E260">
        <v>76891213273</v>
      </c>
      <c r="F260">
        <f t="shared" ca="1" si="8"/>
        <v>90</v>
      </c>
      <c r="G260">
        <f ca="1">VLOOKUP(E260,PurchItem!$A$2:$H$508,8,0)</f>
        <v>3906.5910334641267</v>
      </c>
      <c r="H260">
        <v>0.05</v>
      </c>
      <c r="I260" t="s">
        <v>244</v>
      </c>
      <c r="J260" s="5">
        <v>45461.594524409724</v>
      </c>
      <c r="K260" s="5">
        <v>45462.189048819448</v>
      </c>
      <c r="M260">
        <f t="shared" si="7"/>
        <v>10029727307</v>
      </c>
      <c r="N260">
        <f ca="1">IF(M260&lt;&gt;M259,INDEX(CustInfo!$A$2:$A$1001,RANDBETWEEN(1,1000)),N259)</f>
        <v>11844</v>
      </c>
      <c r="O260" t="s">
        <v>1002</v>
      </c>
      <c r="P260">
        <v>52936394</v>
      </c>
    </row>
    <row r="261" spans="1:16" x14ac:dyDescent="0.35">
      <c r="A261">
        <v>93827212077</v>
      </c>
      <c r="C261" s="2" t="s">
        <v>883</v>
      </c>
      <c r="D261">
        <v>2</v>
      </c>
      <c r="E261">
        <v>76891213480</v>
      </c>
      <c r="F261">
        <f t="shared" ca="1" si="8"/>
        <v>16</v>
      </c>
      <c r="G261">
        <f ca="1">VLOOKUP(E261,PurchItem!$A$2:$H$508,8,0)</f>
        <v>5818.9796436144088</v>
      </c>
      <c r="H261">
        <v>0.06</v>
      </c>
      <c r="I261" t="s">
        <v>244</v>
      </c>
      <c r="J261" s="5">
        <v>45400.594524409724</v>
      </c>
      <c r="K261" s="5">
        <v>45403.189048819448</v>
      </c>
      <c r="M261">
        <f t="shared" ref="M261:M324" si="9">IF(A261&lt;&gt;A260,M260+1,M260)</f>
        <v>10029727307</v>
      </c>
      <c r="N261">
        <f ca="1">IF(M261&lt;&gt;M260,INDEX(CustInfo!$A$2:$A$1001,RANDBETWEEN(1,1000)),N260)</f>
        <v>11844</v>
      </c>
      <c r="O261" t="s">
        <v>1002</v>
      </c>
      <c r="P261">
        <v>52936395</v>
      </c>
    </row>
    <row r="262" spans="1:16" x14ac:dyDescent="0.35">
      <c r="A262">
        <v>93827212077</v>
      </c>
      <c r="C262" s="2" t="s">
        <v>883</v>
      </c>
      <c r="D262">
        <v>3</v>
      </c>
      <c r="E262">
        <v>76891213178</v>
      </c>
      <c r="F262">
        <f t="shared" ca="1" si="8"/>
        <v>27</v>
      </c>
      <c r="G262">
        <f ca="1">VLOOKUP(E262,PurchItem!$A$2:$H$508,8,0)</f>
        <v>2256.6727435914268</v>
      </c>
      <c r="H262">
        <v>0.06</v>
      </c>
      <c r="I262" t="s">
        <v>244</v>
      </c>
      <c r="J262" s="5">
        <v>45567.594524409724</v>
      </c>
      <c r="K262" s="5">
        <v>45571.189048819448</v>
      </c>
      <c r="M262">
        <f t="shared" si="9"/>
        <v>10029727307</v>
      </c>
      <c r="N262">
        <f ca="1">IF(M262&lt;&gt;M261,INDEX(CustInfo!$A$2:$A$1001,RANDBETWEEN(1,1000)),N261)</f>
        <v>11844</v>
      </c>
      <c r="O262" t="s">
        <v>1002</v>
      </c>
      <c r="P262">
        <v>52936396</v>
      </c>
    </row>
    <row r="263" spans="1:16" x14ac:dyDescent="0.35">
      <c r="A263">
        <v>93827212077</v>
      </c>
      <c r="C263" s="2" t="s">
        <v>883</v>
      </c>
      <c r="D263">
        <v>4</v>
      </c>
      <c r="E263">
        <v>76891213218</v>
      </c>
      <c r="F263">
        <f t="shared" ca="1" si="8"/>
        <v>24</v>
      </c>
      <c r="G263">
        <f ca="1">VLOOKUP(E263,PurchItem!$A$2:$H$508,8,0)</f>
        <v>3349.9530911254865</v>
      </c>
      <c r="H263">
        <v>0.06</v>
      </c>
      <c r="I263" t="s">
        <v>244</v>
      </c>
      <c r="J263" s="5">
        <v>45608.594524409724</v>
      </c>
      <c r="K263" s="5">
        <v>45609.189048819448</v>
      </c>
      <c r="M263">
        <f t="shared" si="9"/>
        <v>10029727307</v>
      </c>
      <c r="N263">
        <f ca="1">IF(M263&lt;&gt;M262,INDEX(CustInfo!$A$2:$A$1001,RANDBETWEEN(1,1000)),N262)</f>
        <v>11844</v>
      </c>
      <c r="O263" t="s">
        <v>1002</v>
      </c>
      <c r="P263">
        <v>52936397</v>
      </c>
    </row>
    <row r="264" spans="1:16" x14ac:dyDescent="0.35">
      <c r="A264">
        <v>93827212078</v>
      </c>
      <c r="C264" s="2" t="s">
        <v>883</v>
      </c>
      <c r="D264">
        <v>1</v>
      </c>
      <c r="E264">
        <v>76891213430</v>
      </c>
      <c r="F264">
        <f t="shared" ca="1" si="8"/>
        <v>76</v>
      </c>
      <c r="G264">
        <f ca="1">VLOOKUP(E264,PurchItem!$A$2:$H$508,8,0)</f>
        <v>6813.6085833165471</v>
      </c>
      <c r="H264">
        <v>0.06</v>
      </c>
      <c r="I264" t="s">
        <v>244</v>
      </c>
      <c r="J264" s="5">
        <v>45128.594524409724</v>
      </c>
      <c r="K264" s="5">
        <v>45129.189048819448</v>
      </c>
      <c r="M264">
        <f t="shared" si="9"/>
        <v>10029727308</v>
      </c>
      <c r="N264">
        <f ca="1">IF(M264&lt;&gt;M263,INDEX(CustInfo!$A$2:$A$1001,RANDBETWEEN(1,1000)),N263)</f>
        <v>11515</v>
      </c>
      <c r="O264" t="s">
        <v>1001</v>
      </c>
      <c r="P264">
        <v>52936398</v>
      </c>
    </row>
    <row r="265" spans="1:16" x14ac:dyDescent="0.35">
      <c r="A265">
        <v>93827212078</v>
      </c>
      <c r="C265" s="2" t="s">
        <v>883</v>
      </c>
      <c r="D265">
        <v>2</v>
      </c>
      <c r="E265">
        <v>76891213226</v>
      </c>
      <c r="F265">
        <f t="shared" ca="1" si="8"/>
        <v>4</v>
      </c>
      <c r="G265">
        <f ca="1">VLOOKUP(E265,PurchItem!$A$2:$H$508,8,0)</f>
        <v>7035.6498118842592</v>
      </c>
      <c r="H265">
        <v>0.04</v>
      </c>
      <c r="I265" t="s">
        <v>244</v>
      </c>
      <c r="J265" s="5">
        <v>45079.594524409724</v>
      </c>
      <c r="K265" s="5">
        <v>45081.189048819448</v>
      </c>
      <c r="M265">
        <f t="shared" si="9"/>
        <v>10029727308</v>
      </c>
      <c r="N265">
        <f ca="1">IF(M265&lt;&gt;M264,INDEX(CustInfo!$A$2:$A$1001,RANDBETWEEN(1,1000)),N264)</f>
        <v>11515</v>
      </c>
      <c r="O265" t="s">
        <v>1001</v>
      </c>
      <c r="P265">
        <v>52936399</v>
      </c>
    </row>
    <row r="266" spans="1:16" x14ac:dyDescent="0.35">
      <c r="A266">
        <v>93827212078</v>
      </c>
      <c r="C266" s="2" t="s">
        <v>883</v>
      </c>
      <c r="D266">
        <v>3</v>
      </c>
      <c r="E266">
        <v>76891213599</v>
      </c>
      <c r="F266">
        <f t="shared" ca="1" si="8"/>
        <v>16</v>
      </c>
      <c r="G266">
        <f ca="1">VLOOKUP(E266,PurchItem!$A$2:$H$508,8,0)</f>
        <v>5445.9165158335209</v>
      </c>
      <c r="H266">
        <v>0.05</v>
      </c>
      <c r="I266" t="s">
        <v>244</v>
      </c>
      <c r="J266" s="5">
        <v>44757.594524409724</v>
      </c>
      <c r="K266" s="5">
        <v>44759.189048819448</v>
      </c>
      <c r="M266">
        <f t="shared" si="9"/>
        <v>10029727308</v>
      </c>
      <c r="N266">
        <f ca="1">IF(M266&lt;&gt;M265,INDEX(CustInfo!$A$2:$A$1001,RANDBETWEEN(1,1000)),N265)</f>
        <v>11515</v>
      </c>
      <c r="O266" t="s">
        <v>1001</v>
      </c>
      <c r="P266">
        <v>52936400</v>
      </c>
    </row>
    <row r="267" spans="1:16" x14ac:dyDescent="0.35">
      <c r="A267">
        <v>93827212078</v>
      </c>
      <c r="C267" s="2" t="s">
        <v>883</v>
      </c>
      <c r="D267">
        <v>4</v>
      </c>
      <c r="E267">
        <v>76891213315</v>
      </c>
      <c r="F267">
        <f t="shared" ca="1" si="8"/>
        <v>89</v>
      </c>
      <c r="G267">
        <f ca="1">VLOOKUP(E267,PurchItem!$A$2:$H$508,8,0)</f>
        <v>7481.1201557333497</v>
      </c>
      <c r="H267">
        <v>0.04</v>
      </c>
      <c r="I267" t="s">
        <v>244</v>
      </c>
      <c r="J267" s="5">
        <v>45023.594524409724</v>
      </c>
      <c r="K267" s="5">
        <v>45024.189048819448</v>
      </c>
      <c r="M267">
        <f t="shared" si="9"/>
        <v>10029727308</v>
      </c>
      <c r="N267">
        <f ca="1">IF(M267&lt;&gt;M266,INDEX(CustInfo!$A$2:$A$1001,RANDBETWEEN(1,1000)),N266)</f>
        <v>11515</v>
      </c>
      <c r="O267" t="s">
        <v>1001</v>
      </c>
      <c r="P267">
        <v>52936401</v>
      </c>
    </row>
    <row r="268" spans="1:16" x14ac:dyDescent="0.35">
      <c r="A268">
        <v>93827212079</v>
      </c>
      <c r="C268" s="2" t="s">
        <v>883</v>
      </c>
      <c r="D268">
        <v>1</v>
      </c>
      <c r="E268">
        <v>76891213438</v>
      </c>
      <c r="F268">
        <f t="shared" ca="1" si="8"/>
        <v>54</v>
      </c>
      <c r="G268">
        <f ca="1">VLOOKUP(E268,PurchItem!$A$2:$H$508,8,0)</f>
        <v>9563.5855628970003</v>
      </c>
      <c r="H268">
        <v>0.05</v>
      </c>
      <c r="I268" t="s">
        <v>244</v>
      </c>
      <c r="J268" s="5">
        <v>45028.594524409724</v>
      </c>
      <c r="K268" s="5">
        <v>45032.189048819448</v>
      </c>
      <c r="M268">
        <f t="shared" si="9"/>
        <v>10029727309</v>
      </c>
      <c r="N268">
        <f ca="1">IF(M268&lt;&gt;M267,INDEX(CustInfo!$A$2:$A$1001,RANDBETWEEN(1,1000)),N267)</f>
        <v>11169</v>
      </c>
      <c r="O268" t="s">
        <v>1001</v>
      </c>
      <c r="P268">
        <v>52936402</v>
      </c>
    </row>
    <row r="269" spans="1:16" x14ac:dyDescent="0.35">
      <c r="A269">
        <v>93827212080</v>
      </c>
      <c r="C269" s="2" t="s">
        <v>883</v>
      </c>
      <c r="D269">
        <v>1</v>
      </c>
      <c r="E269">
        <v>76891213322</v>
      </c>
      <c r="F269">
        <f t="shared" ca="1" si="8"/>
        <v>78</v>
      </c>
      <c r="G269">
        <f ca="1">VLOOKUP(E269,PurchItem!$A$2:$H$508,8,0)</f>
        <v>941.07053196484935</v>
      </c>
      <c r="H269">
        <v>0.04</v>
      </c>
      <c r="I269" t="s">
        <v>244</v>
      </c>
      <c r="J269" s="5">
        <v>44971.594524409724</v>
      </c>
      <c r="K269" s="5">
        <v>44975.189048819448</v>
      </c>
      <c r="M269">
        <f t="shared" si="9"/>
        <v>10029727310</v>
      </c>
      <c r="N269">
        <f ca="1">IF(M269&lt;&gt;M268,INDEX(CustInfo!$A$2:$A$1001,RANDBETWEEN(1,1000)),N268)</f>
        <v>11086</v>
      </c>
      <c r="O269" t="s">
        <v>1003</v>
      </c>
      <c r="P269">
        <v>52936403</v>
      </c>
    </row>
    <row r="270" spans="1:16" x14ac:dyDescent="0.35">
      <c r="A270">
        <v>93827212080</v>
      </c>
      <c r="C270" s="2" t="s">
        <v>883</v>
      </c>
      <c r="D270">
        <v>2</v>
      </c>
      <c r="E270">
        <v>76891213177</v>
      </c>
      <c r="F270">
        <f t="shared" ca="1" si="8"/>
        <v>17</v>
      </c>
      <c r="G270">
        <f ca="1">VLOOKUP(E270,PurchItem!$A$2:$H$508,8,0)</f>
        <v>8523.4521661003673</v>
      </c>
      <c r="H270">
        <v>0.04</v>
      </c>
      <c r="I270" t="s">
        <v>244</v>
      </c>
      <c r="J270" s="5">
        <v>45005.594524409724</v>
      </c>
      <c r="K270" s="5">
        <v>45007.189048819448</v>
      </c>
      <c r="M270">
        <f t="shared" si="9"/>
        <v>10029727310</v>
      </c>
      <c r="N270">
        <f ca="1">IF(M270&lt;&gt;M269,INDEX(CustInfo!$A$2:$A$1001,RANDBETWEEN(1,1000)),N269)</f>
        <v>11086</v>
      </c>
      <c r="O270" t="s">
        <v>1003</v>
      </c>
      <c r="P270">
        <v>52936404</v>
      </c>
    </row>
    <row r="271" spans="1:16" x14ac:dyDescent="0.35">
      <c r="A271">
        <v>93827212081</v>
      </c>
      <c r="C271" s="2" t="s">
        <v>883</v>
      </c>
      <c r="D271">
        <v>1</v>
      </c>
      <c r="E271">
        <v>76891213440</v>
      </c>
      <c r="F271">
        <f t="shared" ca="1" si="8"/>
        <v>35</v>
      </c>
      <c r="G271">
        <f ca="1">VLOOKUP(E271,PurchItem!$A$2:$H$508,8,0)</f>
        <v>3837.4310153582715</v>
      </c>
      <c r="H271">
        <v>0.06</v>
      </c>
      <c r="I271" t="s">
        <v>244</v>
      </c>
      <c r="J271" s="5">
        <v>44693.594524409724</v>
      </c>
      <c r="K271" s="5">
        <v>44694.189048819448</v>
      </c>
      <c r="M271">
        <f t="shared" si="9"/>
        <v>10029727311</v>
      </c>
      <c r="N271">
        <f ca="1">IF(M271&lt;&gt;M270,INDEX(CustInfo!$A$2:$A$1001,RANDBETWEEN(1,1000)),N270)</f>
        <v>11357</v>
      </c>
      <c r="O271" t="s">
        <v>1001</v>
      </c>
      <c r="P271">
        <v>52936405</v>
      </c>
    </row>
    <row r="272" spans="1:16" x14ac:dyDescent="0.35">
      <c r="A272">
        <v>93827212081</v>
      </c>
      <c r="C272" s="2" t="s">
        <v>883</v>
      </c>
      <c r="D272">
        <v>2</v>
      </c>
      <c r="E272">
        <v>76891213592</v>
      </c>
      <c r="F272">
        <f t="shared" ca="1" si="8"/>
        <v>64</v>
      </c>
      <c r="G272">
        <f ca="1">VLOOKUP(E272,PurchItem!$A$2:$H$508,8,0)</f>
        <v>4470.4135541857659</v>
      </c>
      <c r="H272">
        <v>0.04</v>
      </c>
      <c r="I272" t="s">
        <v>244</v>
      </c>
      <c r="J272" s="5">
        <v>44575.594524409724</v>
      </c>
      <c r="K272" s="5">
        <v>44576.189048819448</v>
      </c>
      <c r="M272">
        <f t="shared" si="9"/>
        <v>10029727311</v>
      </c>
      <c r="N272">
        <f ca="1">IF(M272&lt;&gt;M271,INDEX(CustInfo!$A$2:$A$1001,RANDBETWEEN(1,1000)),N271)</f>
        <v>11357</v>
      </c>
      <c r="O272" t="s">
        <v>1001</v>
      </c>
      <c r="P272">
        <v>52936406</v>
      </c>
    </row>
    <row r="273" spans="1:16" x14ac:dyDescent="0.35">
      <c r="A273">
        <v>93827212081</v>
      </c>
      <c r="C273" s="2" t="s">
        <v>883</v>
      </c>
      <c r="D273">
        <v>3</v>
      </c>
      <c r="E273">
        <v>76891213306</v>
      </c>
      <c r="F273">
        <f t="shared" ca="1" si="8"/>
        <v>43</v>
      </c>
      <c r="G273">
        <f ca="1">VLOOKUP(E273,PurchItem!$A$2:$H$508,8,0)</f>
        <v>7186.6067775573456</v>
      </c>
      <c r="H273">
        <v>0.06</v>
      </c>
      <c r="I273" t="s">
        <v>244</v>
      </c>
      <c r="J273" s="5">
        <v>44916.594524409724</v>
      </c>
      <c r="K273" s="5">
        <v>44918.189048819448</v>
      </c>
      <c r="M273">
        <f t="shared" si="9"/>
        <v>10029727311</v>
      </c>
      <c r="N273">
        <f ca="1">IF(M273&lt;&gt;M272,INDEX(CustInfo!$A$2:$A$1001,RANDBETWEEN(1,1000)),N272)</f>
        <v>11357</v>
      </c>
      <c r="O273" t="s">
        <v>1001</v>
      </c>
      <c r="P273">
        <v>52936407</v>
      </c>
    </row>
    <row r="274" spans="1:16" x14ac:dyDescent="0.35">
      <c r="A274">
        <v>93827212081</v>
      </c>
      <c r="C274" s="2" t="s">
        <v>883</v>
      </c>
      <c r="D274">
        <v>4</v>
      </c>
      <c r="E274">
        <v>76891213374</v>
      </c>
      <c r="F274">
        <f t="shared" ca="1" si="8"/>
        <v>90</v>
      </c>
      <c r="G274">
        <f ca="1">VLOOKUP(E274,PurchItem!$A$2:$H$508,8,0)</f>
        <v>3382.3788439006389</v>
      </c>
      <c r="H274">
        <v>0.04</v>
      </c>
      <c r="I274" t="s">
        <v>244</v>
      </c>
      <c r="J274" s="5">
        <v>45182.594524409724</v>
      </c>
      <c r="K274" s="5">
        <v>45184.189048819448</v>
      </c>
      <c r="M274">
        <f t="shared" si="9"/>
        <v>10029727311</v>
      </c>
      <c r="N274">
        <f ca="1">IF(M274&lt;&gt;M273,INDEX(CustInfo!$A$2:$A$1001,RANDBETWEEN(1,1000)),N273)</f>
        <v>11357</v>
      </c>
      <c r="O274" t="s">
        <v>1001</v>
      </c>
      <c r="P274">
        <v>52936408</v>
      </c>
    </row>
    <row r="275" spans="1:16" x14ac:dyDescent="0.35">
      <c r="A275">
        <v>93827212082</v>
      </c>
      <c r="C275" s="2" t="s">
        <v>883</v>
      </c>
      <c r="D275">
        <v>1</v>
      </c>
      <c r="E275">
        <v>76891213338</v>
      </c>
      <c r="F275">
        <f t="shared" ca="1" si="8"/>
        <v>52</v>
      </c>
      <c r="G275">
        <f ca="1">VLOOKUP(E275,PurchItem!$A$2:$H$508,8,0)</f>
        <v>4118.7626507182194</v>
      </c>
      <c r="H275">
        <v>0.05</v>
      </c>
      <c r="I275" t="s">
        <v>244</v>
      </c>
      <c r="J275" s="5">
        <v>44592.594524409724</v>
      </c>
      <c r="K275" s="5">
        <v>44593.189048819448</v>
      </c>
      <c r="M275">
        <f t="shared" si="9"/>
        <v>10029727312</v>
      </c>
      <c r="N275">
        <f ca="1">IF(M275&lt;&gt;M274,INDEX(CustInfo!$A$2:$A$1001,RANDBETWEEN(1,1000)),N274)</f>
        <v>11295</v>
      </c>
      <c r="O275" t="s">
        <v>1001</v>
      </c>
      <c r="P275">
        <v>52936409</v>
      </c>
    </row>
    <row r="276" spans="1:16" x14ac:dyDescent="0.35">
      <c r="A276">
        <v>93827212082</v>
      </c>
      <c r="C276" s="2" t="s">
        <v>883</v>
      </c>
      <c r="D276">
        <v>2</v>
      </c>
      <c r="E276">
        <v>76891213375</v>
      </c>
      <c r="F276">
        <f t="shared" ca="1" si="8"/>
        <v>75</v>
      </c>
      <c r="G276">
        <f ca="1">VLOOKUP(E276,PurchItem!$A$2:$H$508,8,0)</f>
        <v>7755.8413437200061</v>
      </c>
      <c r="H276">
        <v>0.06</v>
      </c>
      <c r="I276" t="s">
        <v>244</v>
      </c>
      <c r="J276" s="5">
        <v>45381.594524409724</v>
      </c>
      <c r="K276" s="5">
        <v>45383.189048819448</v>
      </c>
      <c r="M276">
        <f t="shared" si="9"/>
        <v>10029727312</v>
      </c>
      <c r="N276">
        <f ca="1">IF(M276&lt;&gt;M275,INDEX(CustInfo!$A$2:$A$1001,RANDBETWEEN(1,1000)),N275)</f>
        <v>11295</v>
      </c>
      <c r="O276" t="s">
        <v>1001</v>
      </c>
      <c r="P276">
        <v>52936410</v>
      </c>
    </row>
    <row r="277" spans="1:16" x14ac:dyDescent="0.35">
      <c r="A277">
        <v>93827212083</v>
      </c>
      <c r="C277" s="2" t="s">
        <v>883</v>
      </c>
      <c r="D277">
        <v>1</v>
      </c>
      <c r="E277">
        <v>76891213556</v>
      </c>
      <c r="F277">
        <f t="shared" ca="1" si="8"/>
        <v>82</v>
      </c>
      <c r="G277">
        <f ca="1">VLOOKUP(E277,PurchItem!$A$2:$H$508,8,0)</f>
        <v>8388.3334614270243</v>
      </c>
      <c r="H277">
        <v>0.06</v>
      </c>
      <c r="I277" t="s">
        <v>244</v>
      </c>
      <c r="J277" s="5">
        <v>45399.594524409724</v>
      </c>
      <c r="K277" s="5">
        <v>45400.189048819448</v>
      </c>
      <c r="M277">
        <f t="shared" si="9"/>
        <v>10029727313</v>
      </c>
      <c r="N277">
        <f ca="1">IF(M277&lt;&gt;M276,INDEX(CustInfo!$A$2:$A$1001,RANDBETWEEN(1,1000)),N276)</f>
        <v>11581</v>
      </c>
      <c r="O277" t="s">
        <v>1003</v>
      </c>
      <c r="P277">
        <v>52936411</v>
      </c>
    </row>
    <row r="278" spans="1:16" x14ac:dyDescent="0.35">
      <c r="A278">
        <v>93827212083</v>
      </c>
      <c r="C278" s="2" t="s">
        <v>883</v>
      </c>
      <c r="D278">
        <v>2</v>
      </c>
      <c r="E278">
        <v>76891213459</v>
      </c>
      <c r="F278">
        <f t="shared" ca="1" si="8"/>
        <v>59</v>
      </c>
      <c r="G278">
        <f ca="1">VLOOKUP(E278,PurchItem!$A$2:$H$508,8,0)</f>
        <v>7764.6378819601523</v>
      </c>
      <c r="H278">
        <v>0.04</v>
      </c>
      <c r="I278" t="s">
        <v>244</v>
      </c>
      <c r="J278" s="5">
        <v>44831.594524409724</v>
      </c>
      <c r="K278" s="5">
        <v>44832.189048819448</v>
      </c>
      <c r="M278">
        <f t="shared" si="9"/>
        <v>10029727313</v>
      </c>
      <c r="N278">
        <f ca="1">IF(M278&lt;&gt;M277,INDEX(CustInfo!$A$2:$A$1001,RANDBETWEEN(1,1000)),N277)</f>
        <v>11581</v>
      </c>
      <c r="O278" t="s">
        <v>1003</v>
      </c>
      <c r="P278">
        <v>52936412</v>
      </c>
    </row>
    <row r="279" spans="1:16" x14ac:dyDescent="0.35">
      <c r="A279">
        <v>93827212084</v>
      </c>
      <c r="C279" s="2" t="s">
        <v>883</v>
      </c>
      <c r="D279">
        <v>1</v>
      </c>
      <c r="E279">
        <v>76891213318</v>
      </c>
      <c r="F279">
        <f t="shared" ca="1" si="8"/>
        <v>56</v>
      </c>
      <c r="G279">
        <f ca="1">VLOOKUP(E279,PurchItem!$A$2:$H$508,8,0)</f>
        <v>8260.5762424972345</v>
      </c>
      <c r="H279">
        <v>0.04</v>
      </c>
      <c r="I279" t="s">
        <v>244</v>
      </c>
      <c r="J279" s="5">
        <v>44896.594524409724</v>
      </c>
      <c r="K279" s="5">
        <v>44899.189048819448</v>
      </c>
      <c r="M279">
        <f t="shared" si="9"/>
        <v>10029727314</v>
      </c>
      <c r="N279">
        <f ca="1">IF(M279&lt;&gt;M278,INDEX(CustInfo!$A$2:$A$1001,RANDBETWEEN(1,1000)),N278)</f>
        <v>11627</v>
      </c>
      <c r="O279" t="s">
        <v>1002</v>
      </c>
      <c r="P279">
        <v>52936413</v>
      </c>
    </row>
    <row r="280" spans="1:16" x14ac:dyDescent="0.35">
      <c r="A280">
        <v>93827212084</v>
      </c>
      <c r="C280" s="2" t="s">
        <v>883</v>
      </c>
      <c r="D280">
        <v>2</v>
      </c>
      <c r="E280">
        <v>76891213273</v>
      </c>
      <c r="F280">
        <f t="shared" ca="1" si="8"/>
        <v>26</v>
      </c>
      <c r="G280">
        <f ca="1">VLOOKUP(E280,PurchItem!$A$2:$H$508,8,0)</f>
        <v>3906.5910334641267</v>
      </c>
      <c r="H280">
        <v>0.06</v>
      </c>
      <c r="I280" t="s">
        <v>244</v>
      </c>
      <c r="J280" s="5">
        <v>44721.594524409724</v>
      </c>
      <c r="K280" s="5">
        <v>44724.189048819448</v>
      </c>
      <c r="M280">
        <f t="shared" si="9"/>
        <v>10029727314</v>
      </c>
      <c r="N280">
        <f ca="1">IF(M280&lt;&gt;M279,INDEX(CustInfo!$A$2:$A$1001,RANDBETWEEN(1,1000)),N279)</f>
        <v>11627</v>
      </c>
      <c r="O280" t="s">
        <v>1002</v>
      </c>
      <c r="P280">
        <v>52936414</v>
      </c>
    </row>
    <row r="281" spans="1:16" x14ac:dyDescent="0.35">
      <c r="A281">
        <v>93827212085</v>
      </c>
      <c r="C281" s="2" t="s">
        <v>883</v>
      </c>
      <c r="D281">
        <v>1</v>
      </c>
      <c r="E281">
        <v>76891213561</v>
      </c>
      <c r="F281">
        <f t="shared" ca="1" si="8"/>
        <v>87</v>
      </c>
      <c r="G281">
        <f ca="1">VLOOKUP(E281,PurchItem!$A$2:$H$508,8,0)</f>
        <v>4135.0778560905919</v>
      </c>
      <c r="H281">
        <v>0.04</v>
      </c>
      <c r="I281" t="s">
        <v>244</v>
      </c>
      <c r="J281" s="5">
        <v>44971.594524409724</v>
      </c>
      <c r="K281" s="5">
        <v>44975.189048819448</v>
      </c>
      <c r="M281">
        <f t="shared" si="9"/>
        <v>10029727315</v>
      </c>
      <c r="N281">
        <f ca="1">IF(M281&lt;&gt;M280,INDEX(CustInfo!$A$2:$A$1001,RANDBETWEEN(1,1000)),N280)</f>
        <v>11423</v>
      </c>
      <c r="O281" t="s">
        <v>1003</v>
      </c>
      <c r="P281">
        <v>52936415</v>
      </c>
    </row>
    <row r="282" spans="1:16" x14ac:dyDescent="0.35">
      <c r="A282">
        <v>93827212086</v>
      </c>
      <c r="C282" s="2" t="s">
        <v>883</v>
      </c>
      <c r="D282">
        <v>1</v>
      </c>
      <c r="E282">
        <v>76891213540</v>
      </c>
      <c r="F282">
        <f t="shared" ca="1" si="8"/>
        <v>74</v>
      </c>
      <c r="G282">
        <f ca="1">VLOOKUP(E282,PurchItem!$A$2:$H$508,8,0)</f>
        <v>4363.4287015373038</v>
      </c>
      <c r="H282">
        <v>0.05</v>
      </c>
      <c r="I282" t="s">
        <v>244</v>
      </c>
      <c r="J282" s="5">
        <v>45236.594524409724</v>
      </c>
      <c r="K282" s="5">
        <v>45238.189048819448</v>
      </c>
      <c r="M282">
        <f t="shared" si="9"/>
        <v>10029727316</v>
      </c>
      <c r="N282">
        <f ca="1">IF(M282&lt;&gt;M281,INDEX(CustInfo!$A$2:$A$1001,RANDBETWEEN(1,1000)),N281)</f>
        <v>11590</v>
      </c>
      <c r="O282" t="s">
        <v>1003</v>
      </c>
      <c r="P282">
        <v>52936416</v>
      </c>
    </row>
    <row r="283" spans="1:16" x14ac:dyDescent="0.35">
      <c r="A283">
        <v>93827212086</v>
      </c>
      <c r="C283" s="2" t="s">
        <v>883</v>
      </c>
      <c r="D283">
        <v>2</v>
      </c>
      <c r="E283">
        <v>76891213479</v>
      </c>
      <c r="F283">
        <f t="shared" ca="1" si="8"/>
        <v>77</v>
      </c>
      <c r="G283">
        <f ca="1">VLOOKUP(E283,PurchItem!$A$2:$H$508,8,0)</f>
        <v>6220.9089937272938</v>
      </c>
      <c r="H283">
        <v>0.05</v>
      </c>
      <c r="I283" t="s">
        <v>244</v>
      </c>
      <c r="J283" s="5">
        <v>44867.594524409724</v>
      </c>
      <c r="K283" s="5">
        <v>44870.189048819448</v>
      </c>
      <c r="M283">
        <f t="shared" si="9"/>
        <v>10029727316</v>
      </c>
      <c r="N283">
        <f ca="1">IF(M283&lt;&gt;M282,INDEX(CustInfo!$A$2:$A$1001,RANDBETWEEN(1,1000)),N282)</f>
        <v>11590</v>
      </c>
      <c r="O283" t="s">
        <v>1003</v>
      </c>
      <c r="P283">
        <v>52936417</v>
      </c>
    </row>
    <row r="284" spans="1:16" x14ac:dyDescent="0.35">
      <c r="A284">
        <v>93827212086</v>
      </c>
      <c r="C284" s="2" t="s">
        <v>883</v>
      </c>
      <c r="D284">
        <v>3</v>
      </c>
      <c r="E284">
        <v>76891213575</v>
      </c>
      <c r="F284">
        <f t="shared" ca="1" si="8"/>
        <v>46</v>
      </c>
      <c r="G284">
        <f ca="1">VLOOKUP(E284,PurchItem!$A$2:$H$508,8,0)</f>
        <v>8506.0862336243208</v>
      </c>
      <c r="H284">
        <v>0.06</v>
      </c>
      <c r="I284" t="s">
        <v>244</v>
      </c>
      <c r="J284" s="5">
        <v>44831.594524409724</v>
      </c>
      <c r="K284" s="5">
        <v>44833.189048819448</v>
      </c>
      <c r="M284">
        <f t="shared" si="9"/>
        <v>10029727316</v>
      </c>
      <c r="N284">
        <f ca="1">IF(M284&lt;&gt;M283,INDEX(CustInfo!$A$2:$A$1001,RANDBETWEEN(1,1000)),N283)</f>
        <v>11590</v>
      </c>
      <c r="O284" t="s">
        <v>1003</v>
      </c>
      <c r="P284">
        <v>52936418</v>
      </c>
    </row>
    <row r="285" spans="1:16" x14ac:dyDescent="0.35">
      <c r="A285">
        <v>93827212087</v>
      </c>
      <c r="C285" s="2" t="s">
        <v>883</v>
      </c>
      <c r="D285">
        <v>1</v>
      </c>
      <c r="E285">
        <v>76891213516</v>
      </c>
      <c r="F285">
        <f t="shared" ca="1" si="8"/>
        <v>63</v>
      </c>
      <c r="G285">
        <f ca="1">VLOOKUP(E285,PurchItem!$A$2:$H$508,8,0)</f>
        <v>6085.3230799454695</v>
      </c>
      <c r="H285">
        <v>0.06</v>
      </c>
      <c r="I285" t="s">
        <v>244</v>
      </c>
      <c r="J285" s="5">
        <v>44871.594524409724</v>
      </c>
      <c r="K285" s="5">
        <v>44875.189048819448</v>
      </c>
      <c r="M285">
        <f t="shared" si="9"/>
        <v>10029727317</v>
      </c>
      <c r="N285">
        <f ca="1">IF(M285&lt;&gt;M284,INDEX(CustInfo!$A$2:$A$1001,RANDBETWEEN(1,1000)),N284)</f>
        <v>11885</v>
      </c>
      <c r="O285" t="s">
        <v>1002</v>
      </c>
      <c r="P285">
        <v>52936419</v>
      </c>
    </row>
    <row r="286" spans="1:16" x14ac:dyDescent="0.35">
      <c r="A286">
        <v>93827212087</v>
      </c>
      <c r="C286" s="2" t="s">
        <v>883</v>
      </c>
      <c r="D286">
        <v>2</v>
      </c>
      <c r="E286">
        <v>76891213233</v>
      </c>
      <c r="F286">
        <f t="shared" ca="1" si="8"/>
        <v>72</v>
      </c>
      <c r="G286">
        <f ca="1">VLOOKUP(E286,PurchItem!$A$2:$H$508,8,0)</f>
        <v>9181.2256991220602</v>
      </c>
      <c r="H286">
        <v>0.04</v>
      </c>
      <c r="I286" t="s">
        <v>244</v>
      </c>
      <c r="J286" s="5">
        <v>45318.594524409724</v>
      </c>
      <c r="K286" s="5">
        <v>45321.189048819448</v>
      </c>
      <c r="M286">
        <f t="shared" si="9"/>
        <v>10029727317</v>
      </c>
      <c r="N286">
        <f ca="1">IF(M286&lt;&gt;M285,INDEX(CustInfo!$A$2:$A$1001,RANDBETWEEN(1,1000)),N285)</f>
        <v>11885</v>
      </c>
      <c r="O286" t="s">
        <v>1002</v>
      </c>
      <c r="P286">
        <v>52936420</v>
      </c>
    </row>
    <row r="287" spans="1:16" x14ac:dyDescent="0.35">
      <c r="A287">
        <v>93827212087</v>
      </c>
      <c r="C287" s="2" t="s">
        <v>883</v>
      </c>
      <c r="D287">
        <v>3</v>
      </c>
      <c r="E287">
        <v>76891213604</v>
      </c>
      <c r="F287">
        <f t="shared" ca="1" si="8"/>
        <v>70</v>
      </c>
      <c r="G287">
        <f ca="1">VLOOKUP(E287,PurchItem!$A$2:$H$508,8,0)</f>
        <v>6398.1672211601835</v>
      </c>
      <c r="H287">
        <v>0.04</v>
      </c>
      <c r="I287" t="s">
        <v>244</v>
      </c>
      <c r="J287" s="5">
        <v>45061.594524409724</v>
      </c>
      <c r="K287" s="5">
        <v>45065.189048819448</v>
      </c>
      <c r="M287">
        <f t="shared" si="9"/>
        <v>10029727317</v>
      </c>
      <c r="N287">
        <f ca="1">IF(M287&lt;&gt;M286,INDEX(CustInfo!$A$2:$A$1001,RANDBETWEEN(1,1000)),N286)</f>
        <v>11885</v>
      </c>
      <c r="O287" t="s">
        <v>1002</v>
      </c>
      <c r="P287">
        <v>52936421</v>
      </c>
    </row>
    <row r="288" spans="1:16" x14ac:dyDescent="0.35">
      <c r="A288">
        <v>93827212087</v>
      </c>
      <c r="C288" s="2" t="s">
        <v>883</v>
      </c>
      <c r="D288">
        <v>4</v>
      </c>
      <c r="E288">
        <v>76891213200</v>
      </c>
      <c r="F288">
        <f t="shared" ca="1" si="8"/>
        <v>22</v>
      </c>
      <c r="G288">
        <f ca="1">VLOOKUP(E288,PurchItem!$A$2:$H$508,8,0)</f>
        <v>6550.2153182368647</v>
      </c>
      <c r="H288">
        <v>0.04</v>
      </c>
      <c r="I288" t="s">
        <v>244</v>
      </c>
      <c r="J288" s="5">
        <v>45298.594524409724</v>
      </c>
      <c r="K288" s="5">
        <v>45302.189048819448</v>
      </c>
      <c r="M288">
        <f t="shared" si="9"/>
        <v>10029727317</v>
      </c>
      <c r="N288">
        <f ca="1">IF(M288&lt;&gt;M287,INDEX(CustInfo!$A$2:$A$1001,RANDBETWEEN(1,1000)),N287)</f>
        <v>11885</v>
      </c>
      <c r="O288" t="s">
        <v>1002</v>
      </c>
      <c r="P288">
        <v>52936422</v>
      </c>
    </row>
    <row r="289" spans="1:16" x14ac:dyDescent="0.35">
      <c r="A289">
        <v>93827212088</v>
      </c>
      <c r="C289" s="2" t="s">
        <v>883</v>
      </c>
      <c r="D289">
        <v>1</v>
      </c>
      <c r="E289">
        <v>76891213297</v>
      </c>
      <c r="F289">
        <f t="shared" ca="1" si="8"/>
        <v>68</v>
      </c>
      <c r="G289">
        <f ca="1">VLOOKUP(E289,PurchItem!$A$2:$H$508,8,0)</f>
        <v>1230.6506719710349</v>
      </c>
      <c r="H289">
        <v>0.06</v>
      </c>
      <c r="I289" t="s">
        <v>244</v>
      </c>
      <c r="J289" s="5">
        <v>44647.594524409724</v>
      </c>
      <c r="K289" s="5">
        <v>44651.189048819448</v>
      </c>
      <c r="M289">
        <f t="shared" si="9"/>
        <v>10029727318</v>
      </c>
      <c r="N289">
        <f ca="1">IF(M289&lt;&gt;M288,INDEX(CustInfo!$A$2:$A$1001,RANDBETWEEN(1,1000)),N288)</f>
        <v>11740</v>
      </c>
      <c r="O289" t="s">
        <v>1003</v>
      </c>
      <c r="P289">
        <v>52936423</v>
      </c>
    </row>
    <row r="290" spans="1:16" x14ac:dyDescent="0.35">
      <c r="A290">
        <v>93827212088</v>
      </c>
      <c r="C290" s="2" t="s">
        <v>883</v>
      </c>
      <c r="D290">
        <v>2</v>
      </c>
      <c r="E290">
        <v>76891213157</v>
      </c>
      <c r="F290">
        <f t="shared" ca="1" si="8"/>
        <v>13</v>
      </c>
      <c r="G290">
        <f ca="1">VLOOKUP(E290,PurchItem!$A$2:$H$508,8,0)</f>
        <v>8322.4899114284071</v>
      </c>
      <c r="H290">
        <v>0.04</v>
      </c>
      <c r="I290" t="s">
        <v>244</v>
      </c>
      <c r="J290" s="5">
        <v>44618.594524409724</v>
      </c>
      <c r="K290" s="5">
        <v>44622.189048819448</v>
      </c>
      <c r="M290">
        <f t="shared" si="9"/>
        <v>10029727318</v>
      </c>
      <c r="N290">
        <f ca="1">IF(M290&lt;&gt;M289,INDEX(CustInfo!$A$2:$A$1001,RANDBETWEEN(1,1000)),N289)</f>
        <v>11740</v>
      </c>
      <c r="O290" t="s">
        <v>1003</v>
      </c>
      <c r="P290">
        <v>52936424</v>
      </c>
    </row>
    <row r="291" spans="1:16" x14ac:dyDescent="0.35">
      <c r="A291">
        <v>93827212088</v>
      </c>
      <c r="C291" s="2" t="s">
        <v>883</v>
      </c>
      <c r="D291">
        <v>3</v>
      </c>
      <c r="E291">
        <v>76891213487</v>
      </c>
      <c r="F291">
        <f t="shared" ca="1" si="8"/>
        <v>64</v>
      </c>
      <c r="G291">
        <f ca="1">VLOOKUP(E291,PurchItem!$A$2:$H$508,8,0)</f>
        <v>1165.8081853982208</v>
      </c>
      <c r="H291">
        <v>0.04</v>
      </c>
      <c r="I291" t="s">
        <v>244</v>
      </c>
      <c r="J291" s="5">
        <v>45492.594524409724</v>
      </c>
      <c r="K291" s="5">
        <v>45495.189048819448</v>
      </c>
      <c r="M291">
        <f t="shared" si="9"/>
        <v>10029727318</v>
      </c>
      <c r="N291">
        <f ca="1">IF(M291&lt;&gt;M290,INDEX(CustInfo!$A$2:$A$1001,RANDBETWEEN(1,1000)),N290)</f>
        <v>11740</v>
      </c>
      <c r="O291" t="s">
        <v>1003</v>
      </c>
      <c r="P291">
        <v>52936425</v>
      </c>
    </row>
    <row r="292" spans="1:16" x14ac:dyDescent="0.35">
      <c r="A292">
        <v>93827212088</v>
      </c>
      <c r="C292" s="2" t="s">
        <v>883</v>
      </c>
      <c r="D292">
        <v>4</v>
      </c>
      <c r="E292">
        <v>76891213575</v>
      </c>
      <c r="F292">
        <f t="shared" ca="1" si="8"/>
        <v>8</v>
      </c>
      <c r="G292">
        <f ca="1">VLOOKUP(E292,PurchItem!$A$2:$H$508,8,0)</f>
        <v>8506.0862336243208</v>
      </c>
      <c r="H292">
        <v>0.06</v>
      </c>
      <c r="I292" t="s">
        <v>244</v>
      </c>
      <c r="J292" s="5">
        <v>45345.594524409724</v>
      </c>
      <c r="K292" s="5">
        <v>45347.189048819448</v>
      </c>
      <c r="M292">
        <f t="shared" si="9"/>
        <v>10029727318</v>
      </c>
      <c r="N292">
        <f ca="1">IF(M292&lt;&gt;M291,INDEX(CustInfo!$A$2:$A$1001,RANDBETWEEN(1,1000)),N291)</f>
        <v>11740</v>
      </c>
      <c r="O292" t="s">
        <v>1003</v>
      </c>
      <c r="P292">
        <v>52936426</v>
      </c>
    </row>
    <row r="293" spans="1:16" x14ac:dyDescent="0.35">
      <c r="A293">
        <v>93827212089</v>
      </c>
      <c r="C293" s="2" t="s">
        <v>883</v>
      </c>
      <c r="D293">
        <v>1</v>
      </c>
      <c r="E293">
        <v>76891213228</v>
      </c>
      <c r="F293">
        <f t="shared" ca="1" si="8"/>
        <v>75</v>
      </c>
      <c r="G293">
        <f ca="1">VLOOKUP(E293,PurchItem!$A$2:$H$508,8,0)</f>
        <v>2204.5147768831243</v>
      </c>
      <c r="H293">
        <v>0.04</v>
      </c>
      <c r="I293" t="s">
        <v>244</v>
      </c>
      <c r="J293" s="5">
        <v>45276.594524409724</v>
      </c>
      <c r="K293" s="5">
        <v>45280.189048819448</v>
      </c>
      <c r="M293">
        <f t="shared" si="9"/>
        <v>10029727319</v>
      </c>
      <c r="N293">
        <f ca="1">IF(M293&lt;&gt;M292,INDEX(CustInfo!$A$2:$A$1001,RANDBETWEEN(1,1000)),N292)</f>
        <v>11603</v>
      </c>
      <c r="O293" t="s">
        <v>1001</v>
      </c>
      <c r="P293">
        <v>52936427</v>
      </c>
    </row>
    <row r="294" spans="1:16" x14ac:dyDescent="0.35">
      <c r="A294">
        <v>93827212089</v>
      </c>
      <c r="C294" s="2" t="s">
        <v>883</v>
      </c>
      <c r="D294">
        <v>2</v>
      </c>
      <c r="E294">
        <v>76891213276</v>
      </c>
      <c r="F294">
        <f t="shared" ca="1" si="8"/>
        <v>18</v>
      </c>
      <c r="G294">
        <f ca="1">VLOOKUP(E294,PurchItem!$A$2:$H$508,8,0)</f>
        <v>1231.4185671508574</v>
      </c>
      <c r="H294">
        <v>0.05</v>
      </c>
      <c r="I294" t="s">
        <v>244</v>
      </c>
      <c r="J294" s="5">
        <v>45482.594524409724</v>
      </c>
      <c r="K294" s="5">
        <v>45485.189048819448</v>
      </c>
      <c r="M294">
        <f t="shared" si="9"/>
        <v>10029727319</v>
      </c>
      <c r="N294">
        <f ca="1">IF(M294&lt;&gt;M293,INDEX(CustInfo!$A$2:$A$1001,RANDBETWEEN(1,1000)),N293)</f>
        <v>11603</v>
      </c>
      <c r="O294" t="s">
        <v>1001</v>
      </c>
      <c r="P294">
        <v>52936428</v>
      </c>
    </row>
    <row r="295" spans="1:16" x14ac:dyDescent="0.35">
      <c r="A295">
        <v>93827212090</v>
      </c>
      <c r="C295" s="2" t="s">
        <v>883</v>
      </c>
      <c r="D295">
        <v>1</v>
      </c>
      <c r="E295">
        <v>76891213600</v>
      </c>
      <c r="F295">
        <f t="shared" ca="1" si="8"/>
        <v>80</v>
      </c>
      <c r="G295">
        <f ca="1">VLOOKUP(E295,PurchItem!$A$2:$H$508,8,0)</f>
        <v>7451.9049034169639</v>
      </c>
      <c r="H295">
        <v>0.05</v>
      </c>
      <c r="I295" t="s">
        <v>244</v>
      </c>
      <c r="J295" s="5">
        <v>45157.594524409724</v>
      </c>
      <c r="K295" s="5">
        <v>45160.189048819448</v>
      </c>
      <c r="M295">
        <f t="shared" si="9"/>
        <v>10029727320</v>
      </c>
      <c r="N295">
        <f ca="1">IF(M295&lt;&gt;M294,INDEX(CustInfo!$A$2:$A$1001,RANDBETWEEN(1,1000)),N294)</f>
        <v>11602</v>
      </c>
      <c r="O295" t="s">
        <v>1001</v>
      </c>
      <c r="P295">
        <v>52936429</v>
      </c>
    </row>
    <row r="296" spans="1:16" x14ac:dyDescent="0.35">
      <c r="A296">
        <v>93827212090</v>
      </c>
      <c r="C296" s="2" t="s">
        <v>883</v>
      </c>
      <c r="D296">
        <v>2</v>
      </c>
      <c r="E296">
        <v>76891213266</v>
      </c>
      <c r="F296">
        <f t="shared" ca="1" si="8"/>
        <v>19</v>
      </c>
      <c r="G296">
        <f ca="1">VLOOKUP(E296,PurchItem!$A$2:$H$508,8,0)</f>
        <v>1275.2501267518942</v>
      </c>
      <c r="H296">
        <v>0.06</v>
      </c>
      <c r="I296" t="s">
        <v>244</v>
      </c>
      <c r="J296" s="5">
        <v>45272.594524409724</v>
      </c>
      <c r="K296" s="5">
        <v>45274.189048819448</v>
      </c>
      <c r="M296">
        <f t="shared" si="9"/>
        <v>10029727320</v>
      </c>
      <c r="N296">
        <f ca="1">IF(M296&lt;&gt;M295,INDEX(CustInfo!$A$2:$A$1001,RANDBETWEEN(1,1000)),N295)</f>
        <v>11602</v>
      </c>
      <c r="O296" t="s">
        <v>1001</v>
      </c>
      <c r="P296">
        <v>52936430</v>
      </c>
    </row>
    <row r="297" spans="1:16" x14ac:dyDescent="0.35">
      <c r="A297">
        <v>93827212090</v>
      </c>
      <c r="C297" s="2" t="s">
        <v>883</v>
      </c>
      <c r="D297">
        <v>3</v>
      </c>
      <c r="E297">
        <v>76891213488</v>
      </c>
      <c r="F297">
        <f t="shared" ca="1" si="8"/>
        <v>44</v>
      </c>
      <c r="G297">
        <f ca="1">VLOOKUP(E297,PurchItem!$A$2:$H$508,8,0)</f>
        <v>5393.4804222875409</v>
      </c>
      <c r="H297">
        <v>0.06</v>
      </c>
      <c r="I297" t="s">
        <v>244</v>
      </c>
      <c r="J297" s="5">
        <v>44826.594524409724</v>
      </c>
      <c r="K297" s="5">
        <v>44828.189048819448</v>
      </c>
      <c r="M297">
        <f t="shared" si="9"/>
        <v>10029727320</v>
      </c>
      <c r="N297">
        <f ca="1">IF(M297&lt;&gt;M296,INDEX(CustInfo!$A$2:$A$1001,RANDBETWEEN(1,1000)),N296)</f>
        <v>11602</v>
      </c>
      <c r="O297" t="s">
        <v>1001</v>
      </c>
      <c r="P297">
        <v>52936431</v>
      </c>
    </row>
    <row r="298" spans="1:16" x14ac:dyDescent="0.35">
      <c r="A298">
        <v>93827212091</v>
      </c>
      <c r="C298" s="2" t="s">
        <v>883</v>
      </c>
      <c r="D298">
        <v>1</v>
      </c>
      <c r="E298">
        <v>76891213583</v>
      </c>
      <c r="F298">
        <f t="shared" ca="1" si="8"/>
        <v>97</v>
      </c>
      <c r="G298">
        <f ca="1">VLOOKUP(E298,PurchItem!$A$2:$H$508,8,0)</f>
        <v>6521.760940905634</v>
      </c>
      <c r="H298">
        <v>0.05</v>
      </c>
      <c r="I298" t="s">
        <v>244</v>
      </c>
      <c r="J298" s="5">
        <v>45469.594524409724</v>
      </c>
      <c r="K298" s="5">
        <v>45470.189048819448</v>
      </c>
      <c r="M298">
        <f t="shared" si="9"/>
        <v>10029727321</v>
      </c>
      <c r="N298">
        <f ca="1">IF(M298&lt;&gt;M297,INDEX(CustInfo!$A$2:$A$1001,RANDBETWEEN(1,1000)),N297)</f>
        <v>11619</v>
      </c>
      <c r="O298" t="s">
        <v>1001</v>
      </c>
      <c r="P298">
        <v>52936432</v>
      </c>
    </row>
    <row r="299" spans="1:16" x14ac:dyDescent="0.35">
      <c r="A299">
        <v>93827212091</v>
      </c>
      <c r="C299" s="2" t="s">
        <v>883</v>
      </c>
      <c r="D299">
        <v>2</v>
      </c>
      <c r="E299">
        <v>76891213595</v>
      </c>
      <c r="F299">
        <f t="shared" ca="1" si="8"/>
        <v>46</v>
      </c>
      <c r="G299">
        <f ca="1">VLOOKUP(E299,PurchItem!$A$2:$H$508,8,0)</f>
        <v>2658.4140040926222</v>
      </c>
      <c r="H299">
        <v>0.05</v>
      </c>
      <c r="I299" t="s">
        <v>244</v>
      </c>
      <c r="J299" s="5">
        <v>45028.594524409724</v>
      </c>
      <c r="K299" s="5">
        <v>45030.189048819448</v>
      </c>
      <c r="M299">
        <f t="shared" si="9"/>
        <v>10029727321</v>
      </c>
      <c r="N299">
        <f ca="1">IF(M299&lt;&gt;M298,INDEX(CustInfo!$A$2:$A$1001,RANDBETWEEN(1,1000)),N298)</f>
        <v>11619</v>
      </c>
      <c r="O299" t="s">
        <v>1001</v>
      </c>
      <c r="P299">
        <v>52936433</v>
      </c>
    </row>
    <row r="300" spans="1:16" x14ac:dyDescent="0.35">
      <c r="A300">
        <v>93827212092</v>
      </c>
      <c r="C300" s="2" t="s">
        <v>883</v>
      </c>
      <c r="D300">
        <v>1</v>
      </c>
      <c r="E300">
        <v>76891213632</v>
      </c>
      <c r="F300">
        <f t="shared" ca="1" si="8"/>
        <v>56</v>
      </c>
      <c r="G300">
        <f ca="1">VLOOKUP(E300,PurchItem!$A$2:$H$508,8,0)</f>
        <v>2684.3182600797395</v>
      </c>
      <c r="H300">
        <v>0.06</v>
      </c>
      <c r="I300" t="s">
        <v>244</v>
      </c>
      <c r="J300" s="5">
        <v>44576.594524409724</v>
      </c>
      <c r="K300" s="5">
        <v>44579.189048819448</v>
      </c>
      <c r="M300">
        <f t="shared" si="9"/>
        <v>10029727322</v>
      </c>
      <c r="N300">
        <f ca="1">IF(M300&lt;&gt;M299,INDEX(CustInfo!$A$2:$A$1001,RANDBETWEEN(1,1000)),N299)</f>
        <v>11253</v>
      </c>
      <c r="O300" t="s">
        <v>1002</v>
      </c>
      <c r="P300">
        <v>52936434</v>
      </c>
    </row>
    <row r="301" spans="1:16" x14ac:dyDescent="0.35">
      <c r="A301">
        <v>93827212092</v>
      </c>
      <c r="C301" s="2" t="s">
        <v>883</v>
      </c>
      <c r="D301">
        <v>2</v>
      </c>
      <c r="E301">
        <v>76891213528</v>
      </c>
      <c r="F301">
        <f t="shared" ca="1" si="8"/>
        <v>15</v>
      </c>
      <c r="G301">
        <f ca="1">VLOOKUP(E301,PurchItem!$A$2:$H$508,8,0)</f>
        <v>8635.9221287063683</v>
      </c>
      <c r="H301">
        <v>0.04</v>
      </c>
      <c r="I301" t="s">
        <v>244</v>
      </c>
      <c r="J301" s="5">
        <v>44745.594524409724</v>
      </c>
      <c r="K301" s="5">
        <v>44749.189048819448</v>
      </c>
      <c r="M301">
        <f t="shared" si="9"/>
        <v>10029727322</v>
      </c>
      <c r="N301">
        <f ca="1">IF(M301&lt;&gt;M300,INDEX(CustInfo!$A$2:$A$1001,RANDBETWEEN(1,1000)),N300)</f>
        <v>11253</v>
      </c>
      <c r="O301" t="s">
        <v>1002</v>
      </c>
      <c r="P301">
        <v>52936435</v>
      </c>
    </row>
    <row r="302" spans="1:16" x14ac:dyDescent="0.35">
      <c r="A302">
        <v>93827212092</v>
      </c>
      <c r="C302" s="2" t="s">
        <v>883</v>
      </c>
      <c r="D302">
        <v>3</v>
      </c>
      <c r="E302">
        <v>76891213574</v>
      </c>
      <c r="F302">
        <f t="shared" ca="1" si="8"/>
        <v>65</v>
      </c>
      <c r="G302">
        <f ca="1">VLOOKUP(E302,PurchItem!$A$2:$H$508,8,0)</f>
        <v>464.77139842259504</v>
      </c>
      <c r="H302">
        <v>0.06</v>
      </c>
      <c r="I302" t="s">
        <v>244</v>
      </c>
      <c r="J302" s="5">
        <v>44902.594524409724</v>
      </c>
      <c r="K302" s="5">
        <v>44903.189048819448</v>
      </c>
      <c r="M302">
        <f t="shared" si="9"/>
        <v>10029727322</v>
      </c>
      <c r="N302">
        <f ca="1">IF(M302&lt;&gt;M301,INDEX(CustInfo!$A$2:$A$1001,RANDBETWEEN(1,1000)),N301)</f>
        <v>11253</v>
      </c>
      <c r="O302" t="s">
        <v>1002</v>
      </c>
      <c r="P302">
        <v>52936436</v>
      </c>
    </row>
    <row r="303" spans="1:16" x14ac:dyDescent="0.35">
      <c r="A303">
        <v>93827212093</v>
      </c>
      <c r="C303" s="2" t="s">
        <v>883</v>
      </c>
      <c r="D303">
        <v>1</v>
      </c>
      <c r="E303">
        <v>76891213540</v>
      </c>
      <c r="F303">
        <f t="shared" ca="1" si="8"/>
        <v>82</v>
      </c>
      <c r="G303">
        <f ca="1">VLOOKUP(E303,PurchItem!$A$2:$H$508,8,0)</f>
        <v>4363.4287015373038</v>
      </c>
      <c r="H303">
        <v>0.06</v>
      </c>
      <c r="I303" t="s">
        <v>244</v>
      </c>
      <c r="J303" s="5">
        <v>45140.594524409724</v>
      </c>
      <c r="K303" s="5">
        <v>45141.189048819448</v>
      </c>
      <c r="M303">
        <f t="shared" si="9"/>
        <v>10029727323</v>
      </c>
      <c r="N303">
        <f ca="1">IF(M303&lt;&gt;M302,INDEX(CustInfo!$A$2:$A$1001,RANDBETWEEN(1,1000)),N302)</f>
        <v>11879</v>
      </c>
      <c r="O303" t="s">
        <v>1003</v>
      </c>
      <c r="P303">
        <v>52936437</v>
      </c>
    </row>
    <row r="304" spans="1:16" x14ac:dyDescent="0.35">
      <c r="A304">
        <v>93827212093</v>
      </c>
      <c r="C304" s="2" t="s">
        <v>883</v>
      </c>
      <c r="D304">
        <v>2</v>
      </c>
      <c r="E304">
        <v>76891213571</v>
      </c>
      <c r="F304">
        <f t="shared" ca="1" si="8"/>
        <v>15</v>
      </c>
      <c r="G304">
        <f ca="1">VLOOKUP(E304,PurchItem!$A$2:$H$508,8,0)</f>
        <v>3575.5287130457696</v>
      </c>
      <c r="H304">
        <v>0.04</v>
      </c>
      <c r="I304" t="s">
        <v>244</v>
      </c>
      <c r="J304" s="5">
        <v>44567.594524409724</v>
      </c>
      <c r="K304" s="5">
        <v>44571.189048819448</v>
      </c>
      <c r="M304">
        <f t="shared" si="9"/>
        <v>10029727323</v>
      </c>
      <c r="N304">
        <f ca="1">IF(M304&lt;&gt;M303,INDEX(CustInfo!$A$2:$A$1001,RANDBETWEEN(1,1000)),N303)</f>
        <v>11879</v>
      </c>
      <c r="O304" t="s">
        <v>1003</v>
      </c>
      <c r="P304">
        <v>52936438</v>
      </c>
    </row>
    <row r="305" spans="1:16" x14ac:dyDescent="0.35">
      <c r="A305">
        <v>93827212094</v>
      </c>
      <c r="C305" s="2" t="s">
        <v>883</v>
      </c>
      <c r="D305">
        <v>1</v>
      </c>
      <c r="E305">
        <v>76891213414</v>
      </c>
      <c r="F305">
        <f t="shared" ca="1" si="8"/>
        <v>97</v>
      </c>
      <c r="G305">
        <f ca="1">VLOOKUP(E305,PurchItem!$A$2:$H$508,8,0)</f>
        <v>9766.7832998304748</v>
      </c>
      <c r="H305">
        <v>0.04</v>
      </c>
      <c r="I305" t="s">
        <v>244</v>
      </c>
      <c r="J305" s="5">
        <v>45321.594524409724</v>
      </c>
      <c r="K305" s="5">
        <v>45325.189048819448</v>
      </c>
      <c r="M305">
        <f t="shared" si="9"/>
        <v>10029727324</v>
      </c>
      <c r="N305">
        <f ca="1">IF(M305&lt;&gt;M304,INDEX(CustInfo!$A$2:$A$1001,RANDBETWEEN(1,1000)),N304)</f>
        <v>11970</v>
      </c>
      <c r="O305" t="s">
        <v>1001</v>
      </c>
      <c r="P305">
        <v>52936439</v>
      </c>
    </row>
    <row r="306" spans="1:16" x14ac:dyDescent="0.35">
      <c r="A306">
        <v>93827212095</v>
      </c>
      <c r="C306" s="2" t="s">
        <v>883</v>
      </c>
      <c r="D306">
        <v>1</v>
      </c>
      <c r="E306">
        <v>76891213597</v>
      </c>
      <c r="F306">
        <f t="shared" ca="1" si="8"/>
        <v>8</v>
      </c>
      <c r="G306">
        <f ca="1">VLOOKUP(E306,PurchItem!$A$2:$H$508,8,0)</f>
        <v>6407.6591066993278</v>
      </c>
      <c r="H306">
        <v>0.05</v>
      </c>
      <c r="I306" t="s">
        <v>244</v>
      </c>
      <c r="J306" s="5">
        <v>45058.594524409724</v>
      </c>
      <c r="K306" s="5">
        <v>45062.189048819448</v>
      </c>
      <c r="M306">
        <f t="shared" si="9"/>
        <v>10029727325</v>
      </c>
      <c r="N306">
        <f ca="1">IF(M306&lt;&gt;M305,INDEX(CustInfo!$A$2:$A$1001,RANDBETWEEN(1,1000)),N305)</f>
        <v>11952</v>
      </c>
      <c r="O306" t="s">
        <v>1002</v>
      </c>
      <c r="P306">
        <v>52936440</v>
      </c>
    </row>
    <row r="307" spans="1:16" x14ac:dyDescent="0.35">
      <c r="A307">
        <v>93827212096</v>
      </c>
      <c r="C307" s="2" t="s">
        <v>883</v>
      </c>
      <c r="D307">
        <v>1</v>
      </c>
      <c r="E307">
        <v>76891213579</v>
      </c>
      <c r="F307">
        <f t="shared" ca="1" si="8"/>
        <v>85</v>
      </c>
      <c r="G307">
        <f ca="1">VLOOKUP(E307,PurchItem!$A$2:$H$508,8,0)</f>
        <v>7916.3108134357099</v>
      </c>
      <c r="H307">
        <v>0.06</v>
      </c>
      <c r="I307" t="s">
        <v>244</v>
      </c>
      <c r="J307" s="5">
        <v>45542.594524409724</v>
      </c>
      <c r="K307" s="5">
        <v>45543.189048819448</v>
      </c>
      <c r="M307">
        <f t="shared" si="9"/>
        <v>10029727326</v>
      </c>
      <c r="N307">
        <f ca="1">IF(M307&lt;&gt;M306,INDEX(CustInfo!$A$2:$A$1001,RANDBETWEEN(1,1000)),N306)</f>
        <v>11373</v>
      </c>
      <c r="O307" t="s">
        <v>1003</v>
      </c>
      <c r="P307">
        <v>52936441</v>
      </c>
    </row>
    <row r="308" spans="1:16" x14ac:dyDescent="0.35">
      <c r="A308">
        <v>93827212096</v>
      </c>
      <c r="C308" s="2" t="s">
        <v>883</v>
      </c>
      <c r="D308">
        <v>2</v>
      </c>
      <c r="E308">
        <v>76891213450</v>
      </c>
      <c r="F308">
        <f t="shared" ca="1" si="8"/>
        <v>6</v>
      </c>
      <c r="G308">
        <f ca="1">VLOOKUP(E308,PurchItem!$A$2:$H$508,8,0)</f>
        <v>127.27613352870286</v>
      </c>
      <c r="H308">
        <v>0.05</v>
      </c>
      <c r="I308" t="s">
        <v>244</v>
      </c>
      <c r="J308" s="5">
        <v>45195.594524409724</v>
      </c>
      <c r="K308" s="5">
        <v>45199.189048819448</v>
      </c>
      <c r="M308">
        <f t="shared" si="9"/>
        <v>10029727326</v>
      </c>
      <c r="N308">
        <f ca="1">IF(M308&lt;&gt;M307,INDEX(CustInfo!$A$2:$A$1001,RANDBETWEEN(1,1000)),N307)</f>
        <v>11373</v>
      </c>
      <c r="O308" t="s">
        <v>1003</v>
      </c>
      <c r="P308">
        <v>52936442</v>
      </c>
    </row>
    <row r="309" spans="1:16" x14ac:dyDescent="0.35">
      <c r="A309">
        <v>93827212096</v>
      </c>
      <c r="C309" s="2" t="s">
        <v>883</v>
      </c>
      <c r="D309">
        <v>3</v>
      </c>
      <c r="E309">
        <v>76891213310</v>
      </c>
      <c r="F309">
        <f t="shared" ca="1" si="8"/>
        <v>11</v>
      </c>
      <c r="G309">
        <f ca="1">VLOOKUP(E309,PurchItem!$A$2:$H$508,8,0)</f>
        <v>7148.7204018000157</v>
      </c>
      <c r="H309">
        <v>0.04</v>
      </c>
      <c r="I309" t="s">
        <v>244</v>
      </c>
      <c r="J309" s="5">
        <v>45236.594524409724</v>
      </c>
      <c r="K309" s="5">
        <v>45238.189048819448</v>
      </c>
      <c r="M309">
        <f t="shared" si="9"/>
        <v>10029727326</v>
      </c>
      <c r="N309">
        <f ca="1">IF(M309&lt;&gt;M308,INDEX(CustInfo!$A$2:$A$1001,RANDBETWEEN(1,1000)),N308)</f>
        <v>11373</v>
      </c>
      <c r="O309" t="s">
        <v>1003</v>
      </c>
      <c r="P309">
        <v>52936443</v>
      </c>
    </row>
    <row r="310" spans="1:16" x14ac:dyDescent="0.35">
      <c r="A310">
        <v>93827212096</v>
      </c>
      <c r="C310" s="2" t="s">
        <v>883</v>
      </c>
      <c r="D310">
        <v>4</v>
      </c>
      <c r="E310">
        <v>76891213204</v>
      </c>
      <c r="F310">
        <f t="shared" ca="1" si="8"/>
        <v>39</v>
      </c>
      <c r="G310">
        <f ca="1">VLOOKUP(E310,PurchItem!$A$2:$H$508,8,0)</f>
        <v>463.02454813375948</v>
      </c>
      <c r="H310">
        <v>0.05</v>
      </c>
      <c r="I310" t="s">
        <v>244</v>
      </c>
      <c r="J310" s="5">
        <v>44724.594524409724</v>
      </c>
      <c r="K310" s="5">
        <v>44727.189048819448</v>
      </c>
      <c r="M310">
        <f t="shared" si="9"/>
        <v>10029727326</v>
      </c>
      <c r="N310">
        <f ca="1">IF(M310&lt;&gt;M309,INDEX(CustInfo!$A$2:$A$1001,RANDBETWEEN(1,1000)),N309)</f>
        <v>11373</v>
      </c>
      <c r="O310" t="s">
        <v>1003</v>
      </c>
      <c r="P310">
        <v>52936444</v>
      </c>
    </row>
    <row r="311" spans="1:16" x14ac:dyDescent="0.35">
      <c r="A311">
        <v>93827212097</v>
      </c>
      <c r="C311" s="2" t="s">
        <v>883</v>
      </c>
      <c r="D311">
        <v>1</v>
      </c>
      <c r="E311">
        <v>76891213499</v>
      </c>
      <c r="F311">
        <f t="shared" ca="1" si="8"/>
        <v>13</v>
      </c>
      <c r="G311">
        <f ca="1">VLOOKUP(E311,PurchItem!$A$2:$H$508,8,0)</f>
        <v>4264.1968914330655</v>
      </c>
      <c r="H311">
        <v>0.05</v>
      </c>
      <c r="I311" t="s">
        <v>244</v>
      </c>
      <c r="J311" s="5">
        <v>45100.594524409724</v>
      </c>
      <c r="K311" s="5">
        <v>45102.189048819448</v>
      </c>
      <c r="M311">
        <f t="shared" si="9"/>
        <v>10029727327</v>
      </c>
      <c r="N311">
        <f ca="1">IF(M311&lt;&gt;M310,INDEX(CustInfo!$A$2:$A$1001,RANDBETWEEN(1,1000)),N310)</f>
        <v>11613</v>
      </c>
      <c r="O311" t="s">
        <v>1003</v>
      </c>
      <c r="P311">
        <v>52936445</v>
      </c>
    </row>
    <row r="312" spans="1:16" x14ac:dyDescent="0.35">
      <c r="A312">
        <v>93827212097</v>
      </c>
      <c r="C312" s="2" t="s">
        <v>883</v>
      </c>
      <c r="D312">
        <v>2</v>
      </c>
      <c r="E312">
        <v>76891213305</v>
      </c>
      <c r="F312">
        <f t="shared" ca="1" si="8"/>
        <v>55</v>
      </c>
      <c r="G312">
        <f ca="1">VLOOKUP(E312,PurchItem!$A$2:$H$508,8,0)</f>
        <v>7454.0016740690317</v>
      </c>
      <c r="H312">
        <v>0.05</v>
      </c>
      <c r="I312" t="s">
        <v>244</v>
      </c>
      <c r="J312" s="5">
        <v>45167.594524409724</v>
      </c>
      <c r="K312" s="5">
        <v>45168.189048819448</v>
      </c>
      <c r="M312">
        <f t="shared" si="9"/>
        <v>10029727327</v>
      </c>
      <c r="N312">
        <f ca="1">IF(M312&lt;&gt;M311,INDEX(CustInfo!$A$2:$A$1001,RANDBETWEEN(1,1000)),N311)</f>
        <v>11613</v>
      </c>
      <c r="O312" t="s">
        <v>1003</v>
      </c>
      <c r="P312">
        <v>52936446</v>
      </c>
    </row>
    <row r="313" spans="1:16" x14ac:dyDescent="0.35">
      <c r="A313">
        <v>93827212098</v>
      </c>
      <c r="C313" s="2" t="s">
        <v>883</v>
      </c>
      <c r="D313">
        <v>1</v>
      </c>
      <c r="E313">
        <v>76891213596</v>
      </c>
      <c r="F313">
        <f t="shared" ca="1" si="8"/>
        <v>71</v>
      </c>
      <c r="G313">
        <f ca="1">VLOOKUP(E313,PurchItem!$A$2:$H$508,8,0)</f>
        <v>4771.1199477066812</v>
      </c>
      <c r="H313">
        <v>0.06</v>
      </c>
      <c r="I313" t="s">
        <v>244</v>
      </c>
      <c r="J313" s="5">
        <v>44650.594524409724</v>
      </c>
      <c r="K313" s="5">
        <v>44654.189048819448</v>
      </c>
      <c r="M313">
        <f t="shared" si="9"/>
        <v>10029727328</v>
      </c>
      <c r="N313">
        <f ca="1">IF(M313&lt;&gt;M312,INDEX(CustInfo!$A$2:$A$1001,RANDBETWEEN(1,1000)),N312)</f>
        <v>11680</v>
      </c>
      <c r="O313" t="s">
        <v>1002</v>
      </c>
      <c r="P313">
        <v>52936447</v>
      </c>
    </row>
    <row r="314" spans="1:16" x14ac:dyDescent="0.35">
      <c r="A314">
        <v>93827212098</v>
      </c>
      <c r="C314" s="2" t="s">
        <v>883</v>
      </c>
      <c r="D314">
        <v>2</v>
      </c>
      <c r="E314">
        <v>76891213342</v>
      </c>
      <c r="F314">
        <f t="shared" ca="1" si="8"/>
        <v>80</v>
      </c>
      <c r="G314">
        <f ca="1">VLOOKUP(E314,PurchItem!$A$2:$H$508,8,0)</f>
        <v>2652.6752980988185</v>
      </c>
      <c r="H314">
        <v>0.04</v>
      </c>
      <c r="I314" t="s">
        <v>244</v>
      </c>
      <c r="J314" s="5">
        <v>44846.594524409724</v>
      </c>
      <c r="K314" s="5">
        <v>44848.189048819448</v>
      </c>
      <c r="M314">
        <f t="shared" si="9"/>
        <v>10029727328</v>
      </c>
      <c r="N314">
        <f ca="1">IF(M314&lt;&gt;M313,INDEX(CustInfo!$A$2:$A$1001,RANDBETWEEN(1,1000)),N313)</f>
        <v>11680</v>
      </c>
      <c r="O314" t="s">
        <v>1002</v>
      </c>
      <c r="P314">
        <v>52936448</v>
      </c>
    </row>
    <row r="315" spans="1:16" x14ac:dyDescent="0.35">
      <c r="A315">
        <v>93827212099</v>
      </c>
      <c r="C315" s="2" t="s">
        <v>883</v>
      </c>
      <c r="D315">
        <v>1</v>
      </c>
      <c r="E315">
        <v>76891213452</v>
      </c>
      <c r="F315">
        <f t="shared" ca="1" si="8"/>
        <v>84</v>
      </c>
      <c r="G315">
        <f ca="1">VLOOKUP(E315,PurchItem!$A$2:$H$508,8,0)</f>
        <v>6346.9434428168151</v>
      </c>
      <c r="H315">
        <v>0.04</v>
      </c>
      <c r="I315" t="s">
        <v>244</v>
      </c>
      <c r="J315" s="5">
        <v>45408.594524409724</v>
      </c>
      <c r="K315" s="5">
        <v>45412.189048819448</v>
      </c>
      <c r="M315">
        <f t="shared" si="9"/>
        <v>10029727329</v>
      </c>
      <c r="N315">
        <f ca="1">IF(M315&lt;&gt;M314,INDEX(CustInfo!$A$2:$A$1001,RANDBETWEEN(1,1000)),N314)</f>
        <v>11906</v>
      </c>
      <c r="O315" t="s">
        <v>1003</v>
      </c>
      <c r="P315">
        <v>52936449</v>
      </c>
    </row>
    <row r="316" spans="1:16" x14ac:dyDescent="0.35">
      <c r="A316">
        <v>93827212099</v>
      </c>
      <c r="C316" s="2" t="s">
        <v>883</v>
      </c>
      <c r="D316">
        <v>2</v>
      </c>
      <c r="E316">
        <v>76891213321</v>
      </c>
      <c r="F316">
        <f t="shared" ca="1" si="8"/>
        <v>16</v>
      </c>
      <c r="G316">
        <f ca="1">VLOOKUP(E316,PurchItem!$A$2:$H$508,8,0)</f>
        <v>9543.4672699482726</v>
      </c>
      <c r="H316">
        <v>0.05</v>
      </c>
      <c r="I316" t="s">
        <v>244</v>
      </c>
      <c r="J316" s="5">
        <v>45171.594524409724</v>
      </c>
      <c r="K316" s="5">
        <v>45172.189048819448</v>
      </c>
      <c r="M316">
        <f t="shared" si="9"/>
        <v>10029727329</v>
      </c>
      <c r="N316">
        <f ca="1">IF(M316&lt;&gt;M315,INDEX(CustInfo!$A$2:$A$1001,RANDBETWEEN(1,1000)),N315)</f>
        <v>11906</v>
      </c>
      <c r="O316" t="s">
        <v>1003</v>
      </c>
      <c r="P316">
        <v>52936450</v>
      </c>
    </row>
    <row r="317" spans="1:16" x14ac:dyDescent="0.35">
      <c r="A317">
        <v>93827212099</v>
      </c>
      <c r="C317" s="2" t="s">
        <v>883</v>
      </c>
      <c r="D317">
        <v>3</v>
      </c>
      <c r="E317">
        <v>76891213299</v>
      </c>
      <c r="F317">
        <f t="shared" ca="1" si="8"/>
        <v>90</v>
      </c>
      <c r="G317">
        <f ca="1">VLOOKUP(E317,PurchItem!$A$2:$H$508,8,0)</f>
        <v>2827.2951808398761</v>
      </c>
      <c r="H317">
        <v>0.04</v>
      </c>
      <c r="I317" t="s">
        <v>244</v>
      </c>
      <c r="J317" s="5">
        <v>45288.594524409724</v>
      </c>
      <c r="K317" s="5">
        <v>45292.189048819448</v>
      </c>
      <c r="M317">
        <f t="shared" si="9"/>
        <v>10029727329</v>
      </c>
      <c r="N317">
        <f ca="1">IF(M317&lt;&gt;M316,INDEX(CustInfo!$A$2:$A$1001,RANDBETWEEN(1,1000)),N316)</f>
        <v>11906</v>
      </c>
      <c r="O317" t="s">
        <v>1003</v>
      </c>
      <c r="P317">
        <v>52936451</v>
      </c>
    </row>
    <row r="318" spans="1:16" x14ac:dyDescent="0.35">
      <c r="A318">
        <v>93827212099</v>
      </c>
      <c r="C318" s="2" t="s">
        <v>883</v>
      </c>
      <c r="D318">
        <v>4</v>
      </c>
      <c r="E318">
        <v>76891213488</v>
      </c>
      <c r="F318">
        <f t="shared" ca="1" si="8"/>
        <v>26</v>
      </c>
      <c r="G318">
        <f ca="1">VLOOKUP(E318,PurchItem!$A$2:$H$508,8,0)</f>
        <v>5393.4804222875409</v>
      </c>
      <c r="H318">
        <v>0.04</v>
      </c>
      <c r="I318" t="s">
        <v>244</v>
      </c>
      <c r="J318" s="5">
        <v>45431.594524409724</v>
      </c>
      <c r="K318" s="5">
        <v>45434.189048819448</v>
      </c>
      <c r="M318">
        <f t="shared" si="9"/>
        <v>10029727329</v>
      </c>
      <c r="N318">
        <f ca="1">IF(M318&lt;&gt;M317,INDEX(CustInfo!$A$2:$A$1001,RANDBETWEEN(1,1000)),N317)</f>
        <v>11906</v>
      </c>
      <c r="O318" t="s">
        <v>1003</v>
      </c>
      <c r="P318">
        <v>52936452</v>
      </c>
    </row>
    <row r="319" spans="1:16" x14ac:dyDescent="0.35">
      <c r="A319">
        <v>93827212100</v>
      </c>
      <c r="C319" s="2" t="s">
        <v>883</v>
      </c>
      <c r="D319">
        <v>1</v>
      </c>
      <c r="E319">
        <v>76891213203</v>
      </c>
      <c r="F319">
        <f t="shared" ca="1" si="8"/>
        <v>64</v>
      </c>
      <c r="G319">
        <f ca="1">VLOOKUP(E319,PurchItem!$A$2:$H$508,8,0)</f>
        <v>9569.6271266199019</v>
      </c>
      <c r="H319">
        <v>0.06</v>
      </c>
      <c r="I319" t="s">
        <v>244</v>
      </c>
      <c r="J319" s="5">
        <v>45409.594524409724</v>
      </c>
      <c r="K319" s="5">
        <v>45412.189048819448</v>
      </c>
      <c r="M319">
        <f t="shared" si="9"/>
        <v>10029727330</v>
      </c>
      <c r="N319">
        <f ca="1">IF(M319&lt;&gt;M318,INDEX(CustInfo!$A$2:$A$1001,RANDBETWEEN(1,1000)),N318)</f>
        <v>11075</v>
      </c>
      <c r="O319" t="s">
        <v>1003</v>
      </c>
      <c r="P319">
        <v>52936453</v>
      </c>
    </row>
    <row r="320" spans="1:16" x14ac:dyDescent="0.35">
      <c r="A320">
        <v>93827212100</v>
      </c>
      <c r="C320" s="2" t="s">
        <v>883</v>
      </c>
      <c r="D320">
        <v>2</v>
      </c>
      <c r="E320">
        <v>76891213156</v>
      </c>
      <c r="F320">
        <f t="shared" ca="1" si="8"/>
        <v>71</v>
      </c>
      <c r="G320">
        <f ca="1">VLOOKUP(E320,PurchItem!$A$2:$H$508,8,0)</f>
        <v>9558.6946346003115</v>
      </c>
      <c r="H320">
        <v>0.06</v>
      </c>
      <c r="I320" t="s">
        <v>244</v>
      </c>
      <c r="J320" s="5">
        <f ca="1">RANDBETWEEN(DATE(2022,1,1),TODAY()-30)+$U$2</f>
        <v>44580</v>
      </c>
      <c r="K320" s="5">
        <f ca="1">J320+RANDBETWEEN(0,3)+$U$2</f>
        <v>44583</v>
      </c>
      <c r="M320">
        <f t="shared" si="9"/>
        <v>10029727330</v>
      </c>
      <c r="N320">
        <f ca="1">IF(M320&lt;&gt;M319,INDEX(CustInfo!$A$2:$A$1001,RANDBETWEEN(1,1000)),N319)</f>
        <v>11075</v>
      </c>
      <c r="O320" t="s">
        <v>1003</v>
      </c>
      <c r="P320">
        <v>52936454</v>
      </c>
    </row>
    <row r="321" spans="1:16" x14ac:dyDescent="0.35">
      <c r="A321">
        <v>93827212100</v>
      </c>
      <c r="C321" s="2" t="s">
        <v>883</v>
      </c>
      <c r="D321">
        <v>3</v>
      </c>
      <c r="E321">
        <v>76891213334</v>
      </c>
      <c r="F321">
        <f t="shared" ca="1" si="8"/>
        <v>12</v>
      </c>
      <c r="G321">
        <f ca="1">VLOOKUP(E321,PurchItem!$A$2:$H$508,8,0)</f>
        <v>8701.4873817400676</v>
      </c>
      <c r="H321">
        <v>0.06</v>
      </c>
      <c r="I321" t="s">
        <v>244</v>
      </c>
      <c r="J321" s="5">
        <v>44774.594524409724</v>
      </c>
      <c r="K321" s="5">
        <v>44776.189048819448</v>
      </c>
      <c r="M321">
        <f t="shared" si="9"/>
        <v>10029727330</v>
      </c>
      <c r="N321">
        <f ca="1">IF(M321&lt;&gt;M320,INDEX(CustInfo!$A$2:$A$1001,RANDBETWEEN(1,1000)),N320)</f>
        <v>11075</v>
      </c>
      <c r="O321" t="s">
        <v>1003</v>
      </c>
      <c r="P321">
        <v>52936455</v>
      </c>
    </row>
    <row r="322" spans="1:16" x14ac:dyDescent="0.35">
      <c r="A322">
        <v>93827212100</v>
      </c>
      <c r="C322" s="2" t="s">
        <v>883</v>
      </c>
      <c r="D322">
        <v>4</v>
      </c>
      <c r="E322">
        <v>76891213205</v>
      </c>
      <c r="F322">
        <f t="shared" ca="1" si="8"/>
        <v>99</v>
      </c>
      <c r="G322">
        <f ca="1">VLOOKUP(E322,PurchItem!$A$2:$H$508,8,0)</f>
        <v>1670.4985770976355</v>
      </c>
      <c r="H322">
        <v>0.06</v>
      </c>
      <c r="I322" t="s">
        <v>244</v>
      </c>
      <c r="J322" s="5">
        <v>45569.594524409724</v>
      </c>
      <c r="K322" s="5">
        <v>45571.189048819448</v>
      </c>
      <c r="M322">
        <f t="shared" si="9"/>
        <v>10029727330</v>
      </c>
      <c r="N322">
        <f ca="1">IF(M322&lt;&gt;M321,INDEX(CustInfo!$A$2:$A$1001,RANDBETWEEN(1,1000)),N321)</f>
        <v>11075</v>
      </c>
      <c r="O322" t="s">
        <v>1003</v>
      </c>
      <c r="P322">
        <v>52936456</v>
      </c>
    </row>
    <row r="323" spans="1:16" x14ac:dyDescent="0.35">
      <c r="A323">
        <v>93827212101</v>
      </c>
      <c r="C323" s="2" t="s">
        <v>883</v>
      </c>
      <c r="D323">
        <v>1</v>
      </c>
      <c r="E323">
        <v>76891213566</v>
      </c>
      <c r="F323">
        <f t="shared" ref="F323:F386" ca="1" si="10">RANDBETWEEN(1,100)</f>
        <v>62</v>
      </c>
      <c r="G323">
        <f ca="1">VLOOKUP(E323,PurchItem!$A$2:$H$508,8,0)</f>
        <v>4496.7840844503189</v>
      </c>
      <c r="H323">
        <v>0.04</v>
      </c>
      <c r="I323" t="s">
        <v>244</v>
      </c>
      <c r="J323" s="5">
        <v>44605.594524409724</v>
      </c>
      <c r="K323" s="5">
        <v>44609.189048819448</v>
      </c>
      <c r="M323">
        <f t="shared" si="9"/>
        <v>10029727331</v>
      </c>
      <c r="N323">
        <f ca="1">IF(M323&lt;&gt;M322,INDEX(CustInfo!$A$2:$A$1001,RANDBETWEEN(1,1000)),N322)</f>
        <v>11123</v>
      </c>
      <c r="O323" t="s">
        <v>1001</v>
      </c>
      <c r="P323">
        <v>52936457</v>
      </c>
    </row>
    <row r="324" spans="1:16" x14ac:dyDescent="0.35">
      <c r="A324">
        <v>93827212101</v>
      </c>
      <c r="C324" s="2" t="s">
        <v>883</v>
      </c>
      <c r="D324">
        <v>2</v>
      </c>
      <c r="E324">
        <v>76891213279</v>
      </c>
      <c r="F324">
        <f t="shared" ca="1" si="10"/>
        <v>68</v>
      </c>
      <c r="G324">
        <f ca="1">VLOOKUP(E324,PurchItem!$A$2:$H$508,8,0)</f>
        <v>4031.2930953409268</v>
      </c>
      <c r="H324">
        <v>0.05</v>
      </c>
      <c r="I324" t="s">
        <v>244</v>
      </c>
      <c r="J324" s="5">
        <v>45491.594524409724</v>
      </c>
      <c r="K324" s="5">
        <v>45493.189048819448</v>
      </c>
      <c r="M324">
        <f t="shared" si="9"/>
        <v>10029727331</v>
      </c>
      <c r="N324">
        <f ca="1">IF(M324&lt;&gt;M323,INDEX(CustInfo!$A$2:$A$1001,RANDBETWEEN(1,1000)),N323)</f>
        <v>11123</v>
      </c>
      <c r="O324" t="s">
        <v>1001</v>
      </c>
      <c r="P324">
        <v>52936458</v>
      </c>
    </row>
    <row r="325" spans="1:16" x14ac:dyDescent="0.35">
      <c r="A325">
        <v>93827212101</v>
      </c>
      <c r="C325" s="2" t="s">
        <v>883</v>
      </c>
      <c r="D325">
        <v>3</v>
      </c>
      <c r="E325">
        <v>76891213219</v>
      </c>
      <c r="F325">
        <f t="shared" ca="1" si="10"/>
        <v>48</v>
      </c>
      <c r="G325">
        <f ca="1">VLOOKUP(E325,PurchItem!$A$2:$H$508,8,0)</f>
        <v>660.79398870229625</v>
      </c>
      <c r="H325">
        <v>0.05</v>
      </c>
      <c r="I325" t="s">
        <v>244</v>
      </c>
      <c r="J325" s="5">
        <v>45521.594524409724</v>
      </c>
      <c r="K325" s="5">
        <v>45523.189048819448</v>
      </c>
      <c r="M325">
        <f t="shared" ref="M325:M388" si="11">IF(A325&lt;&gt;A324,M324+1,M324)</f>
        <v>10029727331</v>
      </c>
      <c r="N325">
        <f ca="1">IF(M325&lt;&gt;M324,INDEX(CustInfo!$A$2:$A$1001,RANDBETWEEN(1,1000)),N324)</f>
        <v>11123</v>
      </c>
      <c r="O325" t="s">
        <v>1001</v>
      </c>
      <c r="P325">
        <v>52936459</v>
      </c>
    </row>
    <row r="326" spans="1:16" x14ac:dyDescent="0.35">
      <c r="A326">
        <v>93827212101</v>
      </c>
      <c r="C326" s="2" t="s">
        <v>883</v>
      </c>
      <c r="D326">
        <v>4</v>
      </c>
      <c r="E326">
        <v>76891213584</v>
      </c>
      <c r="F326">
        <f t="shared" ca="1" si="10"/>
        <v>77</v>
      </c>
      <c r="G326">
        <f ca="1">VLOOKUP(E326,PurchItem!$A$2:$H$508,8,0)</f>
        <v>6945.1848902307947</v>
      </c>
      <c r="H326">
        <v>0.04</v>
      </c>
      <c r="I326" t="s">
        <v>244</v>
      </c>
      <c r="J326" s="5">
        <v>45590.594524409724</v>
      </c>
      <c r="K326" s="5">
        <v>45593.189048819448</v>
      </c>
      <c r="M326">
        <f t="shared" si="11"/>
        <v>10029727331</v>
      </c>
      <c r="N326">
        <f ca="1">IF(M326&lt;&gt;M325,INDEX(CustInfo!$A$2:$A$1001,RANDBETWEEN(1,1000)),N325)</f>
        <v>11123</v>
      </c>
      <c r="O326" t="s">
        <v>1001</v>
      </c>
      <c r="P326">
        <v>52936460</v>
      </c>
    </row>
    <row r="327" spans="1:16" x14ac:dyDescent="0.35">
      <c r="A327">
        <v>93827212102</v>
      </c>
      <c r="C327" s="2" t="s">
        <v>883</v>
      </c>
      <c r="D327">
        <v>1</v>
      </c>
      <c r="E327">
        <v>76891213241</v>
      </c>
      <c r="F327">
        <f t="shared" ca="1" si="10"/>
        <v>15</v>
      </c>
      <c r="G327">
        <f ca="1">VLOOKUP(E327,PurchItem!$A$2:$H$508,8,0)</f>
        <v>3049.755941552879</v>
      </c>
      <c r="H327">
        <v>0.05</v>
      </c>
      <c r="I327" t="s">
        <v>244</v>
      </c>
      <c r="J327" s="5">
        <v>45408.594524409724</v>
      </c>
      <c r="K327" s="5">
        <v>45411.189048819448</v>
      </c>
      <c r="M327">
        <f t="shared" si="11"/>
        <v>10029727332</v>
      </c>
      <c r="N327">
        <f ca="1">IF(M327&lt;&gt;M326,INDEX(CustInfo!$A$2:$A$1001,RANDBETWEEN(1,1000)),N326)</f>
        <v>11671</v>
      </c>
      <c r="O327" t="s">
        <v>1003</v>
      </c>
      <c r="P327">
        <v>52936461</v>
      </c>
    </row>
    <row r="328" spans="1:16" x14ac:dyDescent="0.35">
      <c r="A328">
        <v>93827212102</v>
      </c>
      <c r="C328" s="2" t="s">
        <v>883</v>
      </c>
      <c r="D328">
        <v>2</v>
      </c>
      <c r="E328">
        <v>76891213637</v>
      </c>
      <c r="F328">
        <f t="shared" ca="1" si="10"/>
        <v>69</v>
      </c>
      <c r="G328">
        <f ca="1">VLOOKUP(E328,PurchItem!$A$2:$H$508,8,0)</f>
        <v>5862.4718067063704</v>
      </c>
      <c r="H328">
        <v>0.05</v>
      </c>
      <c r="I328" t="s">
        <v>244</v>
      </c>
      <c r="J328" s="5">
        <v>45202.594524409724</v>
      </c>
      <c r="K328" s="5">
        <v>45205.189048819448</v>
      </c>
      <c r="M328">
        <f t="shared" si="11"/>
        <v>10029727332</v>
      </c>
      <c r="N328">
        <f ca="1">IF(M328&lt;&gt;M327,INDEX(CustInfo!$A$2:$A$1001,RANDBETWEEN(1,1000)),N327)</f>
        <v>11671</v>
      </c>
      <c r="O328" t="s">
        <v>1003</v>
      </c>
      <c r="P328">
        <v>52936462</v>
      </c>
    </row>
    <row r="329" spans="1:16" x14ac:dyDescent="0.35">
      <c r="A329">
        <v>93827212102</v>
      </c>
      <c r="C329" s="2" t="s">
        <v>883</v>
      </c>
      <c r="D329">
        <v>3</v>
      </c>
      <c r="E329">
        <v>76891213464</v>
      </c>
      <c r="F329">
        <f t="shared" ca="1" si="10"/>
        <v>36</v>
      </c>
      <c r="G329">
        <f ca="1">VLOOKUP(E329,PurchItem!$A$2:$H$508,8,0)</f>
        <v>3775.443890340754</v>
      </c>
      <c r="H329">
        <v>0.06</v>
      </c>
      <c r="I329" t="s">
        <v>244</v>
      </c>
      <c r="J329" s="5">
        <v>45002.594524409724</v>
      </c>
      <c r="K329" s="5">
        <v>45004.189048819448</v>
      </c>
      <c r="M329">
        <f t="shared" si="11"/>
        <v>10029727332</v>
      </c>
      <c r="N329">
        <f ca="1">IF(M329&lt;&gt;M328,INDEX(CustInfo!$A$2:$A$1001,RANDBETWEEN(1,1000)),N328)</f>
        <v>11671</v>
      </c>
      <c r="O329" t="s">
        <v>1003</v>
      </c>
      <c r="P329">
        <v>52936463</v>
      </c>
    </row>
    <row r="330" spans="1:16" x14ac:dyDescent="0.35">
      <c r="A330">
        <v>93827212102</v>
      </c>
      <c r="C330" s="2" t="s">
        <v>883</v>
      </c>
      <c r="D330">
        <v>4</v>
      </c>
      <c r="E330">
        <v>76891213391</v>
      </c>
      <c r="F330">
        <f t="shared" ca="1" si="10"/>
        <v>38</v>
      </c>
      <c r="G330">
        <f ca="1">VLOOKUP(E330,PurchItem!$A$2:$H$508,8,0)</f>
        <v>3029.6020190014342</v>
      </c>
      <c r="H330">
        <v>0.06</v>
      </c>
      <c r="I330" t="s">
        <v>244</v>
      </c>
      <c r="J330" s="5">
        <v>45250.594524409724</v>
      </c>
      <c r="K330" s="5">
        <v>45251.189048819448</v>
      </c>
      <c r="M330">
        <f t="shared" si="11"/>
        <v>10029727332</v>
      </c>
      <c r="N330">
        <f ca="1">IF(M330&lt;&gt;M329,INDEX(CustInfo!$A$2:$A$1001,RANDBETWEEN(1,1000)),N329)</f>
        <v>11671</v>
      </c>
      <c r="O330" t="s">
        <v>1003</v>
      </c>
      <c r="P330">
        <v>52936464</v>
      </c>
    </row>
    <row r="331" spans="1:16" x14ac:dyDescent="0.35">
      <c r="A331">
        <v>93827212103</v>
      </c>
      <c r="C331" s="2" t="s">
        <v>883</v>
      </c>
      <c r="D331">
        <v>1</v>
      </c>
      <c r="E331">
        <v>76891213470</v>
      </c>
      <c r="F331">
        <f t="shared" ca="1" si="10"/>
        <v>62</v>
      </c>
      <c r="G331">
        <f ca="1">VLOOKUP(E331,PurchItem!$A$2:$H$508,8,0)</f>
        <v>2084.2612195739525</v>
      </c>
      <c r="H331">
        <v>0.06</v>
      </c>
      <c r="I331" t="s">
        <v>244</v>
      </c>
      <c r="J331" s="5">
        <v>45401.594524409724</v>
      </c>
      <c r="K331" s="5">
        <v>45403.189048819448</v>
      </c>
      <c r="M331">
        <f t="shared" si="11"/>
        <v>10029727333</v>
      </c>
      <c r="N331">
        <f ca="1">IF(M331&lt;&gt;M330,INDEX(CustInfo!$A$2:$A$1001,RANDBETWEEN(1,1000)),N330)</f>
        <v>11174</v>
      </c>
      <c r="O331" t="s">
        <v>1001</v>
      </c>
      <c r="P331">
        <v>52936465</v>
      </c>
    </row>
    <row r="332" spans="1:16" x14ac:dyDescent="0.35">
      <c r="A332">
        <v>93827212104</v>
      </c>
      <c r="C332" s="2" t="s">
        <v>883</v>
      </c>
      <c r="D332">
        <v>1</v>
      </c>
      <c r="E332">
        <v>76891213294</v>
      </c>
      <c r="F332">
        <f t="shared" ca="1" si="10"/>
        <v>14</v>
      </c>
      <c r="G332">
        <f ca="1">VLOOKUP(E332,PurchItem!$A$2:$H$508,8,0)</f>
        <v>1758.1992003080466</v>
      </c>
      <c r="H332">
        <v>0.06</v>
      </c>
      <c r="I332" t="s">
        <v>244</v>
      </c>
      <c r="J332" s="5">
        <v>45421.594524409724</v>
      </c>
      <c r="K332" s="5">
        <v>45422.189048819448</v>
      </c>
      <c r="M332">
        <f t="shared" si="11"/>
        <v>10029727334</v>
      </c>
      <c r="N332">
        <f ca="1">IF(M332&lt;&gt;M331,INDEX(CustInfo!$A$2:$A$1001,RANDBETWEEN(1,1000)),N331)</f>
        <v>11829</v>
      </c>
      <c r="O332" t="s">
        <v>1001</v>
      </c>
      <c r="P332">
        <v>52936466</v>
      </c>
    </row>
    <row r="333" spans="1:16" x14ac:dyDescent="0.35">
      <c r="A333">
        <v>93827212105</v>
      </c>
      <c r="C333" s="2" t="s">
        <v>883</v>
      </c>
      <c r="D333">
        <v>1</v>
      </c>
      <c r="E333">
        <v>76891213153</v>
      </c>
      <c r="F333">
        <f t="shared" ca="1" si="10"/>
        <v>61</v>
      </c>
      <c r="G333">
        <f ca="1">VLOOKUP(E333,PurchItem!$A$2:$H$508,8,0)</f>
        <v>9849.9949858218879</v>
      </c>
      <c r="H333">
        <v>0.05</v>
      </c>
      <c r="I333" t="s">
        <v>244</v>
      </c>
      <c r="J333" s="5">
        <v>44696.594524409724</v>
      </c>
      <c r="K333" s="5">
        <v>44697.189048819448</v>
      </c>
      <c r="M333">
        <f t="shared" si="11"/>
        <v>10029727335</v>
      </c>
      <c r="N333">
        <f ca="1">IF(M333&lt;&gt;M332,INDEX(CustInfo!$A$2:$A$1001,RANDBETWEEN(1,1000)),N332)</f>
        <v>11962</v>
      </c>
      <c r="O333" t="s">
        <v>1003</v>
      </c>
      <c r="P333">
        <v>52936467</v>
      </c>
    </row>
    <row r="334" spans="1:16" x14ac:dyDescent="0.35">
      <c r="A334">
        <v>93827212105</v>
      </c>
      <c r="C334" s="2" t="s">
        <v>883</v>
      </c>
      <c r="D334">
        <v>2</v>
      </c>
      <c r="E334">
        <v>76891213469</v>
      </c>
      <c r="F334">
        <f t="shared" ca="1" si="10"/>
        <v>45</v>
      </c>
      <c r="G334">
        <f ca="1">VLOOKUP(E334,PurchItem!$A$2:$H$508,8,0)</f>
        <v>3640.4377524868119</v>
      </c>
      <c r="H334">
        <v>0.06</v>
      </c>
      <c r="I334" t="s">
        <v>244</v>
      </c>
      <c r="J334" s="5">
        <v>45399.594524409724</v>
      </c>
      <c r="K334" s="5">
        <v>45403.189048819448</v>
      </c>
      <c r="M334">
        <f t="shared" si="11"/>
        <v>10029727335</v>
      </c>
      <c r="N334">
        <f ca="1">IF(M334&lt;&gt;M333,INDEX(CustInfo!$A$2:$A$1001,RANDBETWEEN(1,1000)),N333)</f>
        <v>11962</v>
      </c>
      <c r="O334" t="s">
        <v>1003</v>
      </c>
      <c r="P334">
        <v>52936468</v>
      </c>
    </row>
    <row r="335" spans="1:16" x14ac:dyDescent="0.35">
      <c r="A335">
        <v>93827212105</v>
      </c>
      <c r="C335" s="2" t="s">
        <v>883</v>
      </c>
      <c r="D335">
        <v>3</v>
      </c>
      <c r="E335">
        <v>76891213230</v>
      </c>
      <c r="F335">
        <f t="shared" ca="1" si="10"/>
        <v>94</v>
      </c>
      <c r="G335">
        <f ca="1">VLOOKUP(E335,PurchItem!$A$2:$H$508,8,0)</f>
        <v>3755.1895040007321</v>
      </c>
      <c r="H335">
        <v>0.06</v>
      </c>
      <c r="I335" t="s">
        <v>244</v>
      </c>
      <c r="J335" s="5">
        <v>44797.594524409724</v>
      </c>
      <c r="K335" s="5">
        <v>44798.189048819448</v>
      </c>
      <c r="M335">
        <f t="shared" si="11"/>
        <v>10029727335</v>
      </c>
      <c r="N335">
        <f ca="1">IF(M335&lt;&gt;M334,INDEX(CustInfo!$A$2:$A$1001,RANDBETWEEN(1,1000)),N334)</f>
        <v>11962</v>
      </c>
      <c r="O335" t="s">
        <v>1003</v>
      </c>
      <c r="P335">
        <v>52936469</v>
      </c>
    </row>
    <row r="336" spans="1:16" x14ac:dyDescent="0.35">
      <c r="A336">
        <v>93827212105</v>
      </c>
      <c r="C336" s="2" t="s">
        <v>883</v>
      </c>
      <c r="D336">
        <v>4</v>
      </c>
      <c r="E336">
        <v>76891213466</v>
      </c>
      <c r="F336">
        <f t="shared" ca="1" si="10"/>
        <v>86</v>
      </c>
      <c r="G336">
        <f ca="1">VLOOKUP(E336,PurchItem!$A$2:$H$508,8,0)</f>
        <v>3614.4469198014795</v>
      </c>
      <c r="H336">
        <v>0.06</v>
      </c>
      <c r="I336" t="s">
        <v>244</v>
      </c>
      <c r="J336" s="5">
        <v>44996.594524409724</v>
      </c>
      <c r="K336" s="5">
        <v>44997.189048819448</v>
      </c>
      <c r="M336">
        <f t="shared" si="11"/>
        <v>10029727335</v>
      </c>
      <c r="N336">
        <f ca="1">IF(M336&lt;&gt;M335,INDEX(CustInfo!$A$2:$A$1001,RANDBETWEEN(1,1000)),N335)</f>
        <v>11962</v>
      </c>
      <c r="O336" t="s">
        <v>1003</v>
      </c>
      <c r="P336">
        <v>52936470</v>
      </c>
    </row>
    <row r="337" spans="1:16" x14ac:dyDescent="0.35">
      <c r="A337">
        <v>93827212106</v>
      </c>
      <c r="C337" s="2" t="s">
        <v>883</v>
      </c>
      <c r="D337">
        <v>1</v>
      </c>
      <c r="E337">
        <v>76891213316</v>
      </c>
      <c r="F337">
        <f t="shared" ca="1" si="10"/>
        <v>67</v>
      </c>
      <c r="G337">
        <f ca="1">VLOOKUP(E337,PurchItem!$A$2:$H$508,8,0)</f>
        <v>1710.7168304779898</v>
      </c>
      <c r="H337">
        <v>0.04</v>
      </c>
      <c r="I337" t="s">
        <v>244</v>
      </c>
      <c r="J337" s="5">
        <v>45566.594524409724</v>
      </c>
      <c r="K337" s="5">
        <v>45568.189048819448</v>
      </c>
      <c r="M337">
        <f t="shared" si="11"/>
        <v>10029727336</v>
      </c>
      <c r="N337">
        <f ca="1">IF(M337&lt;&gt;M336,INDEX(CustInfo!$A$2:$A$1001,RANDBETWEEN(1,1000)),N336)</f>
        <v>11366</v>
      </c>
      <c r="O337" t="s">
        <v>1003</v>
      </c>
      <c r="P337">
        <v>52936471</v>
      </c>
    </row>
    <row r="338" spans="1:16" x14ac:dyDescent="0.35">
      <c r="A338">
        <v>93827212107</v>
      </c>
      <c r="C338" s="2" t="s">
        <v>883</v>
      </c>
      <c r="D338">
        <v>1</v>
      </c>
      <c r="E338">
        <v>76891213149</v>
      </c>
      <c r="F338">
        <f t="shared" ca="1" si="10"/>
        <v>83</v>
      </c>
      <c r="G338">
        <f ca="1">VLOOKUP(E338,PurchItem!$A$2:$H$508,8,0)</f>
        <v>1501.6371834269539</v>
      </c>
      <c r="H338">
        <v>0.06</v>
      </c>
      <c r="I338" t="s">
        <v>244</v>
      </c>
      <c r="J338" s="5">
        <v>44870.594524409724</v>
      </c>
      <c r="K338" s="5">
        <v>44872.189048819448</v>
      </c>
      <c r="M338">
        <f t="shared" si="11"/>
        <v>10029727337</v>
      </c>
      <c r="N338">
        <f ca="1">IF(M338&lt;&gt;M337,INDEX(CustInfo!$A$2:$A$1001,RANDBETWEEN(1,1000)),N337)</f>
        <v>11319</v>
      </c>
      <c r="O338" t="s">
        <v>1003</v>
      </c>
      <c r="P338">
        <v>52936472</v>
      </c>
    </row>
    <row r="339" spans="1:16" x14ac:dyDescent="0.35">
      <c r="A339">
        <v>93827212107</v>
      </c>
      <c r="C339" s="2" t="s">
        <v>883</v>
      </c>
      <c r="D339">
        <v>2</v>
      </c>
      <c r="E339">
        <v>76891213596</v>
      </c>
      <c r="F339">
        <f t="shared" ca="1" si="10"/>
        <v>43</v>
      </c>
      <c r="G339">
        <f ca="1">VLOOKUP(E339,PurchItem!$A$2:$H$508,8,0)</f>
        <v>4771.1199477066812</v>
      </c>
      <c r="H339">
        <v>0.06</v>
      </c>
      <c r="I339" t="s">
        <v>244</v>
      </c>
      <c r="J339" s="5">
        <v>45483.594524409724</v>
      </c>
      <c r="K339" s="5">
        <v>45486.189048819448</v>
      </c>
      <c r="M339">
        <f t="shared" si="11"/>
        <v>10029727337</v>
      </c>
      <c r="N339">
        <f ca="1">IF(M339&lt;&gt;M338,INDEX(CustInfo!$A$2:$A$1001,RANDBETWEEN(1,1000)),N338)</f>
        <v>11319</v>
      </c>
      <c r="O339" t="s">
        <v>1003</v>
      </c>
      <c r="P339">
        <v>52936473</v>
      </c>
    </row>
    <row r="340" spans="1:16" x14ac:dyDescent="0.35">
      <c r="A340">
        <v>93827212107</v>
      </c>
      <c r="C340" s="2" t="s">
        <v>883</v>
      </c>
      <c r="D340">
        <v>3</v>
      </c>
      <c r="E340">
        <v>76891213264</v>
      </c>
      <c r="F340">
        <f t="shared" ca="1" si="10"/>
        <v>92</v>
      </c>
      <c r="G340">
        <f ca="1">VLOOKUP(E340,PurchItem!$A$2:$H$508,8,0)</f>
        <v>3913.070746797428</v>
      </c>
      <c r="H340">
        <v>0.06</v>
      </c>
      <c r="I340" t="s">
        <v>244</v>
      </c>
      <c r="J340" s="5">
        <v>44572.594524409724</v>
      </c>
      <c r="K340" s="5">
        <v>44573.189048819448</v>
      </c>
      <c r="M340">
        <f t="shared" si="11"/>
        <v>10029727337</v>
      </c>
      <c r="N340">
        <f ca="1">IF(M340&lt;&gt;M339,INDEX(CustInfo!$A$2:$A$1001,RANDBETWEEN(1,1000)),N339)</f>
        <v>11319</v>
      </c>
      <c r="O340" t="s">
        <v>1003</v>
      </c>
      <c r="P340">
        <v>52936474</v>
      </c>
    </row>
    <row r="341" spans="1:16" x14ac:dyDescent="0.35">
      <c r="A341">
        <v>93827212108</v>
      </c>
      <c r="C341" s="2" t="s">
        <v>883</v>
      </c>
      <c r="D341">
        <v>1</v>
      </c>
      <c r="E341">
        <v>76891213149</v>
      </c>
      <c r="F341">
        <f t="shared" ca="1" si="10"/>
        <v>11</v>
      </c>
      <c r="G341">
        <f ca="1">VLOOKUP(E341,PurchItem!$A$2:$H$508,8,0)</f>
        <v>1501.6371834269539</v>
      </c>
      <c r="H341">
        <v>0.06</v>
      </c>
      <c r="I341" t="s">
        <v>244</v>
      </c>
      <c r="J341" s="5">
        <v>44801.594524409724</v>
      </c>
      <c r="K341" s="5">
        <v>44805.189048819448</v>
      </c>
      <c r="M341">
        <f t="shared" si="11"/>
        <v>10029727338</v>
      </c>
      <c r="N341">
        <f ca="1">IF(M341&lt;&gt;M340,INDEX(CustInfo!$A$2:$A$1001,RANDBETWEEN(1,1000)),N340)</f>
        <v>11651</v>
      </c>
      <c r="O341" t="s">
        <v>1002</v>
      </c>
      <c r="P341">
        <v>52936475</v>
      </c>
    </row>
    <row r="342" spans="1:16" x14ac:dyDescent="0.35">
      <c r="A342">
        <v>93827212108</v>
      </c>
      <c r="C342" s="2" t="s">
        <v>883</v>
      </c>
      <c r="D342">
        <v>2</v>
      </c>
      <c r="E342">
        <v>76891213367</v>
      </c>
      <c r="F342">
        <f t="shared" ca="1" si="10"/>
        <v>29</v>
      </c>
      <c r="G342">
        <f ca="1">VLOOKUP(E342,PurchItem!$A$2:$H$508,8,0)</f>
        <v>8716.0132147698296</v>
      </c>
      <c r="H342">
        <v>0.06</v>
      </c>
      <c r="I342" t="s">
        <v>244</v>
      </c>
      <c r="J342" s="5">
        <v>44747.594524409724</v>
      </c>
      <c r="K342" s="5">
        <v>44749.189048819448</v>
      </c>
      <c r="M342">
        <f t="shared" si="11"/>
        <v>10029727338</v>
      </c>
      <c r="N342">
        <f ca="1">IF(M342&lt;&gt;M341,INDEX(CustInfo!$A$2:$A$1001,RANDBETWEEN(1,1000)),N341)</f>
        <v>11651</v>
      </c>
      <c r="O342" t="s">
        <v>1002</v>
      </c>
      <c r="P342">
        <v>52936476</v>
      </c>
    </row>
    <row r="343" spans="1:16" x14ac:dyDescent="0.35">
      <c r="A343">
        <v>93827212109</v>
      </c>
      <c r="C343" s="2" t="s">
        <v>883</v>
      </c>
      <c r="D343">
        <v>1</v>
      </c>
      <c r="E343">
        <v>76891213266</v>
      </c>
      <c r="F343">
        <f t="shared" ca="1" si="10"/>
        <v>26</v>
      </c>
      <c r="G343">
        <f ca="1">VLOOKUP(E343,PurchItem!$A$2:$H$508,8,0)</f>
        <v>1275.2501267518942</v>
      </c>
      <c r="H343">
        <v>0.04</v>
      </c>
      <c r="I343" t="s">
        <v>244</v>
      </c>
      <c r="J343" s="5">
        <v>44717.594524409724</v>
      </c>
      <c r="K343" s="5">
        <v>44719.189048819448</v>
      </c>
      <c r="M343">
        <f t="shared" si="11"/>
        <v>10029727339</v>
      </c>
      <c r="N343">
        <f ca="1">IF(M343&lt;&gt;M342,INDEX(CustInfo!$A$2:$A$1001,RANDBETWEEN(1,1000)),N342)</f>
        <v>11783</v>
      </c>
      <c r="O343" t="s">
        <v>1003</v>
      </c>
      <c r="P343">
        <v>52936477</v>
      </c>
    </row>
    <row r="344" spans="1:16" x14ac:dyDescent="0.35">
      <c r="A344">
        <v>93827212110</v>
      </c>
      <c r="C344" s="2" t="s">
        <v>883</v>
      </c>
      <c r="D344">
        <v>1</v>
      </c>
      <c r="E344">
        <v>76891213181</v>
      </c>
      <c r="F344">
        <f t="shared" ca="1" si="10"/>
        <v>65</v>
      </c>
      <c r="G344">
        <f ca="1">VLOOKUP(E344,PurchItem!$A$2:$H$508,8,0)</f>
        <v>9557.507025574856</v>
      </c>
      <c r="H344">
        <v>0.06</v>
      </c>
      <c r="I344" t="s">
        <v>244</v>
      </c>
      <c r="J344" s="5">
        <v>45397.594524409724</v>
      </c>
      <c r="K344" s="5">
        <v>45399.189048819448</v>
      </c>
      <c r="M344">
        <f t="shared" si="11"/>
        <v>10029727340</v>
      </c>
      <c r="N344">
        <f ca="1">IF(M344&lt;&gt;M343,INDEX(CustInfo!$A$2:$A$1001,RANDBETWEEN(1,1000)),N343)</f>
        <v>11321</v>
      </c>
      <c r="O344" t="s">
        <v>1002</v>
      </c>
      <c r="P344">
        <v>52936478</v>
      </c>
    </row>
    <row r="345" spans="1:16" x14ac:dyDescent="0.35">
      <c r="A345">
        <v>93827212110</v>
      </c>
      <c r="C345" s="2" t="s">
        <v>883</v>
      </c>
      <c r="D345">
        <v>2</v>
      </c>
      <c r="E345">
        <v>76891213282</v>
      </c>
      <c r="F345">
        <f t="shared" ca="1" si="10"/>
        <v>25</v>
      </c>
      <c r="G345">
        <f ca="1">VLOOKUP(E345,PurchItem!$A$2:$H$508,8,0)</f>
        <v>7043.1528369539874</v>
      </c>
      <c r="H345">
        <v>0.05</v>
      </c>
      <c r="I345" t="s">
        <v>244</v>
      </c>
      <c r="J345" s="5">
        <v>45307.594524409724</v>
      </c>
      <c r="K345" s="5">
        <v>45311.189048819448</v>
      </c>
      <c r="M345">
        <f t="shared" si="11"/>
        <v>10029727340</v>
      </c>
      <c r="N345">
        <f ca="1">IF(M345&lt;&gt;M344,INDEX(CustInfo!$A$2:$A$1001,RANDBETWEEN(1,1000)),N344)</f>
        <v>11321</v>
      </c>
      <c r="O345" t="s">
        <v>1002</v>
      </c>
      <c r="P345">
        <v>52936479</v>
      </c>
    </row>
    <row r="346" spans="1:16" x14ac:dyDescent="0.35">
      <c r="A346">
        <v>93827212110</v>
      </c>
      <c r="C346" s="2" t="s">
        <v>883</v>
      </c>
      <c r="D346">
        <v>3</v>
      </c>
      <c r="E346">
        <v>76891213282</v>
      </c>
      <c r="F346">
        <f t="shared" ca="1" si="10"/>
        <v>38</v>
      </c>
      <c r="G346">
        <f ca="1">VLOOKUP(E346,PurchItem!$A$2:$H$508,8,0)</f>
        <v>7043.1528369539874</v>
      </c>
      <c r="H346">
        <v>0.04</v>
      </c>
      <c r="I346" t="s">
        <v>244</v>
      </c>
      <c r="J346" s="5">
        <v>45305.594524409724</v>
      </c>
      <c r="K346" s="5">
        <v>45309.189048819448</v>
      </c>
      <c r="M346">
        <f t="shared" si="11"/>
        <v>10029727340</v>
      </c>
      <c r="N346">
        <f ca="1">IF(M346&lt;&gt;M345,INDEX(CustInfo!$A$2:$A$1001,RANDBETWEEN(1,1000)),N345)</f>
        <v>11321</v>
      </c>
      <c r="O346" t="s">
        <v>1002</v>
      </c>
      <c r="P346">
        <v>52936480</v>
      </c>
    </row>
    <row r="347" spans="1:16" x14ac:dyDescent="0.35">
      <c r="A347">
        <v>93827212111</v>
      </c>
      <c r="C347" s="2" t="s">
        <v>883</v>
      </c>
      <c r="D347">
        <v>1</v>
      </c>
      <c r="E347">
        <v>76891213347</v>
      </c>
      <c r="F347">
        <f t="shared" ca="1" si="10"/>
        <v>20</v>
      </c>
      <c r="G347">
        <f ca="1">VLOOKUP(E347,PurchItem!$A$2:$H$508,8,0)</f>
        <v>9140.0810974149535</v>
      </c>
      <c r="H347">
        <v>0.04</v>
      </c>
      <c r="I347" t="s">
        <v>244</v>
      </c>
      <c r="J347" s="5">
        <v>45132.594524409724</v>
      </c>
      <c r="K347" s="5">
        <v>45134.189048819448</v>
      </c>
      <c r="M347">
        <f t="shared" si="11"/>
        <v>10029727341</v>
      </c>
      <c r="N347">
        <f ca="1">IF(M347&lt;&gt;M346,INDEX(CustInfo!$A$2:$A$1001,RANDBETWEEN(1,1000)),N346)</f>
        <v>11855</v>
      </c>
      <c r="O347" t="s">
        <v>1002</v>
      </c>
      <c r="P347">
        <v>52936481</v>
      </c>
    </row>
    <row r="348" spans="1:16" x14ac:dyDescent="0.35">
      <c r="A348">
        <v>93827212111</v>
      </c>
      <c r="C348" s="2" t="s">
        <v>883</v>
      </c>
      <c r="D348">
        <v>2</v>
      </c>
      <c r="E348">
        <v>76891213450</v>
      </c>
      <c r="F348">
        <f t="shared" ca="1" si="10"/>
        <v>55</v>
      </c>
      <c r="G348">
        <f ca="1">VLOOKUP(E348,PurchItem!$A$2:$H$508,8,0)</f>
        <v>127.27613352870286</v>
      </c>
      <c r="H348">
        <v>0.06</v>
      </c>
      <c r="I348" t="s">
        <v>244</v>
      </c>
      <c r="J348" s="5">
        <v>45428.594524409724</v>
      </c>
      <c r="K348" s="5">
        <v>45431.189048819448</v>
      </c>
      <c r="M348">
        <f t="shared" si="11"/>
        <v>10029727341</v>
      </c>
      <c r="N348">
        <f ca="1">IF(M348&lt;&gt;M347,INDEX(CustInfo!$A$2:$A$1001,RANDBETWEEN(1,1000)),N347)</f>
        <v>11855</v>
      </c>
      <c r="O348" t="s">
        <v>1002</v>
      </c>
      <c r="P348">
        <v>52936482</v>
      </c>
    </row>
    <row r="349" spans="1:16" x14ac:dyDescent="0.35">
      <c r="A349">
        <v>93827212111</v>
      </c>
      <c r="C349" s="2" t="s">
        <v>883</v>
      </c>
      <c r="D349">
        <v>3</v>
      </c>
      <c r="E349">
        <v>76891213426</v>
      </c>
      <c r="F349">
        <f t="shared" ca="1" si="10"/>
        <v>5</v>
      </c>
      <c r="G349">
        <f ca="1">VLOOKUP(E349,PurchItem!$A$2:$H$508,8,0)</f>
        <v>7367.2409730159643</v>
      </c>
      <c r="H349">
        <v>0.06</v>
      </c>
      <c r="I349" t="s">
        <v>244</v>
      </c>
      <c r="J349" s="5">
        <v>44831.594524409724</v>
      </c>
      <c r="K349" s="5">
        <v>44833.189048819448</v>
      </c>
      <c r="M349">
        <f t="shared" si="11"/>
        <v>10029727341</v>
      </c>
      <c r="N349">
        <f ca="1">IF(M349&lt;&gt;M348,INDEX(CustInfo!$A$2:$A$1001,RANDBETWEEN(1,1000)),N348)</f>
        <v>11855</v>
      </c>
      <c r="O349" t="s">
        <v>1002</v>
      </c>
      <c r="P349">
        <v>52936483</v>
      </c>
    </row>
    <row r="350" spans="1:16" x14ac:dyDescent="0.35">
      <c r="A350">
        <v>93827212111</v>
      </c>
      <c r="C350" s="2" t="s">
        <v>883</v>
      </c>
      <c r="D350">
        <v>4</v>
      </c>
      <c r="E350">
        <v>76891213532</v>
      </c>
      <c r="F350">
        <f t="shared" ca="1" si="10"/>
        <v>24</v>
      </c>
      <c r="G350">
        <f ca="1">VLOOKUP(E350,PurchItem!$A$2:$H$508,8,0)</f>
        <v>6778.6036377104647</v>
      </c>
      <c r="H350">
        <v>0.06</v>
      </c>
      <c r="I350" t="s">
        <v>244</v>
      </c>
      <c r="J350" s="5">
        <v>44859.594524409724</v>
      </c>
      <c r="K350" s="5">
        <v>44862.189048819448</v>
      </c>
      <c r="M350">
        <f t="shared" si="11"/>
        <v>10029727341</v>
      </c>
      <c r="N350">
        <f ca="1">IF(M350&lt;&gt;M349,INDEX(CustInfo!$A$2:$A$1001,RANDBETWEEN(1,1000)),N349)</f>
        <v>11855</v>
      </c>
      <c r="O350" t="s">
        <v>1002</v>
      </c>
      <c r="P350">
        <v>52936484</v>
      </c>
    </row>
    <row r="351" spans="1:16" x14ac:dyDescent="0.35">
      <c r="A351">
        <v>93827212112</v>
      </c>
      <c r="C351" s="2" t="s">
        <v>883</v>
      </c>
      <c r="D351">
        <v>1</v>
      </c>
      <c r="E351">
        <v>76891213322</v>
      </c>
      <c r="F351">
        <f t="shared" ca="1" si="10"/>
        <v>16</v>
      </c>
      <c r="G351">
        <f ca="1">VLOOKUP(E351,PurchItem!$A$2:$H$508,8,0)</f>
        <v>941.07053196484935</v>
      </c>
      <c r="H351">
        <v>0.04</v>
      </c>
      <c r="I351" t="s">
        <v>244</v>
      </c>
      <c r="J351" s="5">
        <v>45579.594524409724</v>
      </c>
      <c r="K351" s="5">
        <v>45581.189048819448</v>
      </c>
      <c r="M351">
        <f t="shared" si="11"/>
        <v>10029727342</v>
      </c>
      <c r="N351">
        <f ca="1">IF(M351&lt;&gt;M350,INDEX(CustInfo!$A$2:$A$1001,RANDBETWEEN(1,1000)),N350)</f>
        <v>11901</v>
      </c>
      <c r="O351" t="s">
        <v>1001</v>
      </c>
      <c r="P351">
        <v>52936485</v>
      </c>
    </row>
    <row r="352" spans="1:16" x14ac:dyDescent="0.35">
      <c r="A352">
        <v>93827212112</v>
      </c>
      <c r="C352" s="2" t="s">
        <v>883</v>
      </c>
      <c r="D352">
        <v>2</v>
      </c>
      <c r="E352">
        <v>76891213204</v>
      </c>
      <c r="F352">
        <f t="shared" ca="1" si="10"/>
        <v>62</v>
      </c>
      <c r="G352">
        <f ca="1">VLOOKUP(E352,PurchItem!$A$2:$H$508,8,0)</f>
        <v>463.02454813375948</v>
      </c>
      <c r="H352">
        <v>0.05</v>
      </c>
      <c r="I352" t="s">
        <v>244</v>
      </c>
      <c r="J352" s="5">
        <v>45572.594524409724</v>
      </c>
      <c r="K352" s="5">
        <v>45576.189048819448</v>
      </c>
      <c r="M352">
        <f t="shared" si="11"/>
        <v>10029727342</v>
      </c>
      <c r="N352">
        <f ca="1">IF(M352&lt;&gt;M351,INDEX(CustInfo!$A$2:$A$1001,RANDBETWEEN(1,1000)),N351)</f>
        <v>11901</v>
      </c>
      <c r="O352" t="s">
        <v>1001</v>
      </c>
      <c r="P352">
        <v>52936486</v>
      </c>
    </row>
    <row r="353" spans="1:16" x14ac:dyDescent="0.35">
      <c r="A353">
        <v>93827212112</v>
      </c>
      <c r="C353" s="2" t="s">
        <v>883</v>
      </c>
      <c r="D353">
        <v>3</v>
      </c>
      <c r="E353">
        <v>76891213517</v>
      </c>
      <c r="F353">
        <f t="shared" ca="1" si="10"/>
        <v>25</v>
      </c>
      <c r="G353">
        <f ca="1">VLOOKUP(E353,PurchItem!$A$2:$H$508,8,0)</f>
        <v>9112.1517814969393</v>
      </c>
      <c r="H353">
        <v>0.06</v>
      </c>
      <c r="I353" t="s">
        <v>244</v>
      </c>
      <c r="J353" s="5">
        <v>44912.594524409724</v>
      </c>
      <c r="K353" s="5">
        <v>44913.189048819448</v>
      </c>
      <c r="M353">
        <f t="shared" si="11"/>
        <v>10029727342</v>
      </c>
      <c r="N353">
        <f ca="1">IF(M353&lt;&gt;M352,INDEX(CustInfo!$A$2:$A$1001,RANDBETWEEN(1,1000)),N352)</f>
        <v>11901</v>
      </c>
      <c r="O353" t="s">
        <v>1001</v>
      </c>
      <c r="P353">
        <v>52936487</v>
      </c>
    </row>
    <row r="354" spans="1:16" x14ac:dyDescent="0.35">
      <c r="A354">
        <v>93827212112</v>
      </c>
      <c r="C354" s="2" t="s">
        <v>883</v>
      </c>
      <c r="D354">
        <v>4</v>
      </c>
      <c r="E354">
        <v>76891213569</v>
      </c>
      <c r="F354">
        <f t="shared" ca="1" si="10"/>
        <v>80</v>
      </c>
      <c r="G354">
        <f ca="1">VLOOKUP(E354,PurchItem!$A$2:$H$508,8,0)</f>
        <v>1466.4146247139308</v>
      </c>
      <c r="H354">
        <v>0.04</v>
      </c>
      <c r="I354" t="s">
        <v>244</v>
      </c>
      <c r="J354" s="5">
        <v>44717.594524409724</v>
      </c>
      <c r="K354" s="5">
        <v>44719.189048819448</v>
      </c>
      <c r="M354">
        <f t="shared" si="11"/>
        <v>10029727342</v>
      </c>
      <c r="N354">
        <f ca="1">IF(M354&lt;&gt;M353,INDEX(CustInfo!$A$2:$A$1001,RANDBETWEEN(1,1000)),N353)</f>
        <v>11901</v>
      </c>
      <c r="O354" t="s">
        <v>1001</v>
      </c>
      <c r="P354">
        <v>52936488</v>
      </c>
    </row>
    <row r="355" spans="1:16" x14ac:dyDescent="0.35">
      <c r="A355">
        <v>93827212113</v>
      </c>
      <c r="C355" s="2" t="s">
        <v>883</v>
      </c>
      <c r="D355">
        <v>1</v>
      </c>
      <c r="E355">
        <v>76891213568</v>
      </c>
      <c r="F355">
        <f t="shared" ca="1" si="10"/>
        <v>13</v>
      </c>
      <c r="G355">
        <f ca="1">VLOOKUP(E355,PurchItem!$A$2:$H$508,8,0)</f>
        <v>7832.221940741756</v>
      </c>
      <c r="H355">
        <v>0.04</v>
      </c>
      <c r="I355" t="s">
        <v>244</v>
      </c>
      <c r="J355" s="5">
        <v>45150.594524409724</v>
      </c>
      <c r="K355" s="5">
        <v>45152.189048819448</v>
      </c>
      <c r="M355">
        <f t="shared" si="11"/>
        <v>10029727343</v>
      </c>
      <c r="N355">
        <f ca="1">IF(M355&lt;&gt;M354,INDEX(CustInfo!$A$2:$A$1001,RANDBETWEEN(1,1000)),N354)</f>
        <v>11295</v>
      </c>
      <c r="O355" t="s">
        <v>1001</v>
      </c>
      <c r="P355">
        <v>52936489</v>
      </c>
    </row>
    <row r="356" spans="1:16" x14ac:dyDescent="0.35">
      <c r="A356">
        <v>93827212113</v>
      </c>
      <c r="C356" s="2" t="s">
        <v>883</v>
      </c>
      <c r="D356">
        <v>2</v>
      </c>
      <c r="E356">
        <v>76891213379</v>
      </c>
      <c r="F356">
        <f t="shared" ca="1" si="10"/>
        <v>32</v>
      </c>
      <c r="G356">
        <f ca="1">VLOOKUP(E356,PurchItem!$A$2:$H$508,8,0)</f>
        <v>2648.7341541892197</v>
      </c>
      <c r="H356">
        <v>0.04</v>
      </c>
      <c r="I356" t="s">
        <v>244</v>
      </c>
      <c r="J356" s="5">
        <v>45470.594524409724</v>
      </c>
      <c r="K356" s="5">
        <v>45473.189048819448</v>
      </c>
      <c r="M356">
        <f t="shared" si="11"/>
        <v>10029727343</v>
      </c>
      <c r="N356">
        <f ca="1">IF(M356&lt;&gt;M355,INDEX(CustInfo!$A$2:$A$1001,RANDBETWEEN(1,1000)),N355)</f>
        <v>11295</v>
      </c>
      <c r="O356" t="s">
        <v>1001</v>
      </c>
      <c r="P356">
        <v>52936490</v>
      </c>
    </row>
    <row r="357" spans="1:16" x14ac:dyDescent="0.35">
      <c r="A357">
        <v>93827212113</v>
      </c>
      <c r="C357" s="2" t="s">
        <v>883</v>
      </c>
      <c r="D357">
        <v>3</v>
      </c>
      <c r="E357">
        <v>76891213351</v>
      </c>
      <c r="F357">
        <f t="shared" ca="1" si="10"/>
        <v>24</v>
      </c>
      <c r="G357">
        <f ca="1">VLOOKUP(E357,PurchItem!$A$2:$H$508,8,0)</f>
        <v>9428.1968109971458</v>
      </c>
      <c r="H357">
        <v>0.06</v>
      </c>
      <c r="I357" t="s">
        <v>244</v>
      </c>
      <c r="J357" s="5">
        <v>45098.594524409724</v>
      </c>
      <c r="K357" s="5">
        <v>45099.189048819448</v>
      </c>
      <c r="M357">
        <f t="shared" si="11"/>
        <v>10029727343</v>
      </c>
      <c r="N357">
        <f ca="1">IF(M357&lt;&gt;M356,INDEX(CustInfo!$A$2:$A$1001,RANDBETWEEN(1,1000)),N356)</f>
        <v>11295</v>
      </c>
      <c r="O357" t="s">
        <v>1001</v>
      </c>
      <c r="P357">
        <v>52936491</v>
      </c>
    </row>
    <row r="358" spans="1:16" x14ac:dyDescent="0.35">
      <c r="A358">
        <v>93827212113</v>
      </c>
      <c r="C358" s="2" t="s">
        <v>883</v>
      </c>
      <c r="D358">
        <v>4</v>
      </c>
      <c r="E358">
        <v>76891213142</v>
      </c>
      <c r="F358">
        <f t="shared" ca="1" si="10"/>
        <v>92</v>
      </c>
      <c r="G358">
        <f ca="1">VLOOKUP(E358,PurchItem!$A$2:$H$508,8,0)</f>
        <v>5034.8662105835983</v>
      </c>
      <c r="H358">
        <v>0.06</v>
      </c>
      <c r="I358" t="s">
        <v>244</v>
      </c>
      <c r="J358" s="5">
        <v>44589.594524409724</v>
      </c>
      <c r="K358" s="5">
        <v>44590.189048819448</v>
      </c>
      <c r="M358">
        <f t="shared" si="11"/>
        <v>10029727343</v>
      </c>
      <c r="N358">
        <f ca="1">IF(M358&lt;&gt;M357,INDEX(CustInfo!$A$2:$A$1001,RANDBETWEEN(1,1000)),N357)</f>
        <v>11295</v>
      </c>
      <c r="O358" t="s">
        <v>1001</v>
      </c>
      <c r="P358">
        <v>52936492</v>
      </c>
    </row>
    <row r="359" spans="1:16" x14ac:dyDescent="0.35">
      <c r="A359">
        <v>93827212114</v>
      </c>
      <c r="C359" s="2" t="s">
        <v>883</v>
      </c>
      <c r="D359">
        <v>1</v>
      </c>
      <c r="E359">
        <v>76891213558</v>
      </c>
      <c r="F359">
        <f t="shared" ca="1" si="10"/>
        <v>72</v>
      </c>
      <c r="G359">
        <f ca="1">VLOOKUP(E359,PurchItem!$A$2:$H$508,8,0)</f>
        <v>2703.1304184049623</v>
      </c>
      <c r="H359">
        <v>0.04</v>
      </c>
      <c r="I359" t="s">
        <v>244</v>
      </c>
      <c r="J359" s="5">
        <v>45258.594524409724</v>
      </c>
      <c r="K359" s="5">
        <v>45262.189048819448</v>
      </c>
      <c r="M359">
        <f t="shared" si="11"/>
        <v>10029727344</v>
      </c>
      <c r="N359">
        <f ca="1">IF(M359&lt;&gt;M358,INDEX(CustInfo!$A$2:$A$1001,RANDBETWEEN(1,1000)),N358)</f>
        <v>11465</v>
      </c>
      <c r="O359" t="s">
        <v>1002</v>
      </c>
      <c r="P359">
        <v>52936493</v>
      </c>
    </row>
    <row r="360" spans="1:16" x14ac:dyDescent="0.35">
      <c r="A360">
        <v>93827212115</v>
      </c>
      <c r="C360" s="2" t="s">
        <v>883</v>
      </c>
      <c r="D360">
        <v>1</v>
      </c>
      <c r="E360">
        <v>76891213336</v>
      </c>
      <c r="F360">
        <f t="shared" ca="1" si="10"/>
        <v>37</v>
      </c>
      <c r="G360">
        <f ca="1">VLOOKUP(E360,PurchItem!$A$2:$H$508,8,0)</f>
        <v>2324.4800791164721</v>
      </c>
      <c r="H360">
        <v>0.04</v>
      </c>
      <c r="I360" t="s">
        <v>244</v>
      </c>
      <c r="J360" s="5">
        <v>44592.594524409724</v>
      </c>
      <c r="K360" s="5">
        <v>44594.189048819448</v>
      </c>
      <c r="M360">
        <f t="shared" si="11"/>
        <v>10029727345</v>
      </c>
      <c r="N360">
        <f ca="1">IF(M360&lt;&gt;M359,INDEX(CustInfo!$A$2:$A$1001,RANDBETWEEN(1,1000)),N359)</f>
        <v>11793</v>
      </c>
      <c r="O360" t="s">
        <v>1002</v>
      </c>
      <c r="P360">
        <v>52936494</v>
      </c>
    </row>
    <row r="361" spans="1:16" x14ac:dyDescent="0.35">
      <c r="A361">
        <v>93827212116</v>
      </c>
      <c r="C361" s="2" t="s">
        <v>883</v>
      </c>
      <c r="D361">
        <v>1</v>
      </c>
      <c r="E361">
        <v>76891213186</v>
      </c>
      <c r="F361">
        <f t="shared" ca="1" si="10"/>
        <v>11</v>
      </c>
      <c r="G361">
        <f ca="1">VLOOKUP(E361,PurchItem!$A$2:$H$508,8,0)</f>
        <v>9814.0624540391254</v>
      </c>
      <c r="H361">
        <v>0.06</v>
      </c>
      <c r="I361" t="s">
        <v>244</v>
      </c>
      <c r="J361" s="5">
        <v>44667.594524409724</v>
      </c>
      <c r="K361" s="5">
        <v>44668.189048819448</v>
      </c>
      <c r="M361">
        <f t="shared" si="11"/>
        <v>10029727346</v>
      </c>
      <c r="N361">
        <f ca="1">IF(M361&lt;&gt;M360,INDEX(CustInfo!$A$2:$A$1001,RANDBETWEEN(1,1000)),N360)</f>
        <v>11076</v>
      </c>
      <c r="O361" t="s">
        <v>1002</v>
      </c>
      <c r="P361">
        <v>52936495</v>
      </c>
    </row>
    <row r="362" spans="1:16" x14ac:dyDescent="0.35">
      <c r="A362">
        <v>93827212117</v>
      </c>
      <c r="C362" s="2" t="s">
        <v>883</v>
      </c>
      <c r="D362">
        <v>1</v>
      </c>
      <c r="E362">
        <v>76891213361</v>
      </c>
      <c r="F362">
        <f t="shared" ca="1" si="10"/>
        <v>45</v>
      </c>
      <c r="G362">
        <f ca="1">VLOOKUP(E362,PurchItem!$A$2:$H$508,8,0)</f>
        <v>2867.170727452004</v>
      </c>
      <c r="H362">
        <v>0.05</v>
      </c>
      <c r="I362" t="s">
        <v>244</v>
      </c>
      <c r="J362" s="5">
        <v>44652.594524409724</v>
      </c>
      <c r="K362" s="5">
        <v>44653.189048819448</v>
      </c>
      <c r="M362">
        <f t="shared" si="11"/>
        <v>10029727347</v>
      </c>
      <c r="N362">
        <f ca="1">IF(M362&lt;&gt;M361,INDEX(CustInfo!$A$2:$A$1001,RANDBETWEEN(1,1000)),N361)</f>
        <v>11047</v>
      </c>
      <c r="O362" t="s">
        <v>1002</v>
      </c>
      <c r="P362">
        <v>52936496</v>
      </c>
    </row>
    <row r="363" spans="1:16" x14ac:dyDescent="0.35">
      <c r="A363">
        <v>93827212118</v>
      </c>
      <c r="C363" s="2" t="s">
        <v>883</v>
      </c>
      <c r="D363">
        <v>1</v>
      </c>
      <c r="E363">
        <v>76891213418</v>
      </c>
      <c r="F363">
        <f t="shared" ca="1" si="10"/>
        <v>68</v>
      </c>
      <c r="G363">
        <f ca="1">VLOOKUP(E363,PurchItem!$A$2:$H$508,8,0)</f>
        <v>8210.6670108302296</v>
      </c>
      <c r="H363">
        <v>0.06</v>
      </c>
      <c r="I363" t="s">
        <v>244</v>
      </c>
      <c r="J363" s="5">
        <v>45293.594524409724</v>
      </c>
      <c r="K363" s="5">
        <v>45295.189048819448</v>
      </c>
      <c r="M363">
        <f t="shared" si="11"/>
        <v>10029727348</v>
      </c>
      <c r="N363">
        <f ca="1">IF(M363&lt;&gt;M362,INDEX(CustInfo!$A$2:$A$1001,RANDBETWEEN(1,1000)),N362)</f>
        <v>11268</v>
      </c>
      <c r="O363" t="s">
        <v>1001</v>
      </c>
      <c r="P363">
        <v>52936497</v>
      </c>
    </row>
    <row r="364" spans="1:16" x14ac:dyDescent="0.35">
      <c r="A364">
        <v>93827212118</v>
      </c>
      <c r="C364" s="2" t="s">
        <v>883</v>
      </c>
      <c r="D364">
        <v>2</v>
      </c>
      <c r="E364">
        <v>76891213356</v>
      </c>
      <c r="F364">
        <f t="shared" ca="1" si="10"/>
        <v>86</v>
      </c>
      <c r="G364">
        <f ca="1">VLOOKUP(E364,PurchItem!$A$2:$H$508,8,0)</f>
        <v>6479.579212669245</v>
      </c>
      <c r="H364">
        <v>0.06</v>
      </c>
      <c r="I364" t="s">
        <v>244</v>
      </c>
      <c r="J364" s="5">
        <v>45191.594524409724</v>
      </c>
      <c r="K364" s="5">
        <v>45192.189048819448</v>
      </c>
      <c r="M364">
        <f t="shared" si="11"/>
        <v>10029727348</v>
      </c>
      <c r="N364">
        <f ca="1">IF(M364&lt;&gt;M363,INDEX(CustInfo!$A$2:$A$1001,RANDBETWEEN(1,1000)),N363)</f>
        <v>11268</v>
      </c>
      <c r="O364" t="s">
        <v>1001</v>
      </c>
      <c r="P364">
        <v>52936498</v>
      </c>
    </row>
    <row r="365" spans="1:16" x14ac:dyDescent="0.35">
      <c r="A365">
        <v>93827212118</v>
      </c>
      <c r="C365" s="2" t="s">
        <v>883</v>
      </c>
      <c r="D365">
        <v>3</v>
      </c>
      <c r="E365">
        <v>76891213606</v>
      </c>
      <c r="F365">
        <f t="shared" ca="1" si="10"/>
        <v>43</v>
      </c>
      <c r="G365">
        <f ca="1">VLOOKUP(E365,PurchItem!$A$2:$H$508,8,0)</f>
        <v>2599.1188743033085</v>
      </c>
      <c r="H365">
        <v>0.04</v>
      </c>
      <c r="I365" t="s">
        <v>244</v>
      </c>
      <c r="J365" s="5">
        <v>44673.594524409724</v>
      </c>
      <c r="K365" s="5">
        <v>44677.189048819448</v>
      </c>
      <c r="M365">
        <f t="shared" si="11"/>
        <v>10029727348</v>
      </c>
      <c r="N365">
        <f ca="1">IF(M365&lt;&gt;M364,INDEX(CustInfo!$A$2:$A$1001,RANDBETWEEN(1,1000)),N364)</f>
        <v>11268</v>
      </c>
      <c r="O365" t="s">
        <v>1001</v>
      </c>
      <c r="P365">
        <v>52936499</v>
      </c>
    </row>
    <row r="366" spans="1:16" x14ac:dyDescent="0.35">
      <c r="A366">
        <v>93827212119</v>
      </c>
      <c r="C366" s="2" t="s">
        <v>883</v>
      </c>
      <c r="D366">
        <v>1</v>
      </c>
      <c r="E366">
        <v>76891213156</v>
      </c>
      <c r="F366">
        <f t="shared" ca="1" si="10"/>
        <v>57</v>
      </c>
      <c r="G366">
        <f ca="1">VLOOKUP(E366,PurchItem!$A$2:$H$508,8,0)</f>
        <v>9558.6946346003115</v>
      </c>
      <c r="H366">
        <v>0.06</v>
      </c>
      <c r="I366" t="s">
        <v>244</v>
      </c>
      <c r="J366" s="5">
        <v>45351.594524409724</v>
      </c>
      <c r="K366" s="5">
        <v>45352.189048819448</v>
      </c>
      <c r="M366">
        <f t="shared" si="11"/>
        <v>10029727349</v>
      </c>
      <c r="N366">
        <f ca="1">IF(M366&lt;&gt;M365,INDEX(CustInfo!$A$2:$A$1001,RANDBETWEEN(1,1000)),N365)</f>
        <v>11569</v>
      </c>
      <c r="O366" t="s">
        <v>1001</v>
      </c>
      <c r="P366">
        <v>52936500</v>
      </c>
    </row>
    <row r="367" spans="1:16" x14ac:dyDescent="0.35">
      <c r="A367">
        <v>93827212119</v>
      </c>
      <c r="C367" s="2" t="s">
        <v>883</v>
      </c>
      <c r="D367">
        <v>2</v>
      </c>
      <c r="E367">
        <v>76891213412</v>
      </c>
      <c r="F367">
        <f t="shared" ca="1" si="10"/>
        <v>13</v>
      </c>
      <c r="G367">
        <f ca="1">VLOOKUP(E367,PurchItem!$A$2:$H$508,8,0)</f>
        <v>430.51503832168373</v>
      </c>
      <c r="H367">
        <v>0.05</v>
      </c>
      <c r="I367" t="s">
        <v>244</v>
      </c>
      <c r="J367" s="5">
        <v>45267.594524409724</v>
      </c>
      <c r="K367" s="5">
        <v>45268.189048819448</v>
      </c>
      <c r="M367">
        <f t="shared" si="11"/>
        <v>10029727349</v>
      </c>
      <c r="N367">
        <f ca="1">IF(M367&lt;&gt;M366,INDEX(CustInfo!$A$2:$A$1001,RANDBETWEEN(1,1000)),N366)</f>
        <v>11569</v>
      </c>
      <c r="O367" t="s">
        <v>1001</v>
      </c>
      <c r="P367">
        <v>52936501</v>
      </c>
    </row>
    <row r="368" spans="1:16" x14ac:dyDescent="0.35">
      <c r="A368">
        <v>93827212120</v>
      </c>
      <c r="C368" s="2" t="s">
        <v>883</v>
      </c>
      <c r="D368">
        <v>1</v>
      </c>
      <c r="E368">
        <v>76891213547</v>
      </c>
      <c r="F368">
        <f t="shared" ca="1" si="10"/>
        <v>81</v>
      </c>
      <c r="G368">
        <f ca="1">VLOOKUP(E368,PurchItem!$A$2:$H$508,8,0)</f>
        <v>4233.6833271008645</v>
      </c>
      <c r="H368">
        <v>0.04</v>
      </c>
      <c r="I368" t="s">
        <v>244</v>
      </c>
      <c r="J368" s="5">
        <v>45077.594524409724</v>
      </c>
      <c r="K368" s="5">
        <v>45078.189048819448</v>
      </c>
      <c r="M368">
        <f t="shared" si="11"/>
        <v>10029727350</v>
      </c>
      <c r="N368">
        <f ca="1">IF(M368&lt;&gt;M367,INDEX(CustInfo!$A$2:$A$1001,RANDBETWEEN(1,1000)),N367)</f>
        <v>11336</v>
      </c>
      <c r="O368" t="s">
        <v>1001</v>
      </c>
      <c r="P368">
        <v>52936502</v>
      </c>
    </row>
    <row r="369" spans="1:16" x14ac:dyDescent="0.35">
      <c r="A369">
        <v>93827212120</v>
      </c>
      <c r="C369" s="2" t="s">
        <v>883</v>
      </c>
      <c r="D369">
        <v>2</v>
      </c>
      <c r="E369">
        <v>76891213639</v>
      </c>
      <c r="F369">
        <f t="shared" ca="1" si="10"/>
        <v>18</v>
      </c>
      <c r="G369">
        <f ca="1">VLOOKUP(E369,PurchItem!$A$2:$H$508,8,0)</f>
        <v>1848.476115085952</v>
      </c>
      <c r="H369">
        <v>0.04</v>
      </c>
      <c r="I369" t="s">
        <v>244</v>
      </c>
      <c r="J369" s="5">
        <v>45367.594524409724</v>
      </c>
      <c r="K369" s="5">
        <v>45368.189048819448</v>
      </c>
      <c r="M369">
        <f t="shared" si="11"/>
        <v>10029727350</v>
      </c>
      <c r="N369">
        <f ca="1">IF(M369&lt;&gt;M368,INDEX(CustInfo!$A$2:$A$1001,RANDBETWEEN(1,1000)),N368)</f>
        <v>11336</v>
      </c>
      <c r="O369" t="s">
        <v>1001</v>
      </c>
      <c r="P369">
        <v>52936503</v>
      </c>
    </row>
    <row r="370" spans="1:16" x14ac:dyDescent="0.35">
      <c r="A370">
        <v>93827212120</v>
      </c>
      <c r="C370" s="2" t="s">
        <v>883</v>
      </c>
      <c r="D370">
        <v>3</v>
      </c>
      <c r="E370">
        <v>76891213448</v>
      </c>
      <c r="F370">
        <f t="shared" ca="1" si="10"/>
        <v>18</v>
      </c>
      <c r="G370">
        <f ca="1">VLOOKUP(E370,PurchItem!$A$2:$H$508,8,0)</f>
        <v>3709.5224628310179</v>
      </c>
      <c r="H370">
        <v>0.04</v>
      </c>
      <c r="I370" t="s">
        <v>244</v>
      </c>
      <c r="J370" s="5">
        <v>45234.594524409724</v>
      </c>
      <c r="K370" s="5">
        <v>45237.189048819448</v>
      </c>
      <c r="M370">
        <f t="shared" si="11"/>
        <v>10029727350</v>
      </c>
      <c r="N370">
        <f ca="1">IF(M370&lt;&gt;M369,INDEX(CustInfo!$A$2:$A$1001,RANDBETWEEN(1,1000)),N369)</f>
        <v>11336</v>
      </c>
      <c r="O370" t="s">
        <v>1001</v>
      </c>
      <c r="P370">
        <v>52936504</v>
      </c>
    </row>
    <row r="371" spans="1:16" x14ac:dyDescent="0.35">
      <c r="A371">
        <v>93827212121</v>
      </c>
      <c r="C371" s="2" t="s">
        <v>883</v>
      </c>
      <c r="D371">
        <v>1</v>
      </c>
      <c r="E371">
        <v>76891213255</v>
      </c>
      <c r="F371">
        <f t="shared" ca="1" si="10"/>
        <v>67</v>
      </c>
      <c r="G371">
        <f ca="1">VLOOKUP(E371,PurchItem!$A$2:$H$508,8,0)</f>
        <v>8364.121881281746</v>
      </c>
      <c r="H371">
        <v>0.05</v>
      </c>
      <c r="I371" t="s">
        <v>244</v>
      </c>
      <c r="J371" s="5">
        <v>45225.594524409724</v>
      </c>
      <c r="K371" s="5">
        <v>45227.189048819448</v>
      </c>
      <c r="M371">
        <f t="shared" si="11"/>
        <v>10029727351</v>
      </c>
      <c r="N371">
        <f ca="1">IF(M371&lt;&gt;M370,INDEX(CustInfo!$A$2:$A$1001,RANDBETWEEN(1,1000)),N370)</f>
        <v>11465</v>
      </c>
      <c r="O371" t="s">
        <v>1001</v>
      </c>
      <c r="P371">
        <v>52936505</v>
      </c>
    </row>
    <row r="372" spans="1:16" x14ac:dyDescent="0.35">
      <c r="A372">
        <v>93827212121</v>
      </c>
      <c r="C372" s="2" t="s">
        <v>883</v>
      </c>
      <c r="D372">
        <v>2</v>
      </c>
      <c r="E372">
        <v>76891213272</v>
      </c>
      <c r="F372">
        <f t="shared" ca="1" si="10"/>
        <v>93</v>
      </c>
      <c r="G372">
        <f ca="1">VLOOKUP(E372,PurchItem!$A$2:$H$508,8,0)</f>
        <v>2311.4492610885359</v>
      </c>
      <c r="H372">
        <v>0.04</v>
      </c>
      <c r="I372" t="s">
        <v>244</v>
      </c>
      <c r="J372" s="5">
        <v>44569.594524409724</v>
      </c>
      <c r="K372" s="5">
        <v>44570.189048819448</v>
      </c>
      <c r="M372">
        <f t="shared" si="11"/>
        <v>10029727351</v>
      </c>
      <c r="N372">
        <f ca="1">IF(M372&lt;&gt;M371,INDEX(CustInfo!$A$2:$A$1001,RANDBETWEEN(1,1000)),N371)</f>
        <v>11465</v>
      </c>
      <c r="O372" t="s">
        <v>1001</v>
      </c>
      <c r="P372">
        <v>52936506</v>
      </c>
    </row>
    <row r="373" spans="1:16" x14ac:dyDescent="0.35">
      <c r="A373">
        <v>93827212121</v>
      </c>
      <c r="C373" s="2" t="s">
        <v>883</v>
      </c>
      <c r="D373">
        <v>3</v>
      </c>
      <c r="E373">
        <v>76891213609</v>
      </c>
      <c r="F373">
        <f t="shared" ca="1" si="10"/>
        <v>38</v>
      </c>
      <c r="G373">
        <f ca="1">VLOOKUP(E373,PurchItem!$A$2:$H$508,8,0)</f>
        <v>9297.028903944276</v>
      </c>
      <c r="H373">
        <v>0.05</v>
      </c>
      <c r="I373" t="s">
        <v>244</v>
      </c>
      <c r="J373" s="5">
        <v>45334.594524409724</v>
      </c>
      <c r="K373" s="5">
        <v>45335.189048819448</v>
      </c>
      <c r="M373">
        <f t="shared" si="11"/>
        <v>10029727351</v>
      </c>
      <c r="N373">
        <f ca="1">IF(M373&lt;&gt;M372,INDEX(CustInfo!$A$2:$A$1001,RANDBETWEEN(1,1000)),N372)</f>
        <v>11465</v>
      </c>
      <c r="O373" t="s">
        <v>1001</v>
      </c>
      <c r="P373">
        <v>52936507</v>
      </c>
    </row>
    <row r="374" spans="1:16" x14ac:dyDescent="0.35">
      <c r="A374">
        <v>93827212121</v>
      </c>
      <c r="C374" s="2" t="s">
        <v>883</v>
      </c>
      <c r="D374">
        <v>4</v>
      </c>
      <c r="E374">
        <v>76891213587</v>
      </c>
      <c r="F374">
        <f t="shared" ca="1" si="10"/>
        <v>86</v>
      </c>
      <c r="G374">
        <f ca="1">VLOOKUP(E374,PurchItem!$A$2:$H$508,8,0)</f>
        <v>402.21981378530177</v>
      </c>
      <c r="H374">
        <v>0.04</v>
      </c>
      <c r="I374" t="s">
        <v>244</v>
      </c>
      <c r="J374" s="5">
        <v>44631.594524409724</v>
      </c>
      <c r="K374" s="5">
        <v>44632.189048819448</v>
      </c>
      <c r="M374">
        <f t="shared" si="11"/>
        <v>10029727351</v>
      </c>
      <c r="N374">
        <f ca="1">IF(M374&lt;&gt;M373,INDEX(CustInfo!$A$2:$A$1001,RANDBETWEEN(1,1000)),N373)</f>
        <v>11465</v>
      </c>
      <c r="O374" t="s">
        <v>1001</v>
      </c>
      <c r="P374">
        <v>52936508</v>
      </c>
    </row>
    <row r="375" spans="1:16" x14ac:dyDescent="0.35">
      <c r="A375">
        <v>93827212122</v>
      </c>
      <c r="C375" s="2" t="s">
        <v>883</v>
      </c>
      <c r="D375">
        <v>1</v>
      </c>
      <c r="E375">
        <v>76891213293</v>
      </c>
      <c r="F375">
        <f t="shared" ca="1" si="10"/>
        <v>7</v>
      </c>
      <c r="G375">
        <f ca="1">VLOOKUP(E375,PurchItem!$A$2:$H$508,8,0)</f>
        <v>1389.1874106181256</v>
      </c>
      <c r="H375">
        <v>0.05</v>
      </c>
      <c r="I375" t="s">
        <v>244</v>
      </c>
      <c r="J375" s="5">
        <v>45575.594524409724</v>
      </c>
      <c r="K375" s="5">
        <v>45578.189048819448</v>
      </c>
      <c r="M375">
        <f t="shared" si="11"/>
        <v>10029727352</v>
      </c>
      <c r="N375">
        <f ca="1">IF(M375&lt;&gt;M374,INDEX(CustInfo!$A$2:$A$1001,RANDBETWEEN(1,1000)),N374)</f>
        <v>11499</v>
      </c>
      <c r="O375" t="s">
        <v>1003</v>
      </c>
      <c r="P375">
        <v>52936509</v>
      </c>
    </row>
    <row r="376" spans="1:16" x14ac:dyDescent="0.35">
      <c r="A376">
        <v>93827212122</v>
      </c>
      <c r="C376" s="2" t="s">
        <v>883</v>
      </c>
      <c r="D376">
        <v>2</v>
      </c>
      <c r="E376">
        <v>76891213639</v>
      </c>
      <c r="F376">
        <f t="shared" ca="1" si="10"/>
        <v>22</v>
      </c>
      <c r="G376">
        <f ca="1">VLOOKUP(E376,PurchItem!$A$2:$H$508,8,0)</f>
        <v>1848.476115085952</v>
      </c>
      <c r="H376">
        <v>0.04</v>
      </c>
      <c r="I376" t="s">
        <v>244</v>
      </c>
      <c r="J376" s="5">
        <v>44984.594524409724</v>
      </c>
      <c r="K376" s="5">
        <v>44986.189048819448</v>
      </c>
      <c r="M376">
        <f t="shared" si="11"/>
        <v>10029727352</v>
      </c>
      <c r="N376">
        <f ca="1">IF(M376&lt;&gt;M375,INDEX(CustInfo!$A$2:$A$1001,RANDBETWEEN(1,1000)),N375)</f>
        <v>11499</v>
      </c>
      <c r="O376" t="s">
        <v>1003</v>
      </c>
      <c r="P376">
        <v>52936510</v>
      </c>
    </row>
    <row r="377" spans="1:16" x14ac:dyDescent="0.35">
      <c r="A377">
        <v>93827212122</v>
      </c>
      <c r="C377" s="2" t="s">
        <v>883</v>
      </c>
      <c r="D377">
        <v>3</v>
      </c>
      <c r="E377">
        <v>76891213171</v>
      </c>
      <c r="F377">
        <f t="shared" ca="1" si="10"/>
        <v>35</v>
      </c>
      <c r="G377">
        <f ca="1">VLOOKUP(E377,PurchItem!$A$2:$H$508,8,0)</f>
        <v>2108.5600192484262</v>
      </c>
      <c r="H377">
        <v>0.05</v>
      </c>
      <c r="I377" t="s">
        <v>244</v>
      </c>
      <c r="J377" s="5">
        <v>45056.594524409724</v>
      </c>
      <c r="K377" s="5">
        <v>45058.189048819448</v>
      </c>
      <c r="M377">
        <f t="shared" si="11"/>
        <v>10029727352</v>
      </c>
      <c r="N377">
        <f ca="1">IF(M377&lt;&gt;M376,INDEX(CustInfo!$A$2:$A$1001,RANDBETWEEN(1,1000)),N376)</f>
        <v>11499</v>
      </c>
      <c r="O377" t="s">
        <v>1003</v>
      </c>
      <c r="P377">
        <v>52936511</v>
      </c>
    </row>
    <row r="378" spans="1:16" x14ac:dyDescent="0.35">
      <c r="A378">
        <v>93827212123</v>
      </c>
      <c r="C378" s="2" t="s">
        <v>883</v>
      </c>
      <c r="D378">
        <v>1</v>
      </c>
      <c r="E378">
        <v>76891213622</v>
      </c>
      <c r="F378">
        <f t="shared" ca="1" si="10"/>
        <v>5</v>
      </c>
      <c r="G378">
        <f ca="1">VLOOKUP(E378,PurchItem!$A$2:$H$508,8,0)</f>
        <v>7391.767855280551</v>
      </c>
      <c r="H378">
        <v>0.06</v>
      </c>
      <c r="I378" t="s">
        <v>244</v>
      </c>
      <c r="J378" s="5">
        <v>44807.594524409724</v>
      </c>
      <c r="K378" s="5">
        <v>44808.189048819448</v>
      </c>
      <c r="M378">
        <f t="shared" si="11"/>
        <v>10029727353</v>
      </c>
      <c r="N378">
        <f ca="1">IF(M378&lt;&gt;M377,INDEX(CustInfo!$A$2:$A$1001,RANDBETWEEN(1,1000)),N377)</f>
        <v>11275</v>
      </c>
      <c r="O378" t="s">
        <v>1003</v>
      </c>
      <c r="P378">
        <v>52936512</v>
      </c>
    </row>
    <row r="379" spans="1:16" x14ac:dyDescent="0.35">
      <c r="A379">
        <v>93827212123</v>
      </c>
      <c r="C379" s="2" t="s">
        <v>883</v>
      </c>
      <c r="D379">
        <v>2</v>
      </c>
      <c r="E379">
        <v>76891213476</v>
      </c>
      <c r="F379">
        <f t="shared" ca="1" si="10"/>
        <v>77</v>
      </c>
      <c r="G379">
        <f ca="1">VLOOKUP(E379,PurchItem!$A$2:$H$508,8,0)</f>
        <v>9770.3876233997762</v>
      </c>
      <c r="H379">
        <v>0.06</v>
      </c>
      <c r="I379" t="s">
        <v>244</v>
      </c>
      <c r="J379" s="5">
        <v>44624.594524409724</v>
      </c>
      <c r="K379" s="5">
        <v>44628.189048819448</v>
      </c>
      <c r="M379">
        <f t="shared" si="11"/>
        <v>10029727353</v>
      </c>
      <c r="N379">
        <f ca="1">IF(M379&lt;&gt;M378,INDEX(CustInfo!$A$2:$A$1001,RANDBETWEEN(1,1000)),N378)</f>
        <v>11275</v>
      </c>
      <c r="O379" t="s">
        <v>1003</v>
      </c>
      <c r="P379">
        <v>52936513</v>
      </c>
    </row>
    <row r="380" spans="1:16" x14ac:dyDescent="0.35">
      <c r="A380">
        <v>93827212124</v>
      </c>
      <c r="C380" s="2" t="s">
        <v>883</v>
      </c>
      <c r="D380">
        <v>1</v>
      </c>
      <c r="E380">
        <v>76891213383</v>
      </c>
      <c r="F380">
        <f t="shared" ca="1" si="10"/>
        <v>41</v>
      </c>
      <c r="G380">
        <f ca="1">VLOOKUP(E380,PurchItem!$A$2:$H$508,8,0)</f>
        <v>7867.2325628845992</v>
      </c>
      <c r="H380">
        <v>0.05</v>
      </c>
      <c r="I380" t="s">
        <v>244</v>
      </c>
      <c r="J380" s="5">
        <v>44562.594524409724</v>
      </c>
      <c r="K380" s="5">
        <v>44565.189048819448</v>
      </c>
      <c r="M380">
        <f t="shared" si="11"/>
        <v>10029727354</v>
      </c>
      <c r="N380">
        <f ca="1">IF(M380&lt;&gt;M379,INDEX(CustInfo!$A$2:$A$1001,RANDBETWEEN(1,1000)),N379)</f>
        <v>11876</v>
      </c>
      <c r="O380" t="s">
        <v>1001</v>
      </c>
      <c r="P380">
        <v>52936514</v>
      </c>
    </row>
    <row r="381" spans="1:16" x14ac:dyDescent="0.35">
      <c r="A381">
        <v>93827212124</v>
      </c>
      <c r="C381" s="2" t="s">
        <v>883</v>
      </c>
      <c r="D381">
        <v>2</v>
      </c>
      <c r="E381">
        <v>76891213411</v>
      </c>
      <c r="F381">
        <f t="shared" ca="1" si="10"/>
        <v>18</v>
      </c>
      <c r="G381">
        <f ca="1">VLOOKUP(E381,PurchItem!$A$2:$H$508,8,0)</f>
        <v>1843.4759444981628</v>
      </c>
      <c r="H381">
        <v>0.04</v>
      </c>
      <c r="I381" t="s">
        <v>244</v>
      </c>
      <c r="J381" s="5">
        <v>45285.594524409724</v>
      </c>
      <c r="K381" s="5">
        <v>45289.189048819448</v>
      </c>
      <c r="M381">
        <f t="shared" si="11"/>
        <v>10029727354</v>
      </c>
      <c r="N381">
        <f ca="1">IF(M381&lt;&gt;M380,INDEX(CustInfo!$A$2:$A$1001,RANDBETWEEN(1,1000)),N380)</f>
        <v>11876</v>
      </c>
      <c r="O381" t="s">
        <v>1001</v>
      </c>
      <c r="P381">
        <v>52936515</v>
      </c>
    </row>
    <row r="382" spans="1:16" x14ac:dyDescent="0.35">
      <c r="A382">
        <v>93827212125</v>
      </c>
      <c r="C382" s="2" t="s">
        <v>883</v>
      </c>
      <c r="D382">
        <v>1</v>
      </c>
      <c r="E382">
        <v>76891213205</v>
      </c>
      <c r="F382">
        <f t="shared" ca="1" si="10"/>
        <v>69</v>
      </c>
      <c r="G382">
        <f ca="1">VLOOKUP(E382,PurchItem!$A$2:$H$508,8,0)</f>
        <v>1670.4985770976355</v>
      </c>
      <c r="H382">
        <v>0.05</v>
      </c>
      <c r="I382" t="s">
        <v>244</v>
      </c>
      <c r="J382" s="5">
        <v>44810.594524409724</v>
      </c>
      <c r="K382" s="5">
        <v>44813.189048819448</v>
      </c>
      <c r="M382">
        <f t="shared" si="11"/>
        <v>10029727355</v>
      </c>
      <c r="N382">
        <f ca="1">IF(M382&lt;&gt;M381,INDEX(CustInfo!$A$2:$A$1001,RANDBETWEEN(1,1000)),N381)</f>
        <v>11646</v>
      </c>
      <c r="O382" t="s">
        <v>1002</v>
      </c>
      <c r="P382">
        <v>52936516</v>
      </c>
    </row>
    <row r="383" spans="1:16" x14ac:dyDescent="0.35">
      <c r="A383">
        <v>93827212125</v>
      </c>
      <c r="C383" s="2" t="s">
        <v>883</v>
      </c>
      <c r="D383">
        <v>2</v>
      </c>
      <c r="E383">
        <v>76891213154</v>
      </c>
      <c r="F383">
        <f t="shared" ca="1" si="10"/>
        <v>32</v>
      </c>
      <c r="G383">
        <f ca="1">VLOOKUP(E383,PurchItem!$A$2:$H$508,8,0)</f>
        <v>5837.3435594720122</v>
      </c>
      <c r="H383">
        <v>0.06</v>
      </c>
      <c r="I383" t="s">
        <v>244</v>
      </c>
      <c r="J383" s="5">
        <v>45538.594524409724</v>
      </c>
      <c r="K383" s="5">
        <v>45541.189048819448</v>
      </c>
      <c r="M383">
        <f t="shared" si="11"/>
        <v>10029727355</v>
      </c>
      <c r="N383">
        <f ca="1">IF(M383&lt;&gt;M382,INDEX(CustInfo!$A$2:$A$1001,RANDBETWEEN(1,1000)),N382)</f>
        <v>11646</v>
      </c>
      <c r="O383" t="s">
        <v>1002</v>
      </c>
      <c r="P383">
        <v>52936517</v>
      </c>
    </row>
    <row r="384" spans="1:16" x14ac:dyDescent="0.35">
      <c r="A384">
        <v>93827212125</v>
      </c>
      <c r="C384" s="2" t="s">
        <v>883</v>
      </c>
      <c r="D384">
        <v>3</v>
      </c>
      <c r="E384">
        <v>76891213550</v>
      </c>
      <c r="F384">
        <f t="shared" ca="1" si="10"/>
        <v>26</v>
      </c>
      <c r="G384">
        <f ca="1">VLOOKUP(E384,PurchItem!$A$2:$H$508,8,0)</f>
        <v>8587.4277127599253</v>
      </c>
      <c r="H384">
        <v>0.06</v>
      </c>
      <c r="I384" t="s">
        <v>244</v>
      </c>
      <c r="J384" s="5">
        <v>44634.594524409724</v>
      </c>
      <c r="K384" s="5">
        <v>44638.189048819448</v>
      </c>
      <c r="M384">
        <f t="shared" si="11"/>
        <v>10029727355</v>
      </c>
      <c r="N384">
        <f ca="1">IF(M384&lt;&gt;M383,INDEX(CustInfo!$A$2:$A$1001,RANDBETWEEN(1,1000)),N383)</f>
        <v>11646</v>
      </c>
      <c r="O384" t="s">
        <v>1002</v>
      </c>
      <c r="P384">
        <v>52936518</v>
      </c>
    </row>
    <row r="385" spans="1:16" x14ac:dyDescent="0.35">
      <c r="A385">
        <v>93827212125</v>
      </c>
      <c r="C385" s="2" t="s">
        <v>883</v>
      </c>
      <c r="D385">
        <v>4</v>
      </c>
      <c r="E385">
        <v>76891213149</v>
      </c>
      <c r="F385">
        <f t="shared" ca="1" si="10"/>
        <v>53</v>
      </c>
      <c r="G385">
        <f ca="1">VLOOKUP(E385,PurchItem!$A$2:$H$508,8,0)</f>
        <v>1501.6371834269539</v>
      </c>
      <c r="H385">
        <v>0.06</v>
      </c>
      <c r="I385" t="s">
        <v>244</v>
      </c>
      <c r="J385" s="5">
        <v>44593.594524409724</v>
      </c>
      <c r="K385" s="5">
        <v>44594.189048819448</v>
      </c>
      <c r="M385">
        <f t="shared" si="11"/>
        <v>10029727355</v>
      </c>
      <c r="N385">
        <f ca="1">IF(M385&lt;&gt;M384,INDEX(CustInfo!$A$2:$A$1001,RANDBETWEEN(1,1000)),N384)</f>
        <v>11646</v>
      </c>
      <c r="O385" t="s">
        <v>1002</v>
      </c>
      <c r="P385">
        <v>52936519</v>
      </c>
    </row>
    <row r="386" spans="1:16" x14ac:dyDescent="0.35">
      <c r="A386">
        <v>93827212126</v>
      </c>
      <c r="C386" s="2" t="s">
        <v>883</v>
      </c>
      <c r="D386">
        <v>1</v>
      </c>
      <c r="E386">
        <v>76891213426</v>
      </c>
      <c r="F386">
        <f t="shared" ca="1" si="10"/>
        <v>40</v>
      </c>
      <c r="G386">
        <f ca="1">VLOOKUP(E386,PurchItem!$A$2:$H$508,8,0)</f>
        <v>7367.2409730159643</v>
      </c>
      <c r="H386">
        <v>0.04</v>
      </c>
      <c r="I386" t="s">
        <v>244</v>
      </c>
      <c r="J386" s="5">
        <v>44619.594524409724</v>
      </c>
      <c r="K386" s="5">
        <v>44621.189048819448</v>
      </c>
      <c r="M386">
        <f t="shared" si="11"/>
        <v>10029727356</v>
      </c>
      <c r="N386">
        <f ca="1">IF(M386&lt;&gt;M385,INDEX(CustInfo!$A$2:$A$1001,RANDBETWEEN(1,1000)),N385)</f>
        <v>11818</v>
      </c>
      <c r="O386" t="s">
        <v>1003</v>
      </c>
      <c r="P386">
        <v>52936520</v>
      </c>
    </row>
    <row r="387" spans="1:16" x14ac:dyDescent="0.35">
      <c r="A387">
        <v>93827212126</v>
      </c>
      <c r="C387" s="2" t="s">
        <v>883</v>
      </c>
      <c r="D387">
        <v>2</v>
      </c>
      <c r="E387">
        <v>76891213225</v>
      </c>
      <c r="F387">
        <f t="shared" ref="F387:F450" ca="1" si="12">RANDBETWEEN(1,100)</f>
        <v>3</v>
      </c>
      <c r="G387">
        <f ca="1">VLOOKUP(E387,PurchItem!$A$2:$H$508,8,0)</f>
        <v>8536.5473217392282</v>
      </c>
      <c r="H387">
        <v>0.06</v>
      </c>
      <c r="I387" t="s">
        <v>244</v>
      </c>
      <c r="J387" s="5">
        <v>45030.594524409724</v>
      </c>
      <c r="K387" s="5">
        <v>45034.189048819448</v>
      </c>
      <c r="M387">
        <f t="shared" si="11"/>
        <v>10029727356</v>
      </c>
      <c r="N387">
        <f ca="1">IF(M387&lt;&gt;M386,INDEX(CustInfo!$A$2:$A$1001,RANDBETWEEN(1,1000)),N386)</f>
        <v>11818</v>
      </c>
      <c r="O387" t="s">
        <v>1003</v>
      </c>
      <c r="P387">
        <v>52936521</v>
      </c>
    </row>
    <row r="388" spans="1:16" x14ac:dyDescent="0.35">
      <c r="A388">
        <v>93827212126</v>
      </c>
      <c r="C388" s="2" t="s">
        <v>883</v>
      </c>
      <c r="D388">
        <v>3</v>
      </c>
      <c r="E388">
        <v>76891213450</v>
      </c>
      <c r="F388">
        <f t="shared" ca="1" si="12"/>
        <v>30</v>
      </c>
      <c r="G388">
        <f ca="1">VLOOKUP(E388,PurchItem!$A$2:$H$508,8,0)</f>
        <v>127.27613352870286</v>
      </c>
      <c r="H388">
        <v>0.06</v>
      </c>
      <c r="I388" t="s">
        <v>244</v>
      </c>
      <c r="J388" s="5">
        <v>45115.594524409724</v>
      </c>
      <c r="K388" s="5">
        <v>45118.189048819448</v>
      </c>
      <c r="M388">
        <f t="shared" si="11"/>
        <v>10029727356</v>
      </c>
      <c r="N388">
        <f ca="1">IF(M388&lt;&gt;M387,INDEX(CustInfo!$A$2:$A$1001,RANDBETWEEN(1,1000)),N387)</f>
        <v>11818</v>
      </c>
      <c r="O388" t="s">
        <v>1003</v>
      </c>
      <c r="P388">
        <v>52936522</v>
      </c>
    </row>
    <row r="389" spans="1:16" x14ac:dyDescent="0.35">
      <c r="A389">
        <v>93827212126</v>
      </c>
      <c r="C389" s="2" t="s">
        <v>883</v>
      </c>
      <c r="D389">
        <v>4</v>
      </c>
      <c r="E389">
        <v>76891213511</v>
      </c>
      <c r="F389">
        <f t="shared" ca="1" si="12"/>
        <v>33</v>
      </c>
      <c r="G389">
        <f ca="1">VLOOKUP(E389,PurchItem!$A$2:$H$508,8,0)</f>
        <v>6497.3010263499036</v>
      </c>
      <c r="H389">
        <v>0.05</v>
      </c>
      <c r="I389" t="s">
        <v>244</v>
      </c>
      <c r="J389" s="5">
        <v>44870.594524409724</v>
      </c>
      <c r="K389" s="5">
        <v>44873.189048819448</v>
      </c>
      <c r="M389">
        <f t="shared" ref="M389:M452" si="13">IF(A389&lt;&gt;A388,M388+1,M388)</f>
        <v>10029727356</v>
      </c>
      <c r="N389">
        <f ca="1">IF(M389&lt;&gt;M388,INDEX(CustInfo!$A$2:$A$1001,RANDBETWEEN(1,1000)),N388)</f>
        <v>11818</v>
      </c>
      <c r="O389" t="s">
        <v>1003</v>
      </c>
      <c r="P389">
        <v>52936523</v>
      </c>
    </row>
    <row r="390" spans="1:16" x14ac:dyDescent="0.35">
      <c r="A390">
        <v>93827212127</v>
      </c>
      <c r="C390" s="2" t="s">
        <v>883</v>
      </c>
      <c r="D390">
        <v>1</v>
      </c>
      <c r="E390">
        <v>76891213612</v>
      </c>
      <c r="F390">
        <f t="shared" ca="1" si="12"/>
        <v>16</v>
      </c>
      <c r="G390">
        <f ca="1">VLOOKUP(E390,PurchItem!$A$2:$H$508,8,0)</f>
        <v>7526.7928414753633</v>
      </c>
      <c r="H390">
        <v>0.04</v>
      </c>
      <c r="I390" t="s">
        <v>244</v>
      </c>
      <c r="J390" s="5">
        <v>44601.594524409724</v>
      </c>
      <c r="K390" s="5">
        <v>44602.189048819448</v>
      </c>
      <c r="M390">
        <f t="shared" si="13"/>
        <v>10029727357</v>
      </c>
      <c r="N390">
        <f ca="1">IF(M390&lt;&gt;M389,INDEX(CustInfo!$A$2:$A$1001,RANDBETWEEN(1,1000)),N389)</f>
        <v>11515</v>
      </c>
      <c r="O390" t="s">
        <v>1002</v>
      </c>
      <c r="P390">
        <v>52936524</v>
      </c>
    </row>
    <row r="391" spans="1:16" x14ac:dyDescent="0.35">
      <c r="A391">
        <v>93827212128</v>
      </c>
      <c r="C391" s="2" t="s">
        <v>883</v>
      </c>
      <c r="D391">
        <v>1</v>
      </c>
      <c r="E391">
        <v>76891213442</v>
      </c>
      <c r="F391">
        <f t="shared" ca="1" si="12"/>
        <v>85</v>
      </c>
      <c r="G391">
        <f ca="1">VLOOKUP(E391,PurchItem!$A$2:$H$508,8,0)</f>
        <v>3996.4553378666742</v>
      </c>
      <c r="H391">
        <v>0.06</v>
      </c>
      <c r="I391" t="s">
        <v>244</v>
      </c>
      <c r="J391" s="5">
        <v>44933.594524409724</v>
      </c>
      <c r="K391" s="5">
        <v>44935.189048819448</v>
      </c>
      <c r="M391">
        <f t="shared" si="13"/>
        <v>10029727358</v>
      </c>
      <c r="N391">
        <f ca="1">IF(M391&lt;&gt;M390,INDEX(CustInfo!$A$2:$A$1001,RANDBETWEEN(1,1000)),N390)</f>
        <v>11633</v>
      </c>
      <c r="O391" t="s">
        <v>1003</v>
      </c>
      <c r="P391">
        <v>52936525</v>
      </c>
    </row>
    <row r="392" spans="1:16" x14ac:dyDescent="0.35">
      <c r="A392">
        <v>93827212128</v>
      </c>
      <c r="C392" s="2" t="s">
        <v>883</v>
      </c>
      <c r="D392">
        <v>2</v>
      </c>
      <c r="E392">
        <v>76891213288</v>
      </c>
      <c r="F392">
        <f t="shared" ca="1" si="12"/>
        <v>19</v>
      </c>
      <c r="G392">
        <f ca="1">VLOOKUP(E392,PurchItem!$A$2:$H$508,8,0)</f>
        <v>6634.5213683580823</v>
      </c>
      <c r="H392">
        <v>0.06</v>
      </c>
      <c r="I392" t="s">
        <v>244</v>
      </c>
      <c r="J392" s="5">
        <v>45524.594524409724</v>
      </c>
      <c r="K392" s="5">
        <v>45525.189048819448</v>
      </c>
      <c r="M392">
        <f t="shared" si="13"/>
        <v>10029727358</v>
      </c>
      <c r="N392">
        <f ca="1">IF(M392&lt;&gt;M391,INDEX(CustInfo!$A$2:$A$1001,RANDBETWEEN(1,1000)),N391)</f>
        <v>11633</v>
      </c>
      <c r="O392" t="s">
        <v>1003</v>
      </c>
      <c r="P392">
        <v>52936526</v>
      </c>
    </row>
    <row r="393" spans="1:16" x14ac:dyDescent="0.35">
      <c r="A393">
        <v>93827212128</v>
      </c>
      <c r="C393" s="2" t="s">
        <v>883</v>
      </c>
      <c r="D393">
        <v>3</v>
      </c>
      <c r="E393">
        <v>76891213222</v>
      </c>
      <c r="F393">
        <f t="shared" ca="1" si="12"/>
        <v>77</v>
      </c>
      <c r="G393">
        <f ca="1">VLOOKUP(E393,PurchItem!$A$2:$H$508,8,0)</f>
        <v>1665.2112570616277</v>
      </c>
      <c r="H393">
        <v>0.06</v>
      </c>
      <c r="I393" t="s">
        <v>244</v>
      </c>
      <c r="J393" s="5">
        <v>45282.594524409724</v>
      </c>
      <c r="K393" s="5">
        <v>45283.189048819448</v>
      </c>
      <c r="M393">
        <f t="shared" si="13"/>
        <v>10029727358</v>
      </c>
      <c r="N393">
        <f ca="1">IF(M393&lt;&gt;M392,INDEX(CustInfo!$A$2:$A$1001,RANDBETWEEN(1,1000)),N392)</f>
        <v>11633</v>
      </c>
      <c r="O393" t="s">
        <v>1003</v>
      </c>
      <c r="P393">
        <v>52936527</v>
      </c>
    </row>
    <row r="394" spans="1:16" x14ac:dyDescent="0.35">
      <c r="A394">
        <v>93827212128</v>
      </c>
      <c r="C394" s="2" t="s">
        <v>883</v>
      </c>
      <c r="D394">
        <v>4</v>
      </c>
      <c r="E394">
        <v>76891213413</v>
      </c>
      <c r="F394">
        <f t="shared" ca="1" si="12"/>
        <v>48</v>
      </c>
      <c r="G394">
        <f ca="1">VLOOKUP(E394,PurchItem!$A$2:$H$508,8,0)</f>
        <v>5860.803601844581</v>
      </c>
      <c r="H394">
        <v>0.05</v>
      </c>
      <c r="I394" t="s">
        <v>244</v>
      </c>
      <c r="J394" s="5">
        <v>44715.594524409724</v>
      </c>
      <c r="K394" s="5">
        <v>44719.189048819448</v>
      </c>
      <c r="M394">
        <f t="shared" si="13"/>
        <v>10029727358</v>
      </c>
      <c r="N394">
        <f ca="1">IF(M394&lt;&gt;M393,INDEX(CustInfo!$A$2:$A$1001,RANDBETWEEN(1,1000)),N393)</f>
        <v>11633</v>
      </c>
      <c r="O394" t="s">
        <v>1003</v>
      </c>
      <c r="P394">
        <v>52936528</v>
      </c>
    </row>
    <row r="395" spans="1:16" x14ac:dyDescent="0.35">
      <c r="A395">
        <v>93827212129</v>
      </c>
      <c r="C395" s="2" t="s">
        <v>883</v>
      </c>
      <c r="D395">
        <v>1</v>
      </c>
      <c r="E395">
        <v>76891213443</v>
      </c>
      <c r="F395">
        <f t="shared" ca="1" si="12"/>
        <v>74</v>
      </c>
      <c r="G395">
        <f ca="1">VLOOKUP(E395,PurchItem!$A$2:$H$508,8,0)</f>
        <v>1705.6198545169896</v>
      </c>
      <c r="H395">
        <v>0.06</v>
      </c>
      <c r="I395" t="s">
        <v>244</v>
      </c>
      <c r="J395" s="5">
        <v>44983.594524409724</v>
      </c>
      <c r="K395" s="5">
        <v>44986.189048819448</v>
      </c>
      <c r="M395">
        <f t="shared" si="13"/>
        <v>10029727359</v>
      </c>
      <c r="N395">
        <f ca="1">IF(M395&lt;&gt;M394,INDEX(CustInfo!$A$2:$A$1001,RANDBETWEEN(1,1000)),N394)</f>
        <v>11857</v>
      </c>
      <c r="O395" t="s">
        <v>1001</v>
      </c>
      <c r="P395">
        <v>52936529</v>
      </c>
    </row>
    <row r="396" spans="1:16" x14ac:dyDescent="0.35">
      <c r="A396">
        <v>93827212129</v>
      </c>
      <c r="C396" s="2" t="s">
        <v>883</v>
      </c>
      <c r="D396">
        <v>2</v>
      </c>
      <c r="E396">
        <v>76891213632</v>
      </c>
      <c r="F396">
        <f t="shared" ca="1" si="12"/>
        <v>5</v>
      </c>
      <c r="G396">
        <f ca="1">VLOOKUP(E396,PurchItem!$A$2:$H$508,8,0)</f>
        <v>2684.3182600797395</v>
      </c>
      <c r="H396">
        <v>0.05</v>
      </c>
      <c r="I396" t="s">
        <v>244</v>
      </c>
      <c r="J396" s="5">
        <v>45193.594524409724</v>
      </c>
      <c r="K396" s="5">
        <v>45195.189048819448</v>
      </c>
      <c r="M396">
        <f t="shared" si="13"/>
        <v>10029727359</v>
      </c>
      <c r="N396">
        <f ca="1">IF(M396&lt;&gt;M395,INDEX(CustInfo!$A$2:$A$1001,RANDBETWEEN(1,1000)),N395)</f>
        <v>11857</v>
      </c>
      <c r="O396" t="s">
        <v>1001</v>
      </c>
      <c r="P396">
        <v>52936530</v>
      </c>
    </row>
    <row r="397" spans="1:16" x14ac:dyDescent="0.35">
      <c r="A397">
        <v>93827212129</v>
      </c>
      <c r="C397" s="2" t="s">
        <v>883</v>
      </c>
      <c r="D397">
        <v>3</v>
      </c>
      <c r="E397">
        <v>76891213357</v>
      </c>
      <c r="F397">
        <f t="shared" ca="1" si="12"/>
        <v>35</v>
      </c>
      <c r="G397">
        <f ca="1">VLOOKUP(E397,PurchItem!$A$2:$H$508,8,0)</f>
        <v>1960.0877314762088</v>
      </c>
      <c r="H397">
        <v>0.05</v>
      </c>
      <c r="I397" t="s">
        <v>244</v>
      </c>
      <c r="J397" s="5">
        <v>44916.594524409724</v>
      </c>
      <c r="K397" s="5">
        <v>44920.189048819448</v>
      </c>
      <c r="M397">
        <f t="shared" si="13"/>
        <v>10029727359</v>
      </c>
      <c r="N397">
        <f ca="1">IF(M397&lt;&gt;M396,INDEX(CustInfo!$A$2:$A$1001,RANDBETWEEN(1,1000)),N396)</f>
        <v>11857</v>
      </c>
      <c r="O397" t="s">
        <v>1001</v>
      </c>
      <c r="P397">
        <v>52936531</v>
      </c>
    </row>
    <row r="398" spans="1:16" x14ac:dyDescent="0.35">
      <c r="A398">
        <v>93827212130</v>
      </c>
      <c r="C398" s="2" t="s">
        <v>883</v>
      </c>
      <c r="D398">
        <v>1</v>
      </c>
      <c r="E398">
        <v>76891213545</v>
      </c>
      <c r="F398">
        <f t="shared" ca="1" si="12"/>
        <v>22</v>
      </c>
      <c r="G398">
        <f ca="1">VLOOKUP(E398,PurchItem!$A$2:$H$508,8,0)</f>
        <v>4354.6425016633602</v>
      </c>
      <c r="H398">
        <v>0.06</v>
      </c>
      <c r="I398" t="s">
        <v>244</v>
      </c>
      <c r="J398" s="5">
        <v>44860.594524409724</v>
      </c>
      <c r="K398" s="5">
        <v>44863.189048819448</v>
      </c>
      <c r="M398">
        <f t="shared" si="13"/>
        <v>10029727360</v>
      </c>
      <c r="N398">
        <f ca="1">IF(M398&lt;&gt;M397,INDEX(CustInfo!$A$2:$A$1001,RANDBETWEEN(1,1000)),N397)</f>
        <v>11870</v>
      </c>
      <c r="O398" t="s">
        <v>1003</v>
      </c>
      <c r="P398">
        <v>52936532</v>
      </c>
    </row>
    <row r="399" spans="1:16" x14ac:dyDescent="0.35">
      <c r="A399">
        <v>93827212130</v>
      </c>
      <c r="C399" s="2" t="s">
        <v>883</v>
      </c>
      <c r="D399">
        <v>2</v>
      </c>
      <c r="E399">
        <v>76891213237</v>
      </c>
      <c r="F399">
        <f t="shared" ca="1" si="12"/>
        <v>3</v>
      </c>
      <c r="G399">
        <f ca="1">VLOOKUP(E399,PurchItem!$A$2:$H$508,8,0)</f>
        <v>1912.5089900234684</v>
      </c>
      <c r="H399">
        <v>0.06</v>
      </c>
      <c r="I399" t="s">
        <v>244</v>
      </c>
      <c r="J399" s="5">
        <v>45302.594524409724</v>
      </c>
      <c r="K399" s="5">
        <v>45304.189048819448</v>
      </c>
      <c r="M399">
        <f t="shared" si="13"/>
        <v>10029727360</v>
      </c>
      <c r="N399">
        <f ca="1">IF(M399&lt;&gt;M398,INDEX(CustInfo!$A$2:$A$1001,RANDBETWEEN(1,1000)),N398)</f>
        <v>11870</v>
      </c>
      <c r="O399" t="s">
        <v>1003</v>
      </c>
      <c r="P399">
        <v>52936533</v>
      </c>
    </row>
    <row r="400" spans="1:16" x14ac:dyDescent="0.35">
      <c r="A400">
        <v>93827212130</v>
      </c>
      <c r="C400" s="2" t="s">
        <v>883</v>
      </c>
      <c r="D400">
        <v>3</v>
      </c>
      <c r="E400">
        <v>76891213310</v>
      </c>
      <c r="F400">
        <f t="shared" ca="1" si="12"/>
        <v>52</v>
      </c>
      <c r="G400">
        <f ca="1">VLOOKUP(E400,PurchItem!$A$2:$H$508,8,0)</f>
        <v>7148.7204018000157</v>
      </c>
      <c r="H400">
        <v>0.04</v>
      </c>
      <c r="I400" t="s">
        <v>244</v>
      </c>
      <c r="J400" s="5">
        <v>44900.594524409724</v>
      </c>
      <c r="K400" s="5">
        <v>44903.189048819448</v>
      </c>
      <c r="M400">
        <f t="shared" si="13"/>
        <v>10029727360</v>
      </c>
      <c r="N400">
        <f ca="1">IF(M400&lt;&gt;M399,INDEX(CustInfo!$A$2:$A$1001,RANDBETWEEN(1,1000)),N399)</f>
        <v>11870</v>
      </c>
      <c r="O400" t="s">
        <v>1003</v>
      </c>
      <c r="P400">
        <v>52936534</v>
      </c>
    </row>
    <row r="401" spans="1:16" x14ac:dyDescent="0.35">
      <c r="A401">
        <v>93827212130</v>
      </c>
      <c r="C401" s="2" t="s">
        <v>883</v>
      </c>
      <c r="D401">
        <v>4</v>
      </c>
      <c r="E401">
        <v>76891213481</v>
      </c>
      <c r="F401">
        <f t="shared" ca="1" si="12"/>
        <v>3</v>
      </c>
      <c r="G401">
        <f ca="1">VLOOKUP(E401,PurchItem!$A$2:$H$508,8,0)</f>
        <v>9672.6491193647089</v>
      </c>
      <c r="H401">
        <v>0.04</v>
      </c>
      <c r="I401" t="s">
        <v>244</v>
      </c>
      <c r="J401" s="5">
        <v>44643.594524409724</v>
      </c>
      <c r="K401" s="5">
        <v>44646.189048819448</v>
      </c>
      <c r="M401">
        <f t="shared" si="13"/>
        <v>10029727360</v>
      </c>
      <c r="N401">
        <f ca="1">IF(M401&lt;&gt;M400,INDEX(CustInfo!$A$2:$A$1001,RANDBETWEEN(1,1000)),N400)</f>
        <v>11870</v>
      </c>
      <c r="O401" t="s">
        <v>1003</v>
      </c>
      <c r="P401">
        <v>52936535</v>
      </c>
    </row>
    <row r="402" spans="1:16" x14ac:dyDescent="0.35">
      <c r="A402">
        <v>93827212131</v>
      </c>
      <c r="C402" s="2" t="s">
        <v>883</v>
      </c>
      <c r="D402">
        <v>1</v>
      </c>
      <c r="E402">
        <v>76891213259</v>
      </c>
      <c r="F402">
        <f t="shared" ca="1" si="12"/>
        <v>63</v>
      </c>
      <c r="G402">
        <f ca="1">VLOOKUP(E402,PurchItem!$A$2:$H$508,8,0)</f>
        <v>2690.2809923861096</v>
      </c>
      <c r="H402">
        <v>0.05</v>
      </c>
      <c r="I402" t="s">
        <v>244</v>
      </c>
      <c r="J402" s="5">
        <v>45037.594524409724</v>
      </c>
      <c r="K402" s="5">
        <v>45041.189048819448</v>
      </c>
      <c r="M402">
        <f t="shared" si="13"/>
        <v>10029727361</v>
      </c>
      <c r="N402">
        <f ca="1">IF(M402&lt;&gt;M401,INDEX(CustInfo!$A$2:$A$1001,RANDBETWEEN(1,1000)),N401)</f>
        <v>11319</v>
      </c>
      <c r="O402" t="s">
        <v>1002</v>
      </c>
      <c r="P402">
        <v>52936536</v>
      </c>
    </row>
    <row r="403" spans="1:16" x14ac:dyDescent="0.35">
      <c r="A403">
        <v>93827212131</v>
      </c>
      <c r="C403" s="2" t="s">
        <v>883</v>
      </c>
      <c r="D403">
        <v>2</v>
      </c>
      <c r="E403">
        <v>76891213249</v>
      </c>
      <c r="F403">
        <f t="shared" ca="1" si="12"/>
        <v>7</v>
      </c>
      <c r="G403">
        <f ca="1">VLOOKUP(E403,PurchItem!$A$2:$H$508,8,0)</f>
        <v>8086.2832587876792</v>
      </c>
      <c r="H403">
        <v>0.06</v>
      </c>
      <c r="I403" t="s">
        <v>244</v>
      </c>
      <c r="J403" s="5">
        <v>44675.594524409724</v>
      </c>
      <c r="K403" s="5">
        <v>44678.189048819448</v>
      </c>
      <c r="M403">
        <f t="shared" si="13"/>
        <v>10029727361</v>
      </c>
      <c r="N403">
        <f ca="1">IF(M403&lt;&gt;M402,INDEX(CustInfo!$A$2:$A$1001,RANDBETWEEN(1,1000)),N402)</f>
        <v>11319</v>
      </c>
      <c r="O403" t="s">
        <v>1002</v>
      </c>
      <c r="P403">
        <v>52936537</v>
      </c>
    </row>
    <row r="404" spans="1:16" x14ac:dyDescent="0.35">
      <c r="A404">
        <v>93827212131</v>
      </c>
      <c r="C404" s="2" t="s">
        <v>883</v>
      </c>
      <c r="D404">
        <v>3</v>
      </c>
      <c r="E404">
        <v>76891213476</v>
      </c>
      <c r="F404">
        <f t="shared" ca="1" si="12"/>
        <v>57</v>
      </c>
      <c r="G404">
        <f ca="1">VLOOKUP(E404,PurchItem!$A$2:$H$508,8,0)</f>
        <v>9770.3876233997762</v>
      </c>
      <c r="H404">
        <v>0.06</v>
      </c>
      <c r="I404" t="s">
        <v>244</v>
      </c>
      <c r="J404" s="5">
        <v>45258.594524409724</v>
      </c>
      <c r="K404" s="5">
        <v>45260.189048819448</v>
      </c>
      <c r="M404">
        <f t="shared" si="13"/>
        <v>10029727361</v>
      </c>
      <c r="N404">
        <f ca="1">IF(M404&lt;&gt;M403,INDEX(CustInfo!$A$2:$A$1001,RANDBETWEEN(1,1000)),N403)</f>
        <v>11319</v>
      </c>
      <c r="O404" t="s">
        <v>1002</v>
      </c>
      <c r="P404">
        <v>52936538</v>
      </c>
    </row>
    <row r="405" spans="1:16" x14ac:dyDescent="0.35">
      <c r="A405">
        <v>93827212131</v>
      </c>
      <c r="C405" s="2" t="s">
        <v>883</v>
      </c>
      <c r="D405">
        <v>4</v>
      </c>
      <c r="E405">
        <v>76891213626</v>
      </c>
      <c r="F405">
        <f t="shared" ca="1" si="12"/>
        <v>73</v>
      </c>
      <c r="G405">
        <f ca="1">VLOOKUP(E405,PurchItem!$A$2:$H$508,8,0)</f>
        <v>5785.3222518353095</v>
      </c>
      <c r="H405">
        <v>0.04</v>
      </c>
      <c r="I405" t="s">
        <v>244</v>
      </c>
      <c r="J405" s="5">
        <v>44574.594524409724</v>
      </c>
      <c r="K405" s="5">
        <v>44578.189048819448</v>
      </c>
      <c r="M405">
        <f t="shared" si="13"/>
        <v>10029727361</v>
      </c>
      <c r="N405">
        <f ca="1">IF(M405&lt;&gt;M404,INDEX(CustInfo!$A$2:$A$1001,RANDBETWEEN(1,1000)),N404)</f>
        <v>11319</v>
      </c>
      <c r="O405" t="s">
        <v>1002</v>
      </c>
      <c r="P405">
        <v>52936539</v>
      </c>
    </row>
    <row r="406" spans="1:16" x14ac:dyDescent="0.35">
      <c r="A406">
        <v>93827212132</v>
      </c>
      <c r="C406" s="2" t="s">
        <v>883</v>
      </c>
      <c r="D406">
        <v>1</v>
      </c>
      <c r="E406">
        <v>76891213227</v>
      </c>
      <c r="F406">
        <f t="shared" ca="1" si="12"/>
        <v>95</v>
      </c>
      <c r="G406">
        <f ca="1">VLOOKUP(E406,PurchItem!$A$2:$H$508,8,0)</f>
        <v>2491.1474363656821</v>
      </c>
      <c r="H406">
        <v>0.05</v>
      </c>
      <c r="I406" t="s">
        <v>244</v>
      </c>
      <c r="J406" s="5">
        <v>44983.594524409724</v>
      </c>
      <c r="K406" s="5">
        <v>44987.189048819448</v>
      </c>
      <c r="M406">
        <f t="shared" si="13"/>
        <v>10029727362</v>
      </c>
      <c r="N406">
        <f ca="1">IF(M406&lt;&gt;M405,INDEX(CustInfo!$A$2:$A$1001,RANDBETWEEN(1,1000)),N405)</f>
        <v>11052</v>
      </c>
      <c r="O406" t="s">
        <v>1001</v>
      </c>
      <c r="P406">
        <v>52936540</v>
      </c>
    </row>
    <row r="407" spans="1:16" x14ac:dyDescent="0.35">
      <c r="A407">
        <v>93827212132</v>
      </c>
      <c r="C407" s="2" t="s">
        <v>883</v>
      </c>
      <c r="D407">
        <v>2</v>
      </c>
      <c r="E407">
        <v>76891213416</v>
      </c>
      <c r="F407">
        <f t="shared" ca="1" si="12"/>
        <v>2</v>
      </c>
      <c r="G407">
        <f ca="1">VLOOKUP(E407,PurchItem!$A$2:$H$508,8,0)</f>
        <v>254.34781389929725</v>
      </c>
      <c r="H407">
        <v>0.05</v>
      </c>
      <c r="I407" t="s">
        <v>244</v>
      </c>
      <c r="J407" s="5">
        <v>45473.594524409724</v>
      </c>
      <c r="K407" s="5">
        <v>45477.189048819448</v>
      </c>
      <c r="M407">
        <f t="shared" si="13"/>
        <v>10029727362</v>
      </c>
      <c r="N407">
        <f ca="1">IF(M407&lt;&gt;M406,INDEX(CustInfo!$A$2:$A$1001,RANDBETWEEN(1,1000)),N406)</f>
        <v>11052</v>
      </c>
      <c r="O407" t="s">
        <v>1001</v>
      </c>
      <c r="P407">
        <v>52936541</v>
      </c>
    </row>
    <row r="408" spans="1:16" x14ac:dyDescent="0.35">
      <c r="A408">
        <v>93827212132</v>
      </c>
      <c r="C408" s="2" t="s">
        <v>883</v>
      </c>
      <c r="D408">
        <v>3</v>
      </c>
      <c r="E408">
        <v>76891213175</v>
      </c>
      <c r="F408">
        <f t="shared" ca="1" si="12"/>
        <v>98</v>
      </c>
      <c r="G408">
        <f ca="1">VLOOKUP(E408,PurchItem!$A$2:$H$508,8,0)</f>
        <v>8239.6279667406998</v>
      </c>
      <c r="H408">
        <v>0.06</v>
      </c>
      <c r="I408" t="s">
        <v>244</v>
      </c>
      <c r="J408" s="5">
        <v>44581.594524409724</v>
      </c>
      <c r="K408" s="5">
        <v>44583.189048819448</v>
      </c>
      <c r="M408">
        <f t="shared" si="13"/>
        <v>10029727362</v>
      </c>
      <c r="N408">
        <f ca="1">IF(M408&lt;&gt;M407,INDEX(CustInfo!$A$2:$A$1001,RANDBETWEEN(1,1000)),N407)</f>
        <v>11052</v>
      </c>
      <c r="O408" t="s">
        <v>1001</v>
      </c>
      <c r="P408">
        <v>52936542</v>
      </c>
    </row>
    <row r="409" spans="1:16" x14ac:dyDescent="0.35">
      <c r="A409">
        <v>93827212132</v>
      </c>
      <c r="C409" s="2" t="s">
        <v>883</v>
      </c>
      <c r="D409">
        <v>4</v>
      </c>
      <c r="E409">
        <v>76891213226</v>
      </c>
      <c r="F409">
        <f t="shared" ca="1" si="12"/>
        <v>99</v>
      </c>
      <c r="G409">
        <f ca="1">VLOOKUP(E409,PurchItem!$A$2:$H$508,8,0)</f>
        <v>7035.6498118842592</v>
      </c>
      <c r="H409">
        <v>0.06</v>
      </c>
      <c r="I409" t="s">
        <v>244</v>
      </c>
      <c r="J409" s="5">
        <v>45270.594524409724</v>
      </c>
      <c r="K409" s="5">
        <v>45273.189048819448</v>
      </c>
      <c r="M409">
        <f t="shared" si="13"/>
        <v>10029727362</v>
      </c>
      <c r="N409">
        <f ca="1">IF(M409&lt;&gt;M408,INDEX(CustInfo!$A$2:$A$1001,RANDBETWEEN(1,1000)),N408)</f>
        <v>11052</v>
      </c>
      <c r="O409" t="s">
        <v>1001</v>
      </c>
      <c r="P409">
        <v>52936543</v>
      </c>
    </row>
    <row r="410" spans="1:16" x14ac:dyDescent="0.35">
      <c r="A410">
        <v>93827212133</v>
      </c>
      <c r="C410" s="2" t="s">
        <v>883</v>
      </c>
      <c r="D410">
        <v>1</v>
      </c>
      <c r="E410">
        <v>76891213350</v>
      </c>
      <c r="F410">
        <f t="shared" ca="1" si="12"/>
        <v>13</v>
      </c>
      <c r="G410">
        <f ca="1">VLOOKUP(E410,PurchItem!$A$2:$H$508,8,0)</f>
        <v>7411.6308642938066</v>
      </c>
      <c r="H410">
        <v>0.04</v>
      </c>
      <c r="I410" t="s">
        <v>244</v>
      </c>
      <c r="J410" s="5">
        <v>45021.594524409724</v>
      </c>
      <c r="K410" s="5">
        <v>45024.189048819448</v>
      </c>
      <c r="M410">
        <f t="shared" si="13"/>
        <v>10029727363</v>
      </c>
      <c r="N410">
        <f ca="1">IF(M410&lt;&gt;M409,INDEX(CustInfo!$A$2:$A$1001,RANDBETWEEN(1,1000)),N409)</f>
        <v>11178</v>
      </c>
      <c r="O410" t="s">
        <v>1002</v>
      </c>
      <c r="P410">
        <v>52936544</v>
      </c>
    </row>
    <row r="411" spans="1:16" x14ac:dyDescent="0.35">
      <c r="A411">
        <v>93827212134</v>
      </c>
      <c r="C411" s="2" t="s">
        <v>883</v>
      </c>
      <c r="D411">
        <v>1</v>
      </c>
      <c r="E411">
        <v>76891213179</v>
      </c>
      <c r="F411">
        <f t="shared" ca="1" si="12"/>
        <v>47</v>
      </c>
      <c r="G411">
        <f ca="1">VLOOKUP(E411,PurchItem!$A$2:$H$508,8,0)</f>
        <v>6832.2348521988297</v>
      </c>
      <c r="H411">
        <v>0.06</v>
      </c>
      <c r="I411" t="s">
        <v>244</v>
      </c>
      <c r="J411" s="5">
        <v>45272.594524409724</v>
      </c>
      <c r="K411" s="5">
        <v>45276.189048819448</v>
      </c>
      <c r="M411">
        <f t="shared" si="13"/>
        <v>10029727364</v>
      </c>
      <c r="N411">
        <f ca="1">IF(M411&lt;&gt;M410,INDEX(CustInfo!$A$2:$A$1001,RANDBETWEEN(1,1000)),N410)</f>
        <v>11718</v>
      </c>
      <c r="O411" t="s">
        <v>1003</v>
      </c>
      <c r="P411">
        <v>52936545</v>
      </c>
    </row>
    <row r="412" spans="1:16" x14ac:dyDescent="0.35">
      <c r="A412">
        <v>93827212134</v>
      </c>
      <c r="C412" s="2" t="s">
        <v>883</v>
      </c>
      <c r="D412">
        <v>2</v>
      </c>
      <c r="E412">
        <v>76891213588</v>
      </c>
      <c r="F412">
        <f t="shared" ca="1" si="12"/>
        <v>9</v>
      </c>
      <c r="G412">
        <f ca="1">VLOOKUP(E412,PurchItem!$A$2:$H$508,8,0)</f>
        <v>8034.7750134766238</v>
      </c>
      <c r="H412">
        <v>0.05</v>
      </c>
      <c r="I412" t="s">
        <v>244</v>
      </c>
      <c r="J412" s="5">
        <v>45588.594524409724</v>
      </c>
      <c r="K412" s="5">
        <v>45589.189048819448</v>
      </c>
      <c r="M412">
        <f t="shared" si="13"/>
        <v>10029727364</v>
      </c>
      <c r="N412">
        <f ca="1">IF(M412&lt;&gt;M411,INDEX(CustInfo!$A$2:$A$1001,RANDBETWEEN(1,1000)),N411)</f>
        <v>11718</v>
      </c>
      <c r="O412" t="s">
        <v>1003</v>
      </c>
      <c r="P412">
        <v>52936546</v>
      </c>
    </row>
    <row r="413" spans="1:16" x14ac:dyDescent="0.35">
      <c r="A413">
        <v>93827212135</v>
      </c>
      <c r="C413" s="2" t="s">
        <v>883</v>
      </c>
      <c r="D413">
        <v>1</v>
      </c>
      <c r="E413">
        <v>76891213196</v>
      </c>
      <c r="F413">
        <f t="shared" ca="1" si="12"/>
        <v>93</v>
      </c>
      <c r="G413">
        <f ca="1">VLOOKUP(E413,PurchItem!$A$2:$H$508,8,0)</f>
        <v>7032.7904576117289</v>
      </c>
      <c r="H413">
        <v>0.05</v>
      </c>
      <c r="I413" t="s">
        <v>244</v>
      </c>
      <c r="J413" s="5">
        <v>45390.594524409724</v>
      </c>
      <c r="K413" s="5">
        <v>45392.189048819448</v>
      </c>
      <c r="M413">
        <f t="shared" si="13"/>
        <v>10029727365</v>
      </c>
      <c r="N413">
        <f ca="1">IF(M413&lt;&gt;M412,INDEX(CustInfo!$A$2:$A$1001,RANDBETWEEN(1,1000)),N412)</f>
        <v>11131</v>
      </c>
      <c r="O413" t="s">
        <v>1003</v>
      </c>
      <c r="P413">
        <v>52936547</v>
      </c>
    </row>
    <row r="414" spans="1:16" x14ac:dyDescent="0.35">
      <c r="A414">
        <v>93827212135</v>
      </c>
      <c r="C414" s="2" t="s">
        <v>883</v>
      </c>
      <c r="D414">
        <v>2</v>
      </c>
      <c r="E414">
        <v>76891213227</v>
      </c>
      <c r="F414">
        <f t="shared" ca="1" si="12"/>
        <v>13</v>
      </c>
      <c r="G414">
        <f ca="1">VLOOKUP(E414,PurchItem!$A$2:$H$508,8,0)</f>
        <v>2491.1474363656821</v>
      </c>
      <c r="H414">
        <v>0.04</v>
      </c>
      <c r="I414" t="s">
        <v>244</v>
      </c>
      <c r="J414" s="5">
        <v>44750.594524409724</v>
      </c>
      <c r="K414" s="5">
        <v>44751.189048819448</v>
      </c>
      <c r="M414">
        <f t="shared" si="13"/>
        <v>10029727365</v>
      </c>
      <c r="N414">
        <f ca="1">IF(M414&lt;&gt;M413,INDEX(CustInfo!$A$2:$A$1001,RANDBETWEEN(1,1000)),N413)</f>
        <v>11131</v>
      </c>
      <c r="O414" t="s">
        <v>1003</v>
      </c>
      <c r="P414">
        <v>52936548</v>
      </c>
    </row>
    <row r="415" spans="1:16" x14ac:dyDescent="0.35">
      <c r="A415">
        <v>93827212135</v>
      </c>
      <c r="C415" s="2" t="s">
        <v>883</v>
      </c>
      <c r="D415">
        <v>3</v>
      </c>
      <c r="E415">
        <v>76891213623</v>
      </c>
      <c r="F415">
        <f t="shared" ca="1" si="12"/>
        <v>17</v>
      </c>
      <c r="G415">
        <f ca="1">VLOOKUP(E415,PurchItem!$A$2:$H$508,8,0)</f>
        <v>4363.5889927044145</v>
      </c>
      <c r="H415">
        <v>0.05</v>
      </c>
      <c r="I415" t="s">
        <v>244</v>
      </c>
      <c r="J415" s="5">
        <v>44693.594524409724</v>
      </c>
      <c r="K415" s="5">
        <v>44694.189048819448</v>
      </c>
      <c r="M415">
        <f t="shared" si="13"/>
        <v>10029727365</v>
      </c>
      <c r="N415">
        <f ca="1">IF(M415&lt;&gt;M414,INDEX(CustInfo!$A$2:$A$1001,RANDBETWEEN(1,1000)),N414)</f>
        <v>11131</v>
      </c>
      <c r="O415" t="s">
        <v>1003</v>
      </c>
      <c r="P415">
        <v>52936549</v>
      </c>
    </row>
    <row r="416" spans="1:16" x14ac:dyDescent="0.35">
      <c r="A416">
        <v>93827212135</v>
      </c>
      <c r="C416" s="2" t="s">
        <v>883</v>
      </c>
      <c r="D416">
        <v>4</v>
      </c>
      <c r="E416">
        <v>76891213254</v>
      </c>
      <c r="F416">
        <f t="shared" ca="1" si="12"/>
        <v>35</v>
      </c>
      <c r="G416">
        <f ca="1">VLOOKUP(E416,PurchItem!$A$2:$H$508,8,0)</f>
        <v>8238.8569065705833</v>
      </c>
      <c r="H416">
        <v>0.06</v>
      </c>
      <c r="I416" t="s">
        <v>244</v>
      </c>
      <c r="J416" s="5">
        <v>44659.594524409724</v>
      </c>
      <c r="K416" s="5">
        <v>44663.189048819448</v>
      </c>
      <c r="M416">
        <f t="shared" si="13"/>
        <v>10029727365</v>
      </c>
      <c r="N416">
        <f ca="1">IF(M416&lt;&gt;M415,INDEX(CustInfo!$A$2:$A$1001,RANDBETWEEN(1,1000)),N415)</f>
        <v>11131</v>
      </c>
      <c r="O416" t="s">
        <v>1003</v>
      </c>
      <c r="P416">
        <v>52936550</v>
      </c>
    </row>
    <row r="417" spans="1:16" x14ac:dyDescent="0.35">
      <c r="A417">
        <v>93827212136</v>
      </c>
      <c r="C417" s="2" t="s">
        <v>883</v>
      </c>
      <c r="D417">
        <v>1</v>
      </c>
      <c r="E417">
        <v>76891213142</v>
      </c>
      <c r="F417">
        <f t="shared" ca="1" si="12"/>
        <v>17</v>
      </c>
      <c r="G417">
        <f ca="1">VLOOKUP(E417,PurchItem!$A$2:$H$508,8,0)</f>
        <v>5034.8662105835983</v>
      </c>
      <c r="H417">
        <v>0.05</v>
      </c>
      <c r="I417" t="s">
        <v>244</v>
      </c>
      <c r="J417" s="5">
        <v>44668.594524409724</v>
      </c>
      <c r="K417" s="5">
        <v>44670.189048819448</v>
      </c>
      <c r="M417">
        <f t="shared" si="13"/>
        <v>10029727366</v>
      </c>
      <c r="N417">
        <f ca="1">IF(M417&lt;&gt;M416,INDEX(CustInfo!$A$2:$A$1001,RANDBETWEEN(1,1000)),N416)</f>
        <v>11737</v>
      </c>
      <c r="O417" t="s">
        <v>1003</v>
      </c>
      <c r="P417">
        <v>52936551</v>
      </c>
    </row>
    <row r="418" spans="1:16" x14ac:dyDescent="0.35">
      <c r="A418">
        <v>93827212136</v>
      </c>
      <c r="C418" s="2" t="s">
        <v>883</v>
      </c>
      <c r="D418">
        <v>2</v>
      </c>
      <c r="E418">
        <v>76891213176</v>
      </c>
      <c r="F418">
        <f t="shared" ca="1" si="12"/>
        <v>60</v>
      </c>
      <c r="G418">
        <f ca="1">VLOOKUP(E418,PurchItem!$A$2:$H$508,8,0)</f>
        <v>7307.4100843756351</v>
      </c>
      <c r="H418">
        <v>0.05</v>
      </c>
      <c r="I418" t="s">
        <v>244</v>
      </c>
      <c r="J418" s="5">
        <v>44841.594524409724</v>
      </c>
      <c r="K418" s="5">
        <v>44844.189048819448</v>
      </c>
      <c r="M418">
        <f t="shared" si="13"/>
        <v>10029727366</v>
      </c>
      <c r="N418">
        <f ca="1">IF(M418&lt;&gt;M417,INDEX(CustInfo!$A$2:$A$1001,RANDBETWEEN(1,1000)),N417)</f>
        <v>11737</v>
      </c>
      <c r="O418" t="s">
        <v>1003</v>
      </c>
      <c r="P418">
        <v>52936552</v>
      </c>
    </row>
    <row r="419" spans="1:16" x14ac:dyDescent="0.35">
      <c r="A419">
        <v>93827212136</v>
      </c>
      <c r="C419" s="2" t="s">
        <v>883</v>
      </c>
      <c r="D419">
        <v>3</v>
      </c>
      <c r="E419">
        <v>76891213386</v>
      </c>
      <c r="F419">
        <f t="shared" ca="1" si="12"/>
        <v>43</v>
      </c>
      <c r="G419">
        <f ca="1">VLOOKUP(E419,PurchItem!$A$2:$H$508,8,0)</f>
        <v>8452.4982732375174</v>
      </c>
      <c r="H419">
        <v>0.06</v>
      </c>
      <c r="I419" t="s">
        <v>244</v>
      </c>
      <c r="J419" s="5">
        <v>45301.594524409724</v>
      </c>
      <c r="K419" s="5">
        <v>45302.189048819448</v>
      </c>
      <c r="M419">
        <f t="shared" si="13"/>
        <v>10029727366</v>
      </c>
      <c r="N419">
        <f ca="1">IF(M419&lt;&gt;M418,INDEX(CustInfo!$A$2:$A$1001,RANDBETWEEN(1,1000)),N418)</f>
        <v>11737</v>
      </c>
      <c r="O419" t="s">
        <v>1003</v>
      </c>
      <c r="P419">
        <v>52936553</v>
      </c>
    </row>
    <row r="420" spans="1:16" x14ac:dyDescent="0.35">
      <c r="A420">
        <v>93827212137</v>
      </c>
      <c r="C420" s="2" t="s">
        <v>883</v>
      </c>
      <c r="D420">
        <v>1</v>
      </c>
      <c r="E420">
        <v>76891213312</v>
      </c>
      <c r="F420">
        <f t="shared" ca="1" si="12"/>
        <v>71</v>
      </c>
      <c r="G420">
        <f ca="1">VLOOKUP(E420,PurchItem!$A$2:$H$508,8,0)</f>
        <v>4852.9147599245198</v>
      </c>
      <c r="H420">
        <v>0.04</v>
      </c>
      <c r="I420" t="s">
        <v>244</v>
      </c>
      <c r="J420" s="5">
        <v>45255.594524409724</v>
      </c>
      <c r="K420" s="5">
        <v>45258.189048819448</v>
      </c>
      <c r="M420">
        <f t="shared" si="13"/>
        <v>10029727367</v>
      </c>
      <c r="N420">
        <f ca="1">IF(M420&lt;&gt;M419,INDEX(CustInfo!$A$2:$A$1001,RANDBETWEEN(1,1000)),N419)</f>
        <v>11637</v>
      </c>
      <c r="O420" t="s">
        <v>1003</v>
      </c>
      <c r="P420">
        <v>52936554</v>
      </c>
    </row>
    <row r="421" spans="1:16" x14ac:dyDescent="0.35">
      <c r="A421">
        <v>93827212137</v>
      </c>
      <c r="C421" s="2" t="s">
        <v>883</v>
      </c>
      <c r="D421">
        <v>2</v>
      </c>
      <c r="E421">
        <v>76891213409</v>
      </c>
      <c r="F421">
        <f t="shared" ca="1" si="12"/>
        <v>48</v>
      </c>
      <c r="G421">
        <f ca="1">VLOOKUP(E421,PurchItem!$A$2:$H$508,8,0)</f>
        <v>2712.1982659831201</v>
      </c>
      <c r="H421">
        <v>0.04</v>
      </c>
      <c r="I421" t="s">
        <v>244</v>
      </c>
      <c r="J421" s="5">
        <v>44785.594524409724</v>
      </c>
      <c r="K421" s="5">
        <v>44789.189048819448</v>
      </c>
      <c r="M421">
        <f t="shared" si="13"/>
        <v>10029727367</v>
      </c>
      <c r="N421">
        <f ca="1">IF(M421&lt;&gt;M420,INDEX(CustInfo!$A$2:$A$1001,RANDBETWEEN(1,1000)),N420)</f>
        <v>11637</v>
      </c>
      <c r="O421" t="s">
        <v>1003</v>
      </c>
      <c r="P421">
        <v>52936555</v>
      </c>
    </row>
    <row r="422" spans="1:16" x14ac:dyDescent="0.35">
      <c r="A422">
        <v>93827212137</v>
      </c>
      <c r="C422" s="2" t="s">
        <v>883</v>
      </c>
      <c r="D422">
        <v>3</v>
      </c>
      <c r="E422">
        <v>76891213454</v>
      </c>
      <c r="F422">
        <f t="shared" ca="1" si="12"/>
        <v>29</v>
      </c>
      <c r="G422">
        <f ca="1">VLOOKUP(E422,PurchItem!$A$2:$H$508,8,0)</f>
        <v>9734.0214996119394</v>
      </c>
      <c r="H422">
        <v>0.04</v>
      </c>
      <c r="I422" t="s">
        <v>244</v>
      </c>
      <c r="J422" s="5">
        <v>44653.594524409724</v>
      </c>
      <c r="K422" s="5">
        <v>44654.189048819448</v>
      </c>
      <c r="M422">
        <f t="shared" si="13"/>
        <v>10029727367</v>
      </c>
      <c r="N422">
        <f ca="1">IF(M422&lt;&gt;M421,INDEX(CustInfo!$A$2:$A$1001,RANDBETWEEN(1,1000)),N421)</f>
        <v>11637</v>
      </c>
      <c r="O422" t="s">
        <v>1003</v>
      </c>
      <c r="P422">
        <v>52936556</v>
      </c>
    </row>
    <row r="423" spans="1:16" x14ac:dyDescent="0.35">
      <c r="A423">
        <v>93827212138</v>
      </c>
      <c r="C423" s="2" t="s">
        <v>883</v>
      </c>
      <c r="D423">
        <v>1</v>
      </c>
      <c r="E423">
        <v>76891213401</v>
      </c>
      <c r="F423">
        <f t="shared" ca="1" si="12"/>
        <v>95</v>
      </c>
      <c r="G423">
        <f ca="1">VLOOKUP(E423,PurchItem!$A$2:$H$508,8,0)</f>
        <v>5832.6749805311892</v>
      </c>
      <c r="H423">
        <v>0.05</v>
      </c>
      <c r="I423" t="s">
        <v>244</v>
      </c>
      <c r="J423" s="5">
        <v>45370.594524409724</v>
      </c>
      <c r="K423" s="5">
        <v>45374.189048819448</v>
      </c>
      <c r="M423">
        <f t="shared" si="13"/>
        <v>10029727368</v>
      </c>
      <c r="N423">
        <f ca="1">IF(M423&lt;&gt;M422,INDEX(CustInfo!$A$2:$A$1001,RANDBETWEEN(1,1000)),N422)</f>
        <v>11260</v>
      </c>
      <c r="O423" t="s">
        <v>1001</v>
      </c>
      <c r="P423">
        <v>52936557</v>
      </c>
    </row>
    <row r="424" spans="1:16" x14ac:dyDescent="0.35">
      <c r="A424">
        <v>93827212138</v>
      </c>
      <c r="C424" s="2" t="s">
        <v>883</v>
      </c>
      <c r="D424">
        <v>2</v>
      </c>
      <c r="E424">
        <v>76891213466</v>
      </c>
      <c r="F424">
        <f t="shared" ca="1" si="12"/>
        <v>83</v>
      </c>
      <c r="G424">
        <f ca="1">VLOOKUP(E424,PurchItem!$A$2:$H$508,8,0)</f>
        <v>3614.4469198014795</v>
      </c>
      <c r="H424">
        <v>0.06</v>
      </c>
      <c r="I424" t="s">
        <v>244</v>
      </c>
      <c r="J424" s="5">
        <v>45340.594524409724</v>
      </c>
      <c r="K424" s="5">
        <v>45344.189048819448</v>
      </c>
      <c r="M424">
        <f t="shared" si="13"/>
        <v>10029727368</v>
      </c>
      <c r="N424">
        <f ca="1">IF(M424&lt;&gt;M423,INDEX(CustInfo!$A$2:$A$1001,RANDBETWEEN(1,1000)),N423)</f>
        <v>11260</v>
      </c>
      <c r="O424" t="s">
        <v>1001</v>
      </c>
      <c r="P424">
        <v>52936558</v>
      </c>
    </row>
    <row r="425" spans="1:16" x14ac:dyDescent="0.35">
      <c r="A425">
        <v>93827212138</v>
      </c>
      <c r="C425" s="2" t="s">
        <v>883</v>
      </c>
      <c r="D425">
        <v>3</v>
      </c>
      <c r="E425">
        <v>76891213456</v>
      </c>
      <c r="F425">
        <f t="shared" ca="1" si="12"/>
        <v>72</v>
      </c>
      <c r="G425">
        <f ca="1">VLOOKUP(E425,PurchItem!$A$2:$H$508,8,0)</f>
        <v>1609.4745237976038</v>
      </c>
      <c r="H425">
        <v>0.04</v>
      </c>
      <c r="I425" t="s">
        <v>244</v>
      </c>
      <c r="J425" s="5">
        <v>45280.594524409724</v>
      </c>
      <c r="K425" s="5">
        <v>45284.189048819448</v>
      </c>
      <c r="M425">
        <f t="shared" si="13"/>
        <v>10029727368</v>
      </c>
      <c r="N425">
        <f ca="1">IF(M425&lt;&gt;M424,INDEX(CustInfo!$A$2:$A$1001,RANDBETWEEN(1,1000)),N424)</f>
        <v>11260</v>
      </c>
      <c r="O425" t="s">
        <v>1001</v>
      </c>
      <c r="P425">
        <v>52936559</v>
      </c>
    </row>
    <row r="426" spans="1:16" x14ac:dyDescent="0.35">
      <c r="A426">
        <v>93827212139</v>
      </c>
      <c r="C426" s="2" t="s">
        <v>883</v>
      </c>
      <c r="D426">
        <v>1</v>
      </c>
      <c r="E426">
        <v>76891213498</v>
      </c>
      <c r="F426">
        <f t="shared" ca="1" si="12"/>
        <v>17</v>
      </c>
      <c r="G426">
        <f ca="1">VLOOKUP(E426,PurchItem!$A$2:$H$508,8,0)</f>
        <v>4995.713213871999</v>
      </c>
      <c r="H426">
        <v>0.04</v>
      </c>
      <c r="I426" t="s">
        <v>244</v>
      </c>
      <c r="J426" s="5">
        <v>44817.594524409724</v>
      </c>
      <c r="K426" s="5">
        <v>44820.189048819448</v>
      </c>
      <c r="M426">
        <f t="shared" si="13"/>
        <v>10029727369</v>
      </c>
      <c r="N426">
        <f ca="1">IF(M426&lt;&gt;M425,INDEX(CustInfo!$A$2:$A$1001,RANDBETWEEN(1,1000)),N425)</f>
        <v>11294</v>
      </c>
      <c r="O426" t="s">
        <v>1002</v>
      </c>
      <c r="P426">
        <v>52936560</v>
      </c>
    </row>
    <row r="427" spans="1:16" x14ac:dyDescent="0.35">
      <c r="A427">
        <v>93827212139</v>
      </c>
      <c r="C427" s="2" t="s">
        <v>883</v>
      </c>
      <c r="D427">
        <v>2</v>
      </c>
      <c r="E427">
        <v>76891213182</v>
      </c>
      <c r="F427">
        <f t="shared" ca="1" si="12"/>
        <v>85</v>
      </c>
      <c r="G427">
        <f ca="1">VLOOKUP(E427,PurchItem!$A$2:$H$508,8,0)</f>
        <v>6993.4676440309404</v>
      </c>
      <c r="H427">
        <v>0.06</v>
      </c>
      <c r="I427" t="s">
        <v>244</v>
      </c>
      <c r="J427" s="5">
        <v>45231.594524409724</v>
      </c>
      <c r="K427" s="5">
        <v>45235.189048819448</v>
      </c>
      <c r="M427">
        <f t="shared" si="13"/>
        <v>10029727369</v>
      </c>
      <c r="N427">
        <f ca="1">IF(M427&lt;&gt;M426,INDEX(CustInfo!$A$2:$A$1001,RANDBETWEEN(1,1000)),N426)</f>
        <v>11294</v>
      </c>
      <c r="O427" t="s">
        <v>1002</v>
      </c>
      <c r="P427">
        <v>52936561</v>
      </c>
    </row>
    <row r="428" spans="1:16" x14ac:dyDescent="0.35">
      <c r="A428">
        <v>93827212139</v>
      </c>
      <c r="C428" s="2" t="s">
        <v>883</v>
      </c>
      <c r="D428">
        <v>3</v>
      </c>
      <c r="E428">
        <v>76891213502</v>
      </c>
      <c r="F428">
        <f t="shared" ca="1" si="12"/>
        <v>3</v>
      </c>
      <c r="G428">
        <f ca="1">VLOOKUP(E428,PurchItem!$A$2:$H$508,8,0)</f>
        <v>7081.1969266698825</v>
      </c>
      <c r="H428">
        <v>0.06</v>
      </c>
      <c r="I428" t="s">
        <v>244</v>
      </c>
      <c r="J428" s="5">
        <v>44587.594524409724</v>
      </c>
      <c r="K428" s="5">
        <v>44588.189048819448</v>
      </c>
      <c r="M428">
        <f t="shared" si="13"/>
        <v>10029727369</v>
      </c>
      <c r="N428">
        <f ca="1">IF(M428&lt;&gt;M427,INDEX(CustInfo!$A$2:$A$1001,RANDBETWEEN(1,1000)),N427)</f>
        <v>11294</v>
      </c>
      <c r="O428" t="s">
        <v>1002</v>
      </c>
      <c r="P428">
        <v>52936562</v>
      </c>
    </row>
    <row r="429" spans="1:16" x14ac:dyDescent="0.35">
      <c r="A429">
        <v>93827212139</v>
      </c>
      <c r="C429" s="2" t="s">
        <v>883</v>
      </c>
      <c r="D429">
        <v>4</v>
      </c>
      <c r="E429">
        <v>76891213294</v>
      </c>
      <c r="F429">
        <f t="shared" ca="1" si="12"/>
        <v>100</v>
      </c>
      <c r="G429">
        <f ca="1">VLOOKUP(E429,PurchItem!$A$2:$H$508,8,0)</f>
        <v>1758.1992003080466</v>
      </c>
      <c r="H429">
        <v>0.04</v>
      </c>
      <c r="I429" t="s">
        <v>244</v>
      </c>
      <c r="J429" s="5">
        <v>44989.594524409724</v>
      </c>
      <c r="K429" s="5">
        <v>44991.189048819448</v>
      </c>
      <c r="M429">
        <f t="shared" si="13"/>
        <v>10029727369</v>
      </c>
      <c r="N429">
        <f ca="1">IF(M429&lt;&gt;M428,INDEX(CustInfo!$A$2:$A$1001,RANDBETWEEN(1,1000)),N428)</f>
        <v>11294</v>
      </c>
      <c r="O429" t="s">
        <v>1002</v>
      </c>
      <c r="P429">
        <v>52936563</v>
      </c>
    </row>
    <row r="430" spans="1:16" x14ac:dyDescent="0.35">
      <c r="A430">
        <v>93827212140</v>
      </c>
      <c r="C430" s="2" t="s">
        <v>883</v>
      </c>
      <c r="D430">
        <v>1</v>
      </c>
      <c r="E430">
        <v>76891213570</v>
      </c>
      <c r="F430">
        <f t="shared" ca="1" si="12"/>
        <v>57</v>
      </c>
      <c r="G430">
        <f ca="1">VLOOKUP(E430,PurchItem!$A$2:$H$508,8,0)</f>
        <v>9788.963236721278</v>
      </c>
      <c r="H430">
        <v>0.04</v>
      </c>
      <c r="I430" t="s">
        <v>244</v>
      </c>
      <c r="J430" s="5">
        <v>45507.594524409724</v>
      </c>
      <c r="K430" s="5">
        <v>45509.189048819448</v>
      </c>
      <c r="M430">
        <f t="shared" si="13"/>
        <v>10029727370</v>
      </c>
      <c r="N430">
        <f ca="1">IF(M430&lt;&gt;M429,INDEX(CustInfo!$A$2:$A$1001,RANDBETWEEN(1,1000)),N429)</f>
        <v>11038</v>
      </c>
      <c r="O430" t="s">
        <v>1001</v>
      </c>
      <c r="P430">
        <v>52936564</v>
      </c>
    </row>
    <row r="431" spans="1:16" x14ac:dyDescent="0.35">
      <c r="A431">
        <v>93827212141</v>
      </c>
      <c r="C431" s="2" t="s">
        <v>883</v>
      </c>
      <c r="D431">
        <v>1</v>
      </c>
      <c r="E431">
        <v>76891213485</v>
      </c>
      <c r="F431">
        <f t="shared" ca="1" si="12"/>
        <v>26</v>
      </c>
      <c r="G431">
        <f ca="1">VLOOKUP(E431,PurchItem!$A$2:$H$508,8,0)</f>
        <v>2807.3759282410369</v>
      </c>
      <c r="H431">
        <v>0.06</v>
      </c>
      <c r="I431" t="s">
        <v>244</v>
      </c>
      <c r="J431" s="5">
        <v>44649.594524409724</v>
      </c>
      <c r="K431" s="5">
        <v>44652.189048819448</v>
      </c>
      <c r="M431">
        <f t="shared" si="13"/>
        <v>10029727371</v>
      </c>
      <c r="N431">
        <f ca="1">IF(M431&lt;&gt;M430,INDEX(CustInfo!$A$2:$A$1001,RANDBETWEEN(1,1000)),N430)</f>
        <v>11193</v>
      </c>
      <c r="O431" t="s">
        <v>1002</v>
      </c>
      <c r="P431">
        <v>52936565</v>
      </c>
    </row>
    <row r="432" spans="1:16" x14ac:dyDescent="0.35">
      <c r="A432">
        <v>93827212141</v>
      </c>
      <c r="C432" s="2" t="s">
        <v>883</v>
      </c>
      <c r="D432">
        <v>2</v>
      </c>
      <c r="E432">
        <v>76891213351</v>
      </c>
      <c r="F432">
        <f t="shared" ca="1" si="12"/>
        <v>59</v>
      </c>
      <c r="G432">
        <f ca="1">VLOOKUP(E432,PurchItem!$A$2:$H$508,8,0)</f>
        <v>9428.1968109971458</v>
      </c>
      <c r="H432">
        <v>0.04</v>
      </c>
      <c r="I432" t="s">
        <v>244</v>
      </c>
      <c r="J432" s="5">
        <v>44960.594524409724</v>
      </c>
      <c r="K432" s="5">
        <v>44964.189048819448</v>
      </c>
      <c r="M432">
        <f t="shared" si="13"/>
        <v>10029727371</v>
      </c>
      <c r="N432">
        <f ca="1">IF(M432&lt;&gt;M431,INDEX(CustInfo!$A$2:$A$1001,RANDBETWEEN(1,1000)),N431)</f>
        <v>11193</v>
      </c>
      <c r="O432" t="s">
        <v>1002</v>
      </c>
      <c r="P432">
        <v>52936566</v>
      </c>
    </row>
    <row r="433" spans="1:16" x14ac:dyDescent="0.35">
      <c r="A433">
        <v>93827212141</v>
      </c>
      <c r="C433" s="2" t="s">
        <v>883</v>
      </c>
      <c r="D433">
        <v>3</v>
      </c>
      <c r="E433">
        <v>76891213504</v>
      </c>
      <c r="F433">
        <f t="shared" ca="1" si="12"/>
        <v>65</v>
      </c>
      <c r="G433">
        <f ca="1">VLOOKUP(E433,PurchItem!$A$2:$H$508,8,0)</f>
        <v>409.7900781188219</v>
      </c>
      <c r="H433">
        <v>0.04</v>
      </c>
      <c r="I433" t="s">
        <v>244</v>
      </c>
      <c r="J433" s="5">
        <v>45236.594524409724</v>
      </c>
      <c r="K433" s="5">
        <v>45240.189048819448</v>
      </c>
      <c r="M433">
        <f t="shared" si="13"/>
        <v>10029727371</v>
      </c>
      <c r="N433">
        <f ca="1">IF(M433&lt;&gt;M432,INDEX(CustInfo!$A$2:$A$1001,RANDBETWEEN(1,1000)),N432)</f>
        <v>11193</v>
      </c>
      <c r="O433" t="s">
        <v>1002</v>
      </c>
      <c r="P433">
        <v>52936567</v>
      </c>
    </row>
    <row r="434" spans="1:16" x14ac:dyDescent="0.35">
      <c r="A434">
        <v>93827212141</v>
      </c>
      <c r="C434" s="2" t="s">
        <v>883</v>
      </c>
      <c r="D434">
        <v>4</v>
      </c>
      <c r="E434">
        <v>76891213304</v>
      </c>
      <c r="F434">
        <f t="shared" ca="1" si="12"/>
        <v>32</v>
      </c>
      <c r="G434">
        <f ca="1">VLOOKUP(E434,PurchItem!$A$2:$H$508,8,0)</f>
        <v>6666.5905638765125</v>
      </c>
      <c r="H434">
        <v>0.05</v>
      </c>
      <c r="I434" t="s">
        <v>244</v>
      </c>
      <c r="J434" s="5">
        <v>44867.594524409724</v>
      </c>
      <c r="K434" s="5">
        <v>44870.189048819448</v>
      </c>
      <c r="M434">
        <f t="shared" si="13"/>
        <v>10029727371</v>
      </c>
      <c r="N434">
        <f ca="1">IF(M434&lt;&gt;M433,INDEX(CustInfo!$A$2:$A$1001,RANDBETWEEN(1,1000)),N433)</f>
        <v>11193</v>
      </c>
      <c r="O434" t="s">
        <v>1002</v>
      </c>
      <c r="P434">
        <v>52936568</v>
      </c>
    </row>
    <row r="435" spans="1:16" x14ac:dyDescent="0.35">
      <c r="A435">
        <v>93827212142</v>
      </c>
      <c r="C435" s="2" t="s">
        <v>883</v>
      </c>
      <c r="D435">
        <v>1</v>
      </c>
      <c r="E435">
        <v>76891213259</v>
      </c>
      <c r="F435">
        <f t="shared" ca="1" si="12"/>
        <v>84</v>
      </c>
      <c r="G435">
        <f ca="1">VLOOKUP(E435,PurchItem!$A$2:$H$508,8,0)</f>
        <v>2690.2809923861096</v>
      </c>
      <c r="H435">
        <v>0.05</v>
      </c>
      <c r="I435" t="s">
        <v>244</v>
      </c>
      <c r="J435" s="5">
        <v>45233.594524409724</v>
      </c>
      <c r="K435" s="5">
        <v>45237.189048819448</v>
      </c>
      <c r="M435">
        <f t="shared" si="13"/>
        <v>10029727372</v>
      </c>
      <c r="N435">
        <f ca="1">IF(M435&lt;&gt;M434,INDEX(CustInfo!$A$2:$A$1001,RANDBETWEEN(1,1000)),N434)</f>
        <v>11914</v>
      </c>
      <c r="O435" t="s">
        <v>1001</v>
      </c>
      <c r="P435">
        <v>52936569</v>
      </c>
    </row>
    <row r="436" spans="1:16" x14ac:dyDescent="0.35">
      <c r="A436">
        <v>93827212143</v>
      </c>
      <c r="C436" s="2" t="s">
        <v>883</v>
      </c>
      <c r="D436">
        <v>1</v>
      </c>
      <c r="E436">
        <v>76891213230</v>
      </c>
      <c r="F436">
        <f t="shared" ca="1" si="12"/>
        <v>20</v>
      </c>
      <c r="G436">
        <f ca="1">VLOOKUP(E436,PurchItem!$A$2:$H$508,8,0)</f>
        <v>3755.1895040007321</v>
      </c>
      <c r="H436">
        <v>0.05</v>
      </c>
      <c r="I436" t="s">
        <v>244</v>
      </c>
      <c r="J436" s="5">
        <v>44626.594524409724</v>
      </c>
      <c r="K436" s="5">
        <v>44627.189048819448</v>
      </c>
      <c r="M436">
        <f t="shared" si="13"/>
        <v>10029727373</v>
      </c>
      <c r="N436">
        <f ca="1">IF(M436&lt;&gt;M435,INDEX(CustInfo!$A$2:$A$1001,RANDBETWEEN(1,1000)),N435)</f>
        <v>11741</v>
      </c>
      <c r="O436" t="s">
        <v>1001</v>
      </c>
      <c r="P436">
        <v>52936570</v>
      </c>
    </row>
    <row r="437" spans="1:16" x14ac:dyDescent="0.35">
      <c r="A437">
        <v>93827212144</v>
      </c>
      <c r="C437" s="2" t="s">
        <v>883</v>
      </c>
      <c r="D437">
        <v>1</v>
      </c>
      <c r="E437">
        <v>76891213440</v>
      </c>
      <c r="F437">
        <f t="shared" ca="1" si="12"/>
        <v>80</v>
      </c>
      <c r="G437">
        <f ca="1">VLOOKUP(E437,PurchItem!$A$2:$H$508,8,0)</f>
        <v>3837.4310153582715</v>
      </c>
      <c r="H437">
        <v>0.04</v>
      </c>
      <c r="I437" t="s">
        <v>244</v>
      </c>
      <c r="J437" s="5">
        <v>44718.594524409724</v>
      </c>
      <c r="K437" s="5">
        <v>44722.189048819448</v>
      </c>
      <c r="M437">
        <f t="shared" si="13"/>
        <v>10029727374</v>
      </c>
      <c r="N437">
        <f ca="1">IF(M437&lt;&gt;M436,INDEX(CustInfo!$A$2:$A$1001,RANDBETWEEN(1,1000)),N436)</f>
        <v>11712</v>
      </c>
      <c r="O437" t="s">
        <v>1003</v>
      </c>
      <c r="P437">
        <v>52936571</v>
      </c>
    </row>
    <row r="438" spans="1:16" x14ac:dyDescent="0.35">
      <c r="A438">
        <v>93827212144</v>
      </c>
      <c r="C438" s="2" t="s">
        <v>883</v>
      </c>
      <c r="D438">
        <v>2</v>
      </c>
      <c r="E438">
        <v>76891213345</v>
      </c>
      <c r="F438">
        <f t="shared" ca="1" si="12"/>
        <v>46</v>
      </c>
      <c r="G438">
        <f ca="1">VLOOKUP(E438,PurchItem!$A$2:$H$508,8,0)</f>
        <v>3652.5312345375505</v>
      </c>
      <c r="H438">
        <v>0.06</v>
      </c>
      <c r="I438" t="s">
        <v>244</v>
      </c>
      <c r="J438" s="5">
        <v>45352.594524409724</v>
      </c>
      <c r="K438" s="5">
        <v>45356.189048819448</v>
      </c>
      <c r="M438">
        <f t="shared" si="13"/>
        <v>10029727374</v>
      </c>
      <c r="N438">
        <f ca="1">IF(M438&lt;&gt;M437,INDEX(CustInfo!$A$2:$A$1001,RANDBETWEEN(1,1000)),N437)</f>
        <v>11712</v>
      </c>
      <c r="O438" t="s">
        <v>1003</v>
      </c>
      <c r="P438">
        <v>52936572</v>
      </c>
    </row>
    <row r="439" spans="1:16" x14ac:dyDescent="0.35">
      <c r="A439">
        <v>93827212145</v>
      </c>
      <c r="C439" s="2" t="s">
        <v>883</v>
      </c>
      <c r="D439">
        <v>1</v>
      </c>
      <c r="E439">
        <v>76891213403</v>
      </c>
      <c r="F439">
        <f t="shared" ca="1" si="12"/>
        <v>15</v>
      </c>
      <c r="G439">
        <f ca="1">VLOOKUP(E439,PurchItem!$A$2:$H$508,8,0)</f>
        <v>7222.6267597950819</v>
      </c>
      <c r="H439">
        <v>0.05</v>
      </c>
      <c r="I439" t="s">
        <v>244</v>
      </c>
      <c r="J439" s="5">
        <v>44737.594524409724</v>
      </c>
      <c r="K439" s="5">
        <v>44741.189048819448</v>
      </c>
      <c r="M439">
        <f t="shared" si="13"/>
        <v>10029727375</v>
      </c>
      <c r="N439">
        <f ca="1">IF(M439&lt;&gt;M438,INDEX(CustInfo!$A$2:$A$1001,RANDBETWEEN(1,1000)),N438)</f>
        <v>11766</v>
      </c>
      <c r="O439" t="s">
        <v>1002</v>
      </c>
      <c r="P439">
        <v>52936573</v>
      </c>
    </row>
    <row r="440" spans="1:16" x14ac:dyDescent="0.35">
      <c r="A440">
        <v>93827212146</v>
      </c>
      <c r="C440" s="2" t="s">
        <v>883</v>
      </c>
      <c r="D440">
        <v>1</v>
      </c>
      <c r="E440">
        <v>76891213339</v>
      </c>
      <c r="F440">
        <f t="shared" ca="1" si="12"/>
        <v>25</v>
      </c>
      <c r="G440">
        <f ca="1">VLOOKUP(E440,PurchItem!$A$2:$H$508,8,0)</f>
        <v>1786.9343173094894</v>
      </c>
      <c r="H440">
        <v>0.05</v>
      </c>
      <c r="I440" t="s">
        <v>244</v>
      </c>
      <c r="J440" s="5">
        <v>45169.594524409724</v>
      </c>
      <c r="K440" s="5">
        <v>45172.189048819448</v>
      </c>
      <c r="M440">
        <f t="shared" si="13"/>
        <v>10029727376</v>
      </c>
      <c r="N440">
        <f ca="1">IF(M440&lt;&gt;M439,INDEX(CustInfo!$A$2:$A$1001,RANDBETWEEN(1,1000)),N439)</f>
        <v>11486</v>
      </c>
      <c r="O440" t="s">
        <v>1001</v>
      </c>
      <c r="P440">
        <v>52936574</v>
      </c>
    </row>
    <row r="441" spans="1:16" x14ac:dyDescent="0.35">
      <c r="A441">
        <v>93827212146</v>
      </c>
      <c r="C441" s="2" t="s">
        <v>883</v>
      </c>
      <c r="D441">
        <v>2</v>
      </c>
      <c r="E441">
        <v>76891213345</v>
      </c>
      <c r="F441">
        <f t="shared" ca="1" si="12"/>
        <v>32</v>
      </c>
      <c r="G441">
        <f ca="1">VLOOKUP(E441,PurchItem!$A$2:$H$508,8,0)</f>
        <v>3652.5312345375505</v>
      </c>
      <c r="H441">
        <v>0.05</v>
      </c>
      <c r="I441" t="s">
        <v>244</v>
      </c>
      <c r="J441" s="5">
        <v>44634.594524409724</v>
      </c>
      <c r="K441" s="5">
        <v>44637.189048819448</v>
      </c>
      <c r="M441">
        <f t="shared" si="13"/>
        <v>10029727376</v>
      </c>
      <c r="N441">
        <f ca="1">IF(M441&lt;&gt;M440,INDEX(CustInfo!$A$2:$A$1001,RANDBETWEEN(1,1000)),N440)</f>
        <v>11486</v>
      </c>
      <c r="O441" t="s">
        <v>1001</v>
      </c>
      <c r="P441">
        <v>52936575</v>
      </c>
    </row>
    <row r="442" spans="1:16" x14ac:dyDescent="0.35">
      <c r="A442">
        <v>93827212147</v>
      </c>
      <c r="C442" s="2" t="s">
        <v>883</v>
      </c>
      <c r="D442">
        <v>1</v>
      </c>
      <c r="E442">
        <v>76891213147</v>
      </c>
      <c r="F442">
        <f t="shared" ca="1" si="12"/>
        <v>77</v>
      </c>
      <c r="G442">
        <f ca="1">VLOOKUP(E442,PurchItem!$A$2:$H$508,8,0)</f>
        <v>2264.3353543042599</v>
      </c>
      <c r="H442">
        <v>0.05</v>
      </c>
      <c r="I442" t="s">
        <v>244</v>
      </c>
      <c r="J442" s="5">
        <v>44738.594524409724</v>
      </c>
      <c r="K442" s="5">
        <v>44739.189048819448</v>
      </c>
      <c r="M442">
        <f t="shared" si="13"/>
        <v>10029727377</v>
      </c>
      <c r="N442">
        <f ca="1">IF(M442&lt;&gt;M441,INDEX(CustInfo!$A$2:$A$1001,RANDBETWEEN(1,1000)),N441)</f>
        <v>11146</v>
      </c>
      <c r="O442" t="s">
        <v>1003</v>
      </c>
      <c r="P442">
        <v>52936576</v>
      </c>
    </row>
    <row r="443" spans="1:16" x14ac:dyDescent="0.35">
      <c r="A443">
        <v>93827212147</v>
      </c>
      <c r="C443" s="2" t="s">
        <v>883</v>
      </c>
      <c r="D443">
        <v>2</v>
      </c>
      <c r="E443">
        <v>76891213464</v>
      </c>
      <c r="F443">
        <f t="shared" ca="1" si="12"/>
        <v>52</v>
      </c>
      <c r="G443">
        <f ca="1">VLOOKUP(E443,PurchItem!$A$2:$H$508,8,0)</f>
        <v>3775.443890340754</v>
      </c>
      <c r="H443">
        <v>0.06</v>
      </c>
      <c r="I443" t="s">
        <v>244</v>
      </c>
      <c r="J443" s="5">
        <v>44588.594524409724</v>
      </c>
      <c r="K443" s="5">
        <v>44589.189048819448</v>
      </c>
      <c r="M443">
        <f t="shared" si="13"/>
        <v>10029727377</v>
      </c>
      <c r="N443">
        <f ca="1">IF(M443&lt;&gt;M442,INDEX(CustInfo!$A$2:$A$1001,RANDBETWEEN(1,1000)),N442)</f>
        <v>11146</v>
      </c>
      <c r="O443" t="s">
        <v>1003</v>
      </c>
      <c r="P443">
        <v>52936577</v>
      </c>
    </row>
    <row r="444" spans="1:16" x14ac:dyDescent="0.35">
      <c r="A444">
        <v>93827212147</v>
      </c>
      <c r="C444" s="2" t="s">
        <v>883</v>
      </c>
      <c r="D444">
        <v>3</v>
      </c>
      <c r="E444">
        <v>76891213196</v>
      </c>
      <c r="F444">
        <f t="shared" ca="1" si="12"/>
        <v>78</v>
      </c>
      <c r="G444">
        <f ca="1">VLOOKUP(E444,PurchItem!$A$2:$H$508,8,0)</f>
        <v>7032.7904576117289</v>
      </c>
      <c r="H444">
        <v>0.05</v>
      </c>
      <c r="I444" t="s">
        <v>244</v>
      </c>
      <c r="J444" s="5">
        <v>45276.594524409724</v>
      </c>
      <c r="K444" s="5">
        <v>45280.189048819448</v>
      </c>
      <c r="M444">
        <f t="shared" si="13"/>
        <v>10029727377</v>
      </c>
      <c r="N444">
        <f ca="1">IF(M444&lt;&gt;M443,INDEX(CustInfo!$A$2:$A$1001,RANDBETWEEN(1,1000)),N443)</f>
        <v>11146</v>
      </c>
      <c r="O444" t="s">
        <v>1003</v>
      </c>
      <c r="P444">
        <v>52936578</v>
      </c>
    </row>
    <row r="445" spans="1:16" x14ac:dyDescent="0.35">
      <c r="A445">
        <v>93827212148</v>
      </c>
      <c r="C445" s="2" t="s">
        <v>883</v>
      </c>
      <c r="D445">
        <v>1</v>
      </c>
      <c r="E445">
        <v>76891213572</v>
      </c>
      <c r="F445">
        <f t="shared" ca="1" si="12"/>
        <v>77</v>
      </c>
      <c r="G445">
        <f ca="1">VLOOKUP(E445,PurchItem!$A$2:$H$508,8,0)</f>
        <v>8369.1775258535399</v>
      </c>
      <c r="H445">
        <v>0.05</v>
      </c>
      <c r="I445" t="s">
        <v>244</v>
      </c>
      <c r="J445" s="5">
        <v>45399.594524409724</v>
      </c>
      <c r="K445" s="5">
        <v>45402.189048819448</v>
      </c>
      <c r="M445">
        <f t="shared" si="13"/>
        <v>10029727378</v>
      </c>
      <c r="N445">
        <f ca="1">IF(M445&lt;&gt;M444,INDEX(CustInfo!$A$2:$A$1001,RANDBETWEEN(1,1000)),N444)</f>
        <v>11457</v>
      </c>
      <c r="O445" t="s">
        <v>1003</v>
      </c>
      <c r="P445">
        <v>52936579</v>
      </c>
    </row>
    <row r="446" spans="1:16" x14ac:dyDescent="0.35">
      <c r="A446">
        <v>93827212149</v>
      </c>
      <c r="C446" s="2" t="s">
        <v>883</v>
      </c>
      <c r="D446">
        <v>1</v>
      </c>
      <c r="E446">
        <v>76891213303</v>
      </c>
      <c r="F446">
        <f t="shared" ca="1" si="12"/>
        <v>3</v>
      </c>
      <c r="G446">
        <f ca="1">VLOOKUP(E446,PurchItem!$A$2:$H$508,8,0)</f>
        <v>1963.1587713825188</v>
      </c>
      <c r="H446">
        <v>0.04</v>
      </c>
      <c r="I446" t="s">
        <v>244</v>
      </c>
      <c r="J446" s="5">
        <v>44610.594524409724</v>
      </c>
      <c r="K446" s="5">
        <v>44612.189048819448</v>
      </c>
      <c r="M446">
        <f t="shared" si="13"/>
        <v>10029727379</v>
      </c>
      <c r="N446">
        <f ca="1">IF(M446&lt;&gt;M445,INDEX(CustInfo!$A$2:$A$1001,RANDBETWEEN(1,1000)),N445)</f>
        <v>11074</v>
      </c>
      <c r="O446" t="s">
        <v>1002</v>
      </c>
      <c r="P446">
        <v>52936580</v>
      </c>
    </row>
    <row r="447" spans="1:16" x14ac:dyDescent="0.35">
      <c r="A447">
        <v>93827212149</v>
      </c>
      <c r="C447" s="2" t="s">
        <v>883</v>
      </c>
      <c r="D447">
        <v>2</v>
      </c>
      <c r="E447">
        <v>76891213457</v>
      </c>
      <c r="F447">
        <f t="shared" ca="1" si="12"/>
        <v>5</v>
      </c>
      <c r="G447">
        <f ca="1">VLOOKUP(E447,PurchItem!$A$2:$H$508,8,0)</f>
        <v>6617.5399033341891</v>
      </c>
      <c r="H447">
        <v>0.05</v>
      </c>
      <c r="I447" t="s">
        <v>244</v>
      </c>
      <c r="J447" s="5">
        <v>44977.594524409724</v>
      </c>
      <c r="K447" s="5">
        <v>44981.189048819448</v>
      </c>
      <c r="M447">
        <f t="shared" si="13"/>
        <v>10029727379</v>
      </c>
      <c r="N447">
        <f ca="1">IF(M447&lt;&gt;M446,INDEX(CustInfo!$A$2:$A$1001,RANDBETWEEN(1,1000)),N446)</f>
        <v>11074</v>
      </c>
      <c r="O447" t="s">
        <v>1002</v>
      </c>
      <c r="P447">
        <v>52936581</v>
      </c>
    </row>
    <row r="448" spans="1:16" x14ac:dyDescent="0.35">
      <c r="A448">
        <v>93827212149</v>
      </c>
      <c r="C448" s="2" t="s">
        <v>883</v>
      </c>
      <c r="D448">
        <v>3</v>
      </c>
      <c r="E448">
        <v>76891213267</v>
      </c>
      <c r="F448">
        <f t="shared" ca="1" si="12"/>
        <v>91</v>
      </c>
      <c r="G448">
        <f ca="1">VLOOKUP(E448,PurchItem!$A$2:$H$508,8,0)</f>
        <v>3858.4369581321821</v>
      </c>
      <c r="H448">
        <v>0.04</v>
      </c>
      <c r="I448" t="s">
        <v>244</v>
      </c>
      <c r="J448" s="5">
        <v>44705.594524409724</v>
      </c>
      <c r="K448" s="5">
        <v>44709.189048819448</v>
      </c>
      <c r="M448">
        <f t="shared" si="13"/>
        <v>10029727379</v>
      </c>
      <c r="N448">
        <f ca="1">IF(M448&lt;&gt;M447,INDEX(CustInfo!$A$2:$A$1001,RANDBETWEEN(1,1000)),N447)</f>
        <v>11074</v>
      </c>
      <c r="O448" t="s">
        <v>1002</v>
      </c>
      <c r="P448">
        <v>52936582</v>
      </c>
    </row>
    <row r="449" spans="1:16" x14ac:dyDescent="0.35">
      <c r="A449">
        <v>93827212150</v>
      </c>
      <c r="C449" s="2" t="s">
        <v>883</v>
      </c>
      <c r="D449">
        <v>1</v>
      </c>
      <c r="E449">
        <v>76891213152</v>
      </c>
      <c r="F449">
        <f t="shared" ca="1" si="12"/>
        <v>6</v>
      </c>
      <c r="G449">
        <f ca="1">VLOOKUP(E449,PurchItem!$A$2:$H$508,8,0)</f>
        <v>169.38211785270536</v>
      </c>
      <c r="H449">
        <v>0.05</v>
      </c>
      <c r="I449" t="s">
        <v>244</v>
      </c>
      <c r="J449" s="5">
        <v>45270.594524409724</v>
      </c>
      <c r="K449" s="5">
        <v>45274.189048819448</v>
      </c>
      <c r="M449">
        <f t="shared" si="13"/>
        <v>10029727380</v>
      </c>
      <c r="N449">
        <f ca="1">IF(M449&lt;&gt;M448,INDEX(CustInfo!$A$2:$A$1001,RANDBETWEEN(1,1000)),N448)</f>
        <v>11257</v>
      </c>
      <c r="O449" t="s">
        <v>1003</v>
      </c>
      <c r="P449">
        <v>52936583</v>
      </c>
    </row>
    <row r="450" spans="1:16" x14ac:dyDescent="0.35">
      <c r="A450">
        <v>93827212150</v>
      </c>
      <c r="C450" s="2" t="s">
        <v>883</v>
      </c>
      <c r="D450">
        <v>2</v>
      </c>
      <c r="E450">
        <v>76891213522</v>
      </c>
      <c r="F450">
        <f t="shared" ca="1" si="12"/>
        <v>31</v>
      </c>
      <c r="G450">
        <f ca="1">VLOOKUP(E450,PurchItem!$A$2:$H$508,8,0)</f>
        <v>2861.1857686932035</v>
      </c>
      <c r="H450">
        <v>0.06</v>
      </c>
      <c r="I450" t="s">
        <v>244</v>
      </c>
      <c r="J450" s="5">
        <v>45026.594524409724</v>
      </c>
      <c r="K450" s="5">
        <v>45029.189048819448</v>
      </c>
      <c r="M450">
        <f t="shared" si="13"/>
        <v>10029727380</v>
      </c>
      <c r="N450">
        <f ca="1">IF(M450&lt;&gt;M449,INDEX(CustInfo!$A$2:$A$1001,RANDBETWEEN(1,1000)),N449)</f>
        <v>11257</v>
      </c>
      <c r="O450" t="s">
        <v>1003</v>
      </c>
      <c r="P450">
        <v>52936584</v>
      </c>
    </row>
    <row r="451" spans="1:16" x14ac:dyDescent="0.35">
      <c r="A451">
        <v>93827212150</v>
      </c>
      <c r="C451" s="2" t="s">
        <v>883</v>
      </c>
      <c r="D451">
        <v>3</v>
      </c>
      <c r="E451">
        <v>76891213322</v>
      </c>
      <c r="F451">
        <f t="shared" ref="F451:F514" ca="1" si="14">RANDBETWEEN(1,100)</f>
        <v>47</v>
      </c>
      <c r="G451">
        <f ca="1">VLOOKUP(E451,PurchItem!$A$2:$H$508,8,0)</f>
        <v>941.07053196484935</v>
      </c>
      <c r="H451">
        <v>0.06</v>
      </c>
      <c r="I451" t="s">
        <v>244</v>
      </c>
      <c r="J451" s="5">
        <v>44882.594524409724</v>
      </c>
      <c r="K451" s="5">
        <v>44885.189048819448</v>
      </c>
      <c r="M451">
        <f t="shared" si="13"/>
        <v>10029727380</v>
      </c>
      <c r="N451">
        <f ca="1">IF(M451&lt;&gt;M450,INDEX(CustInfo!$A$2:$A$1001,RANDBETWEEN(1,1000)),N450)</f>
        <v>11257</v>
      </c>
      <c r="O451" t="s">
        <v>1003</v>
      </c>
      <c r="P451">
        <v>52936585</v>
      </c>
    </row>
    <row r="452" spans="1:16" x14ac:dyDescent="0.35">
      <c r="A452">
        <v>93827212150</v>
      </c>
      <c r="C452" s="2" t="s">
        <v>883</v>
      </c>
      <c r="D452">
        <v>4</v>
      </c>
      <c r="E452">
        <v>76891213360</v>
      </c>
      <c r="F452">
        <f t="shared" ca="1" si="14"/>
        <v>85</v>
      </c>
      <c r="G452">
        <f ca="1">VLOOKUP(E452,PurchItem!$A$2:$H$508,8,0)</f>
        <v>6087.4432655359151</v>
      </c>
      <c r="H452">
        <v>0.06</v>
      </c>
      <c r="I452" t="s">
        <v>244</v>
      </c>
      <c r="J452" s="5">
        <v>45173.594524409724</v>
      </c>
      <c r="K452" s="5">
        <v>45174.189048819448</v>
      </c>
      <c r="M452">
        <f t="shared" si="13"/>
        <v>10029727380</v>
      </c>
      <c r="N452">
        <f ca="1">IF(M452&lt;&gt;M451,INDEX(CustInfo!$A$2:$A$1001,RANDBETWEEN(1,1000)),N451)</f>
        <v>11257</v>
      </c>
      <c r="O452" t="s">
        <v>1003</v>
      </c>
      <c r="P452">
        <v>52936586</v>
      </c>
    </row>
    <row r="453" spans="1:16" x14ac:dyDescent="0.35">
      <c r="A453">
        <v>93827212151</v>
      </c>
      <c r="C453" s="2" t="s">
        <v>883</v>
      </c>
      <c r="D453">
        <v>1</v>
      </c>
      <c r="E453">
        <v>76891213355</v>
      </c>
      <c r="F453">
        <f t="shared" ca="1" si="14"/>
        <v>59</v>
      </c>
      <c r="G453">
        <f ca="1">VLOOKUP(E453,PurchItem!$A$2:$H$508,8,0)</f>
        <v>7940.1182044432426</v>
      </c>
      <c r="H453">
        <v>0.04</v>
      </c>
      <c r="I453" t="s">
        <v>244</v>
      </c>
      <c r="J453" s="5">
        <v>44976.594524409724</v>
      </c>
      <c r="K453" s="5">
        <v>44979.189048819448</v>
      </c>
      <c r="M453">
        <f t="shared" ref="M453:M516" si="15">IF(A453&lt;&gt;A452,M452+1,M452)</f>
        <v>10029727381</v>
      </c>
      <c r="N453">
        <f ca="1">IF(M453&lt;&gt;M452,INDEX(CustInfo!$A$2:$A$1001,RANDBETWEEN(1,1000)),N452)</f>
        <v>11091</v>
      </c>
      <c r="O453" t="s">
        <v>1003</v>
      </c>
      <c r="P453">
        <v>52936587</v>
      </c>
    </row>
    <row r="454" spans="1:16" x14ac:dyDescent="0.35">
      <c r="A454">
        <v>93827212152</v>
      </c>
      <c r="C454" s="2" t="s">
        <v>883</v>
      </c>
      <c r="D454">
        <v>1</v>
      </c>
      <c r="E454">
        <v>76891213478</v>
      </c>
      <c r="F454">
        <f t="shared" ca="1" si="14"/>
        <v>43</v>
      </c>
      <c r="G454">
        <f ca="1">VLOOKUP(E454,PurchItem!$A$2:$H$508,8,0)</f>
        <v>7391.2836595204599</v>
      </c>
      <c r="H454">
        <v>0.05</v>
      </c>
      <c r="I454" t="s">
        <v>244</v>
      </c>
      <c r="J454" s="5">
        <v>45461.594524409724</v>
      </c>
      <c r="K454" s="5">
        <v>45462.189048819448</v>
      </c>
      <c r="M454">
        <f t="shared" si="15"/>
        <v>10029727382</v>
      </c>
      <c r="N454">
        <f ca="1">IF(M454&lt;&gt;M453,INDEX(CustInfo!$A$2:$A$1001,RANDBETWEEN(1,1000)),N453)</f>
        <v>11745</v>
      </c>
      <c r="O454" t="s">
        <v>1001</v>
      </c>
      <c r="P454">
        <v>52936588</v>
      </c>
    </row>
    <row r="455" spans="1:16" x14ac:dyDescent="0.35">
      <c r="A455">
        <v>93827212152</v>
      </c>
      <c r="C455" s="2" t="s">
        <v>883</v>
      </c>
      <c r="D455">
        <v>2</v>
      </c>
      <c r="E455">
        <v>76891213232</v>
      </c>
      <c r="F455">
        <f t="shared" ca="1" si="14"/>
        <v>74</v>
      </c>
      <c r="G455">
        <f ca="1">VLOOKUP(E455,PurchItem!$A$2:$H$508,8,0)</f>
        <v>8714.7937057341314</v>
      </c>
      <c r="H455">
        <v>0.06</v>
      </c>
      <c r="I455" t="s">
        <v>244</v>
      </c>
      <c r="J455" s="5">
        <v>45400.594524409724</v>
      </c>
      <c r="K455" s="5">
        <v>45403.189048819448</v>
      </c>
      <c r="M455">
        <f t="shared" si="15"/>
        <v>10029727382</v>
      </c>
      <c r="N455">
        <f ca="1">IF(M455&lt;&gt;M454,INDEX(CustInfo!$A$2:$A$1001,RANDBETWEEN(1,1000)),N454)</f>
        <v>11745</v>
      </c>
      <c r="O455" t="s">
        <v>1001</v>
      </c>
      <c r="P455">
        <v>52936589</v>
      </c>
    </row>
    <row r="456" spans="1:16" x14ac:dyDescent="0.35">
      <c r="A456">
        <v>93827212152</v>
      </c>
      <c r="C456" s="2" t="s">
        <v>883</v>
      </c>
      <c r="D456">
        <v>3</v>
      </c>
      <c r="E456">
        <v>76891213492</v>
      </c>
      <c r="F456">
        <f t="shared" ca="1" si="14"/>
        <v>91</v>
      </c>
      <c r="G456">
        <f ca="1">VLOOKUP(E456,PurchItem!$A$2:$H$508,8,0)</f>
        <v>4212.9527121259771</v>
      </c>
      <c r="H456">
        <v>0.05</v>
      </c>
      <c r="I456" t="s">
        <v>244</v>
      </c>
      <c r="J456" s="5">
        <v>45567.594524409724</v>
      </c>
      <c r="K456" s="5">
        <v>45571.189048819448</v>
      </c>
      <c r="M456">
        <f t="shared" si="15"/>
        <v>10029727382</v>
      </c>
      <c r="N456">
        <f ca="1">IF(M456&lt;&gt;M455,INDEX(CustInfo!$A$2:$A$1001,RANDBETWEEN(1,1000)),N455)</f>
        <v>11745</v>
      </c>
      <c r="O456" t="s">
        <v>1001</v>
      </c>
      <c r="P456">
        <v>52936590</v>
      </c>
    </row>
    <row r="457" spans="1:16" x14ac:dyDescent="0.35">
      <c r="A457">
        <v>93827212152</v>
      </c>
      <c r="C457" s="2" t="s">
        <v>883</v>
      </c>
      <c r="D457">
        <v>4</v>
      </c>
      <c r="E457">
        <v>76891213231</v>
      </c>
      <c r="F457">
        <f t="shared" ca="1" si="14"/>
        <v>20</v>
      </c>
      <c r="G457">
        <f ca="1">VLOOKUP(E457,PurchItem!$A$2:$H$508,8,0)</f>
        <v>4023.7904944851043</v>
      </c>
      <c r="H457">
        <v>0.04</v>
      </c>
      <c r="I457" t="s">
        <v>244</v>
      </c>
      <c r="J457" s="5">
        <v>45608.594524409724</v>
      </c>
      <c r="K457" s="5">
        <v>45609.189048819448</v>
      </c>
      <c r="M457">
        <f t="shared" si="15"/>
        <v>10029727382</v>
      </c>
      <c r="N457">
        <f ca="1">IF(M457&lt;&gt;M456,INDEX(CustInfo!$A$2:$A$1001,RANDBETWEEN(1,1000)),N456)</f>
        <v>11745</v>
      </c>
      <c r="O457" t="s">
        <v>1001</v>
      </c>
      <c r="P457">
        <v>52936591</v>
      </c>
    </row>
    <row r="458" spans="1:16" x14ac:dyDescent="0.35">
      <c r="A458">
        <v>93827212153</v>
      </c>
      <c r="C458" s="2" t="s">
        <v>883</v>
      </c>
      <c r="D458">
        <v>1</v>
      </c>
      <c r="E458">
        <v>76891213330</v>
      </c>
      <c r="F458">
        <f t="shared" ca="1" si="14"/>
        <v>50</v>
      </c>
      <c r="G458">
        <f ca="1">VLOOKUP(E458,PurchItem!$A$2:$H$508,8,0)</f>
        <v>744.22383412775935</v>
      </c>
      <c r="H458">
        <v>0.05</v>
      </c>
      <c r="I458" t="s">
        <v>244</v>
      </c>
      <c r="J458" s="5">
        <v>45128.594524409724</v>
      </c>
      <c r="K458" s="5">
        <v>45129.189048819448</v>
      </c>
      <c r="M458">
        <f t="shared" si="15"/>
        <v>10029727383</v>
      </c>
      <c r="N458">
        <f ca="1">IF(M458&lt;&gt;M457,INDEX(CustInfo!$A$2:$A$1001,RANDBETWEEN(1,1000)),N457)</f>
        <v>11932</v>
      </c>
      <c r="O458" t="s">
        <v>1003</v>
      </c>
      <c r="P458">
        <v>52936592</v>
      </c>
    </row>
    <row r="459" spans="1:16" x14ac:dyDescent="0.35">
      <c r="A459">
        <v>93827212153</v>
      </c>
      <c r="C459" s="2" t="s">
        <v>883</v>
      </c>
      <c r="D459">
        <v>2</v>
      </c>
      <c r="E459">
        <v>76891213438</v>
      </c>
      <c r="F459">
        <f t="shared" ca="1" si="14"/>
        <v>51</v>
      </c>
      <c r="G459">
        <f ca="1">VLOOKUP(E459,PurchItem!$A$2:$H$508,8,0)</f>
        <v>9563.5855628970003</v>
      </c>
      <c r="H459">
        <v>0.04</v>
      </c>
      <c r="I459" t="s">
        <v>244</v>
      </c>
      <c r="J459" s="5">
        <v>45079.594524409724</v>
      </c>
      <c r="K459" s="5">
        <v>45081.189048819448</v>
      </c>
      <c r="M459">
        <f t="shared" si="15"/>
        <v>10029727383</v>
      </c>
      <c r="N459">
        <f ca="1">IF(M459&lt;&gt;M458,INDEX(CustInfo!$A$2:$A$1001,RANDBETWEEN(1,1000)),N458)</f>
        <v>11932</v>
      </c>
      <c r="O459" t="s">
        <v>1003</v>
      </c>
      <c r="P459">
        <v>52936593</v>
      </c>
    </row>
    <row r="460" spans="1:16" x14ac:dyDescent="0.35">
      <c r="A460">
        <v>93827212153</v>
      </c>
      <c r="C460" s="2" t="s">
        <v>883</v>
      </c>
      <c r="D460">
        <v>3</v>
      </c>
      <c r="E460">
        <v>76891213498</v>
      </c>
      <c r="F460">
        <f t="shared" ca="1" si="14"/>
        <v>23</v>
      </c>
      <c r="G460">
        <f ca="1">VLOOKUP(E460,PurchItem!$A$2:$H$508,8,0)</f>
        <v>4995.713213871999</v>
      </c>
      <c r="H460">
        <v>0.06</v>
      </c>
      <c r="I460" t="s">
        <v>244</v>
      </c>
      <c r="J460" s="5">
        <v>44757.594524409724</v>
      </c>
      <c r="K460" s="5">
        <v>44759.189048819448</v>
      </c>
      <c r="M460">
        <f t="shared" si="15"/>
        <v>10029727383</v>
      </c>
      <c r="N460">
        <f ca="1">IF(M460&lt;&gt;M459,INDEX(CustInfo!$A$2:$A$1001,RANDBETWEEN(1,1000)),N459)</f>
        <v>11932</v>
      </c>
      <c r="O460" t="s">
        <v>1003</v>
      </c>
      <c r="P460">
        <v>52936594</v>
      </c>
    </row>
    <row r="461" spans="1:16" x14ac:dyDescent="0.35">
      <c r="A461">
        <v>93827212154</v>
      </c>
      <c r="C461" s="2" t="s">
        <v>883</v>
      </c>
      <c r="D461">
        <v>1</v>
      </c>
      <c r="E461">
        <v>76891213587</v>
      </c>
      <c r="F461">
        <f t="shared" ca="1" si="14"/>
        <v>70</v>
      </c>
      <c r="G461">
        <f ca="1">VLOOKUP(E461,PurchItem!$A$2:$H$508,8,0)</f>
        <v>402.21981378530177</v>
      </c>
      <c r="H461">
        <v>0.05</v>
      </c>
      <c r="I461" t="s">
        <v>244</v>
      </c>
      <c r="J461" s="5">
        <v>45023.594524409724</v>
      </c>
      <c r="K461" s="5">
        <v>45024.189048819448</v>
      </c>
      <c r="M461">
        <f t="shared" si="15"/>
        <v>10029727384</v>
      </c>
      <c r="N461">
        <f ca="1">IF(M461&lt;&gt;M460,INDEX(CustInfo!$A$2:$A$1001,RANDBETWEEN(1,1000)),N460)</f>
        <v>11176</v>
      </c>
      <c r="O461" t="s">
        <v>1002</v>
      </c>
      <c r="P461">
        <v>52936595</v>
      </c>
    </row>
    <row r="462" spans="1:16" x14ac:dyDescent="0.35">
      <c r="A462">
        <v>93827212154</v>
      </c>
      <c r="C462" s="2" t="s">
        <v>883</v>
      </c>
      <c r="D462">
        <v>2</v>
      </c>
      <c r="E462">
        <v>76891213479</v>
      </c>
      <c r="F462">
        <f t="shared" ca="1" si="14"/>
        <v>54</v>
      </c>
      <c r="G462">
        <f ca="1">VLOOKUP(E462,PurchItem!$A$2:$H$508,8,0)</f>
        <v>6220.9089937272938</v>
      </c>
      <c r="H462">
        <v>0.06</v>
      </c>
      <c r="I462" t="s">
        <v>244</v>
      </c>
      <c r="J462" s="5">
        <v>45028.594524409724</v>
      </c>
      <c r="K462" s="5">
        <v>45032.189048819448</v>
      </c>
      <c r="M462">
        <f t="shared" si="15"/>
        <v>10029727384</v>
      </c>
      <c r="N462">
        <f ca="1">IF(M462&lt;&gt;M461,INDEX(CustInfo!$A$2:$A$1001,RANDBETWEEN(1,1000)),N461)</f>
        <v>11176</v>
      </c>
      <c r="O462" t="s">
        <v>1002</v>
      </c>
      <c r="P462">
        <v>52936596</v>
      </c>
    </row>
    <row r="463" spans="1:16" x14ac:dyDescent="0.35">
      <c r="A463">
        <v>93827212155</v>
      </c>
      <c r="C463" s="2" t="s">
        <v>883</v>
      </c>
      <c r="D463">
        <v>1</v>
      </c>
      <c r="E463">
        <v>76891213570</v>
      </c>
      <c r="F463">
        <f t="shared" ca="1" si="14"/>
        <v>98</v>
      </c>
      <c r="G463">
        <f ca="1">VLOOKUP(E463,PurchItem!$A$2:$H$508,8,0)</f>
        <v>9788.963236721278</v>
      </c>
      <c r="H463">
        <v>0.06</v>
      </c>
      <c r="I463" t="s">
        <v>244</v>
      </c>
      <c r="J463" s="5">
        <v>44971.594524409724</v>
      </c>
      <c r="K463" s="5">
        <v>44975.189048819448</v>
      </c>
      <c r="M463">
        <f t="shared" si="15"/>
        <v>10029727385</v>
      </c>
      <c r="N463">
        <f ca="1">IF(M463&lt;&gt;M462,INDEX(CustInfo!$A$2:$A$1001,RANDBETWEEN(1,1000)),N462)</f>
        <v>11585</v>
      </c>
      <c r="O463" t="s">
        <v>1001</v>
      </c>
      <c r="P463">
        <v>52936597</v>
      </c>
    </row>
    <row r="464" spans="1:16" x14ac:dyDescent="0.35">
      <c r="A464">
        <v>93827212155</v>
      </c>
      <c r="C464" s="2" t="s">
        <v>883</v>
      </c>
      <c r="D464">
        <v>2</v>
      </c>
      <c r="E464">
        <v>76891213631</v>
      </c>
      <c r="F464">
        <f t="shared" ca="1" si="14"/>
        <v>62</v>
      </c>
      <c r="G464">
        <f ca="1">VLOOKUP(E464,PurchItem!$A$2:$H$508,8,0)</f>
        <v>7502.4606119206692</v>
      </c>
      <c r="H464">
        <v>0.04</v>
      </c>
      <c r="I464" t="s">
        <v>244</v>
      </c>
      <c r="J464" s="5">
        <v>45005.594524409724</v>
      </c>
      <c r="K464" s="5">
        <v>45007.189048819448</v>
      </c>
      <c r="M464">
        <f t="shared" si="15"/>
        <v>10029727385</v>
      </c>
      <c r="N464">
        <f ca="1">IF(M464&lt;&gt;M463,INDEX(CustInfo!$A$2:$A$1001,RANDBETWEEN(1,1000)),N463)</f>
        <v>11585</v>
      </c>
      <c r="O464" t="s">
        <v>1001</v>
      </c>
      <c r="P464">
        <v>52936598</v>
      </c>
    </row>
    <row r="465" spans="1:16" x14ac:dyDescent="0.35">
      <c r="A465">
        <v>93827212155</v>
      </c>
      <c r="C465" s="2" t="s">
        <v>883</v>
      </c>
      <c r="D465">
        <v>3</v>
      </c>
      <c r="E465">
        <v>76891213261</v>
      </c>
      <c r="F465">
        <f t="shared" ca="1" si="14"/>
        <v>20</v>
      </c>
      <c r="G465">
        <f ca="1">VLOOKUP(E465,PurchItem!$A$2:$H$508,8,0)</f>
        <v>5282.7591288903441</v>
      </c>
      <c r="H465">
        <v>0.06</v>
      </c>
      <c r="I465" t="s">
        <v>244</v>
      </c>
      <c r="J465" s="5">
        <v>44693.594524409724</v>
      </c>
      <c r="K465" s="5">
        <v>44694.189048819448</v>
      </c>
      <c r="M465">
        <f t="shared" si="15"/>
        <v>10029727385</v>
      </c>
      <c r="N465">
        <f ca="1">IF(M465&lt;&gt;M464,INDEX(CustInfo!$A$2:$A$1001,RANDBETWEEN(1,1000)),N464)</f>
        <v>11585</v>
      </c>
      <c r="O465" t="s">
        <v>1001</v>
      </c>
      <c r="P465">
        <v>52936599</v>
      </c>
    </row>
    <row r="466" spans="1:16" x14ac:dyDescent="0.35">
      <c r="A466">
        <v>93827212156</v>
      </c>
      <c r="C466" s="2" t="s">
        <v>883</v>
      </c>
      <c r="D466">
        <v>1</v>
      </c>
      <c r="E466">
        <v>76891213164</v>
      </c>
      <c r="F466">
        <f t="shared" ca="1" si="14"/>
        <v>79</v>
      </c>
      <c r="G466">
        <f ca="1">VLOOKUP(E466,PurchItem!$A$2:$H$508,8,0)</f>
        <v>7433.8159765817927</v>
      </c>
      <c r="H466">
        <v>0.04</v>
      </c>
      <c r="I466" t="s">
        <v>244</v>
      </c>
      <c r="J466" s="5">
        <v>44575.594524409724</v>
      </c>
      <c r="K466" s="5">
        <v>44576.189048819448</v>
      </c>
      <c r="M466">
        <f t="shared" si="15"/>
        <v>10029727386</v>
      </c>
      <c r="N466">
        <f ca="1">IF(M466&lt;&gt;M465,INDEX(CustInfo!$A$2:$A$1001,RANDBETWEEN(1,1000)),N465)</f>
        <v>11826</v>
      </c>
      <c r="O466" t="s">
        <v>1003</v>
      </c>
      <c r="P466">
        <v>52936600</v>
      </c>
    </row>
    <row r="467" spans="1:16" x14ac:dyDescent="0.35">
      <c r="A467">
        <v>93827212156</v>
      </c>
      <c r="C467" s="2" t="s">
        <v>883</v>
      </c>
      <c r="D467">
        <v>2</v>
      </c>
      <c r="E467">
        <v>76891213464</v>
      </c>
      <c r="F467">
        <f t="shared" ca="1" si="14"/>
        <v>40</v>
      </c>
      <c r="G467">
        <f ca="1">VLOOKUP(E467,PurchItem!$A$2:$H$508,8,0)</f>
        <v>3775.443890340754</v>
      </c>
      <c r="H467">
        <v>0.06</v>
      </c>
      <c r="I467" t="s">
        <v>244</v>
      </c>
      <c r="J467" s="5">
        <v>44916.594524409724</v>
      </c>
      <c r="K467" s="5">
        <v>44918.189048819448</v>
      </c>
      <c r="M467">
        <f t="shared" si="15"/>
        <v>10029727386</v>
      </c>
      <c r="N467">
        <f ca="1">IF(M467&lt;&gt;M466,INDEX(CustInfo!$A$2:$A$1001,RANDBETWEEN(1,1000)),N466)</f>
        <v>11826</v>
      </c>
      <c r="O467" t="s">
        <v>1003</v>
      </c>
      <c r="P467">
        <v>52936601</v>
      </c>
    </row>
    <row r="468" spans="1:16" x14ac:dyDescent="0.35">
      <c r="A468">
        <v>93827212156</v>
      </c>
      <c r="C468" s="2" t="s">
        <v>883</v>
      </c>
      <c r="D468">
        <v>3</v>
      </c>
      <c r="E468">
        <v>76891213550</v>
      </c>
      <c r="F468">
        <f t="shared" ca="1" si="14"/>
        <v>39</v>
      </c>
      <c r="G468">
        <f ca="1">VLOOKUP(E468,PurchItem!$A$2:$H$508,8,0)</f>
        <v>8587.4277127599253</v>
      </c>
      <c r="H468">
        <v>0.06</v>
      </c>
      <c r="I468" t="s">
        <v>244</v>
      </c>
      <c r="J468" s="5">
        <v>45182.594524409724</v>
      </c>
      <c r="K468" s="5">
        <v>45184.189048819448</v>
      </c>
      <c r="M468">
        <f t="shared" si="15"/>
        <v>10029727386</v>
      </c>
      <c r="N468">
        <f ca="1">IF(M468&lt;&gt;M467,INDEX(CustInfo!$A$2:$A$1001,RANDBETWEEN(1,1000)),N467)</f>
        <v>11826</v>
      </c>
      <c r="O468" t="s">
        <v>1003</v>
      </c>
      <c r="P468">
        <v>52936602</v>
      </c>
    </row>
    <row r="469" spans="1:16" x14ac:dyDescent="0.35">
      <c r="A469">
        <v>93827212157</v>
      </c>
      <c r="C469" s="2" t="s">
        <v>883</v>
      </c>
      <c r="D469">
        <v>1</v>
      </c>
      <c r="E469">
        <v>76891213434</v>
      </c>
      <c r="F469">
        <f t="shared" ca="1" si="14"/>
        <v>24</v>
      </c>
      <c r="G469">
        <f ca="1">VLOOKUP(E469,PurchItem!$A$2:$H$508,8,0)</f>
        <v>1035.2793986688564</v>
      </c>
      <c r="H469">
        <v>0.05</v>
      </c>
      <c r="I469" t="s">
        <v>244</v>
      </c>
      <c r="J469" s="5">
        <v>44592.594524409724</v>
      </c>
      <c r="K469" s="5">
        <v>44593.189048819448</v>
      </c>
      <c r="M469">
        <f t="shared" si="15"/>
        <v>10029727387</v>
      </c>
      <c r="N469">
        <f ca="1">IF(M469&lt;&gt;M468,INDEX(CustInfo!$A$2:$A$1001,RANDBETWEEN(1,1000)),N468)</f>
        <v>11527</v>
      </c>
      <c r="O469" t="s">
        <v>1002</v>
      </c>
      <c r="P469">
        <v>52936603</v>
      </c>
    </row>
    <row r="470" spans="1:16" x14ac:dyDescent="0.35">
      <c r="A470">
        <v>93827212157</v>
      </c>
      <c r="C470" s="2" t="s">
        <v>883</v>
      </c>
      <c r="D470">
        <v>2</v>
      </c>
      <c r="E470">
        <v>76891213237</v>
      </c>
      <c r="F470">
        <f t="shared" ca="1" si="14"/>
        <v>10</v>
      </c>
      <c r="G470">
        <f ca="1">VLOOKUP(E470,PurchItem!$A$2:$H$508,8,0)</f>
        <v>1912.5089900234684</v>
      </c>
      <c r="H470">
        <v>0.05</v>
      </c>
      <c r="I470" t="s">
        <v>244</v>
      </c>
      <c r="J470" s="5">
        <v>45381.594524409724</v>
      </c>
      <c r="K470" s="5">
        <v>45383.189048819448</v>
      </c>
      <c r="M470">
        <f t="shared" si="15"/>
        <v>10029727387</v>
      </c>
      <c r="N470">
        <f ca="1">IF(M470&lt;&gt;M469,INDEX(CustInfo!$A$2:$A$1001,RANDBETWEEN(1,1000)),N469)</f>
        <v>11527</v>
      </c>
      <c r="O470" t="s">
        <v>1002</v>
      </c>
      <c r="P470">
        <v>52936604</v>
      </c>
    </row>
    <row r="471" spans="1:16" x14ac:dyDescent="0.35">
      <c r="A471">
        <v>93827212158</v>
      </c>
      <c r="C471" s="2" t="s">
        <v>883</v>
      </c>
      <c r="D471">
        <v>1</v>
      </c>
      <c r="E471">
        <v>76891213146</v>
      </c>
      <c r="F471">
        <f t="shared" ca="1" si="14"/>
        <v>95</v>
      </c>
      <c r="G471">
        <f ca="1">VLOOKUP(E471,PurchItem!$A$2:$H$508,8,0)</f>
        <v>5461.8260857472496</v>
      </c>
      <c r="H471">
        <v>0.04</v>
      </c>
      <c r="I471" t="s">
        <v>244</v>
      </c>
      <c r="J471" s="5">
        <v>45399.594524409724</v>
      </c>
      <c r="K471" s="5">
        <v>45400.189048819448</v>
      </c>
      <c r="M471">
        <f t="shared" si="15"/>
        <v>10029727388</v>
      </c>
      <c r="N471">
        <f ca="1">IF(M471&lt;&gt;M470,INDEX(CustInfo!$A$2:$A$1001,RANDBETWEEN(1,1000)),N470)</f>
        <v>11111</v>
      </c>
      <c r="O471" t="s">
        <v>1003</v>
      </c>
      <c r="P471">
        <v>52936605</v>
      </c>
    </row>
    <row r="472" spans="1:16" x14ac:dyDescent="0.35">
      <c r="A472">
        <v>93827212158</v>
      </c>
      <c r="C472" s="2" t="s">
        <v>883</v>
      </c>
      <c r="D472">
        <v>2</v>
      </c>
      <c r="E472">
        <v>76891213184</v>
      </c>
      <c r="F472">
        <f t="shared" ca="1" si="14"/>
        <v>39</v>
      </c>
      <c r="G472">
        <f ca="1">VLOOKUP(E472,PurchItem!$A$2:$H$508,8,0)</f>
        <v>5805.1190284202921</v>
      </c>
      <c r="H472">
        <v>0.06</v>
      </c>
      <c r="I472" t="s">
        <v>244</v>
      </c>
      <c r="J472" s="5">
        <v>44831.594524409724</v>
      </c>
      <c r="K472" s="5">
        <v>44832.189048819448</v>
      </c>
      <c r="M472">
        <f t="shared" si="15"/>
        <v>10029727388</v>
      </c>
      <c r="N472">
        <f ca="1">IF(M472&lt;&gt;M471,INDEX(CustInfo!$A$2:$A$1001,RANDBETWEEN(1,1000)),N471)</f>
        <v>11111</v>
      </c>
      <c r="O472" t="s">
        <v>1003</v>
      </c>
      <c r="P472">
        <v>52936606</v>
      </c>
    </row>
    <row r="473" spans="1:16" x14ac:dyDescent="0.35">
      <c r="A473">
        <v>93827212159</v>
      </c>
      <c r="C473" s="2" t="s">
        <v>883</v>
      </c>
      <c r="D473">
        <v>1</v>
      </c>
      <c r="E473">
        <v>76891213244</v>
      </c>
      <c r="F473">
        <f t="shared" ca="1" si="14"/>
        <v>58</v>
      </c>
      <c r="G473">
        <f ca="1">VLOOKUP(E473,PurchItem!$A$2:$H$508,8,0)</f>
        <v>888.41330492322379</v>
      </c>
      <c r="H473">
        <v>0.04</v>
      </c>
      <c r="I473" t="s">
        <v>244</v>
      </c>
      <c r="J473" s="5">
        <v>44896.594524409724</v>
      </c>
      <c r="K473" s="5">
        <v>44899.189048819448</v>
      </c>
      <c r="M473">
        <f t="shared" si="15"/>
        <v>10029727389</v>
      </c>
      <c r="N473">
        <f ca="1">IF(M473&lt;&gt;M472,INDEX(CustInfo!$A$2:$A$1001,RANDBETWEEN(1,1000)),N472)</f>
        <v>11601</v>
      </c>
      <c r="O473" t="s">
        <v>1001</v>
      </c>
      <c r="P473">
        <v>52936607</v>
      </c>
    </row>
    <row r="474" spans="1:16" x14ac:dyDescent="0.35">
      <c r="A474">
        <v>93827212159</v>
      </c>
      <c r="C474" s="2" t="s">
        <v>883</v>
      </c>
      <c r="D474">
        <v>2</v>
      </c>
      <c r="E474">
        <v>76891213223</v>
      </c>
      <c r="F474">
        <f t="shared" ca="1" si="14"/>
        <v>64</v>
      </c>
      <c r="G474">
        <f ca="1">VLOOKUP(E474,PurchItem!$A$2:$H$508,8,0)</f>
        <v>9143.6020748149404</v>
      </c>
      <c r="H474">
        <v>0.04</v>
      </c>
      <c r="I474" t="s">
        <v>244</v>
      </c>
      <c r="J474" s="5">
        <v>44721.594524409724</v>
      </c>
      <c r="K474" s="5">
        <v>44724.189048819448</v>
      </c>
      <c r="M474">
        <f t="shared" si="15"/>
        <v>10029727389</v>
      </c>
      <c r="N474">
        <f ca="1">IF(M474&lt;&gt;M473,INDEX(CustInfo!$A$2:$A$1001,RANDBETWEEN(1,1000)),N473)</f>
        <v>11601</v>
      </c>
      <c r="O474" t="s">
        <v>1001</v>
      </c>
      <c r="P474">
        <v>52936608</v>
      </c>
    </row>
    <row r="475" spans="1:16" x14ac:dyDescent="0.35">
      <c r="A475">
        <v>93827212159</v>
      </c>
      <c r="C475" s="2" t="s">
        <v>883</v>
      </c>
      <c r="D475">
        <v>3</v>
      </c>
      <c r="E475">
        <v>76891213494</v>
      </c>
      <c r="F475">
        <f t="shared" ca="1" si="14"/>
        <v>96</v>
      </c>
      <c r="G475">
        <f ca="1">VLOOKUP(E475,PurchItem!$A$2:$H$508,8,0)</f>
        <v>4466.6672855124061</v>
      </c>
      <c r="H475">
        <v>0.06</v>
      </c>
      <c r="I475" t="s">
        <v>244</v>
      </c>
      <c r="J475" s="5">
        <v>44971.594524409724</v>
      </c>
      <c r="K475" s="5">
        <v>44975.189048819448</v>
      </c>
      <c r="M475">
        <f t="shared" si="15"/>
        <v>10029727389</v>
      </c>
      <c r="N475">
        <f ca="1">IF(M475&lt;&gt;M474,INDEX(CustInfo!$A$2:$A$1001,RANDBETWEEN(1,1000)),N474)</f>
        <v>11601</v>
      </c>
      <c r="O475" t="s">
        <v>1001</v>
      </c>
      <c r="P475">
        <v>52936609</v>
      </c>
    </row>
    <row r="476" spans="1:16" x14ac:dyDescent="0.35">
      <c r="A476">
        <v>93827212160</v>
      </c>
      <c r="C476" s="2" t="s">
        <v>883</v>
      </c>
      <c r="D476">
        <v>1</v>
      </c>
      <c r="E476">
        <v>76891213328</v>
      </c>
      <c r="F476">
        <f t="shared" ca="1" si="14"/>
        <v>48</v>
      </c>
      <c r="G476">
        <f ca="1">VLOOKUP(E476,PurchItem!$A$2:$H$508,8,0)</f>
        <v>8932.3921588224312</v>
      </c>
      <c r="H476">
        <v>0.04</v>
      </c>
      <c r="I476" t="s">
        <v>244</v>
      </c>
      <c r="J476" s="5">
        <v>45236.594524409724</v>
      </c>
      <c r="K476" s="5">
        <v>45238.189048819448</v>
      </c>
      <c r="M476">
        <f t="shared" si="15"/>
        <v>10029727390</v>
      </c>
      <c r="N476">
        <f ca="1">IF(M476&lt;&gt;M475,INDEX(CustInfo!$A$2:$A$1001,RANDBETWEEN(1,1000)),N475)</f>
        <v>11545</v>
      </c>
      <c r="O476" t="s">
        <v>1003</v>
      </c>
      <c r="P476">
        <v>52936610</v>
      </c>
    </row>
    <row r="477" spans="1:16" x14ac:dyDescent="0.35">
      <c r="A477">
        <v>93827212160</v>
      </c>
      <c r="C477" s="2" t="s">
        <v>883</v>
      </c>
      <c r="D477">
        <v>2</v>
      </c>
      <c r="E477">
        <v>76891213461</v>
      </c>
      <c r="F477">
        <f t="shared" ca="1" si="14"/>
        <v>70</v>
      </c>
      <c r="G477">
        <f ca="1">VLOOKUP(E477,PurchItem!$A$2:$H$508,8,0)</f>
        <v>9741.5601221964425</v>
      </c>
      <c r="H477">
        <v>0.05</v>
      </c>
      <c r="I477" t="s">
        <v>244</v>
      </c>
      <c r="J477" s="5">
        <v>44867.594524409724</v>
      </c>
      <c r="K477" s="5">
        <v>44870.189048819448</v>
      </c>
      <c r="M477">
        <f t="shared" si="15"/>
        <v>10029727390</v>
      </c>
      <c r="N477">
        <f ca="1">IF(M477&lt;&gt;M476,INDEX(CustInfo!$A$2:$A$1001,RANDBETWEEN(1,1000)),N476)</f>
        <v>11545</v>
      </c>
      <c r="O477" t="s">
        <v>1003</v>
      </c>
      <c r="P477">
        <v>52936611</v>
      </c>
    </row>
    <row r="478" spans="1:16" x14ac:dyDescent="0.35">
      <c r="A478">
        <v>93827212160</v>
      </c>
      <c r="C478" s="2" t="s">
        <v>883</v>
      </c>
      <c r="D478">
        <v>3</v>
      </c>
      <c r="E478">
        <v>76891213452</v>
      </c>
      <c r="F478">
        <f t="shared" ca="1" si="14"/>
        <v>10</v>
      </c>
      <c r="G478">
        <f ca="1">VLOOKUP(E478,PurchItem!$A$2:$H$508,8,0)</f>
        <v>6346.9434428168151</v>
      </c>
      <c r="H478">
        <v>0.04</v>
      </c>
      <c r="I478" t="s">
        <v>244</v>
      </c>
      <c r="J478" s="5">
        <v>44831.594524409724</v>
      </c>
      <c r="K478" s="5">
        <v>44833.189048819448</v>
      </c>
      <c r="M478">
        <f t="shared" si="15"/>
        <v>10029727390</v>
      </c>
      <c r="N478">
        <f ca="1">IF(M478&lt;&gt;M477,INDEX(CustInfo!$A$2:$A$1001,RANDBETWEEN(1,1000)),N477)</f>
        <v>11545</v>
      </c>
      <c r="O478" t="s">
        <v>1003</v>
      </c>
      <c r="P478">
        <v>52936612</v>
      </c>
    </row>
    <row r="479" spans="1:16" x14ac:dyDescent="0.35">
      <c r="A479">
        <v>93827212160</v>
      </c>
      <c r="C479" s="2" t="s">
        <v>883</v>
      </c>
      <c r="D479">
        <v>4</v>
      </c>
      <c r="E479">
        <v>76891213539</v>
      </c>
      <c r="F479">
        <f t="shared" ca="1" si="14"/>
        <v>9</v>
      </c>
      <c r="G479">
        <f ca="1">VLOOKUP(E479,PurchItem!$A$2:$H$508,8,0)</f>
        <v>2018.0212140707813</v>
      </c>
      <c r="H479">
        <v>0.06</v>
      </c>
      <c r="I479" t="s">
        <v>244</v>
      </c>
      <c r="J479" s="5">
        <v>44871.594524409724</v>
      </c>
      <c r="K479" s="5">
        <v>44875.189048819448</v>
      </c>
      <c r="M479">
        <f t="shared" si="15"/>
        <v>10029727390</v>
      </c>
      <c r="N479">
        <f ca="1">IF(M479&lt;&gt;M478,INDEX(CustInfo!$A$2:$A$1001,RANDBETWEEN(1,1000)),N478)</f>
        <v>11545</v>
      </c>
      <c r="O479" t="s">
        <v>1003</v>
      </c>
      <c r="P479">
        <v>52936613</v>
      </c>
    </row>
    <row r="480" spans="1:16" x14ac:dyDescent="0.35">
      <c r="A480">
        <v>93827212161</v>
      </c>
      <c r="C480" s="2" t="s">
        <v>883</v>
      </c>
      <c r="D480">
        <v>1</v>
      </c>
      <c r="E480">
        <v>76891213572</v>
      </c>
      <c r="F480">
        <f t="shared" ca="1" si="14"/>
        <v>37</v>
      </c>
      <c r="G480">
        <f ca="1">VLOOKUP(E480,PurchItem!$A$2:$H$508,8,0)</f>
        <v>8369.1775258535399</v>
      </c>
      <c r="H480">
        <v>0.05</v>
      </c>
      <c r="I480" t="s">
        <v>244</v>
      </c>
      <c r="J480" s="5">
        <v>45318.594524409724</v>
      </c>
      <c r="K480" s="5">
        <v>45321.189048819448</v>
      </c>
      <c r="M480">
        <f t="shared" si="15"/>
        <v>10029727391</v>
      </c>
      <c r="N480">
        <f ca="1">IF(M480&lt;&gt;M479,INDEX(CustInfo!$A$2:$A$1001,RANDBETWEEN(1,1000)),N479)</f>
        <v>11045</v>
      </c>
      <c r="O480" t="s">
        <v>1003</v>
      </c>
      <c r="P480">
        <v>52936614</v>
      </c>
    </row>
    <row r="481" spans="1:16" x14ac:dyDescent="0.35">
      <c r="A481">
        <v>93827212161</v>
      </c>
      <c r="C481" s="2" t="s">
        <v>883</v>
      </c>
      <c r="D481">
        <v>2</v>
      </c>
      <c r="E481">
        <v>76891213311</v>
      </c>
      <c r="F481">
        <f t="shared" ca="1" si="14"/>
        <v>65</v>
      </c>
      <c r="G481">
        <f ca="1">VLOOKUP(E481,PurchItem!$A$2:$H$508,8,0)</f>
        <v>6621.6992314843292</v>
      </c>
      <c r="H481">
        <v>0.05</v>
      </c>
      <c r="I481" t="s">
        <v>244</v>
      </c>
      <c r="J481" s="5">
        <v>45061.594524409724</v>
      </c>
      <c r="K481" s="5">
        <v>45065.189048819448</v>
      </c>
      <c r="M481">
        <f t="shared" si="15"/>
        <v>10029727391</v>
      </c>
      <c r="N481">
        <f ca="1">IF(M481&lt;&gt;M480,INDEX(CustInfo!$A$2:$A$1001,RANDBETWEEN(1,1000)),N480)</f>
        <v>11045</v>
      </c>
      <c r="O481" t="s">
        <v>1003</v>
      </c>
      <c r="P481">
        <v>52936615</v>
      </c>
    </row>
    <row r="482" spans="1:16" x14ac:dyDescent="0.35">
      <c r="A482">
        <v>93827212161</v>
      </c>
      <c r="C482" s="2" t="s">
        <v>883</v>
      </c>
      <c r="D482">
        <v>3</v>
      </c>
      <c r="E482">
        <v>76891213464</v>
      </c>
      <c r="F482">
        <f t="shared" ca="1" si="14"/>
        <v>78</v>
      </c>
      <c r="G482">
        <f ca="1">VLOOKUP(E482,PurchItem!$A$2:$H$508,8,0)</f>
        <v>3775.443890340754</v>
      </c>
      <c r="H482">
        <v>0.06</v>
      </c>
      <c r="I482" t="s">
        <v>244</v>
      </c>
      <c r="J482" s="5">
        <v>45298.594524409724</v>
      </c>
      <c r="K482" s="5">
        <v>45302.189048819448</v>
      </c>
      <c r="M482">
        <f t="shared" si="15"/>
        <v>10029727391</v>
      </c>
      <c r="N482">
        <f ca="1">IF(M482&lt;&gt;M481,INDEX(CustInfo!$A$2:$A$1001,RANDBETWEEN(1,1000)),N481)</f>
        <v>11045</v>
      </c>
      <c r="O482" t="s">
        <v>1003</v>
      </c>
      <c r="P482">
        <v>52936616</v>
      </c>
    </row>
    <row r="483" spans="1:16" x14ac:dyDescent="0.35">
      <c r="A483">
        <v>93827212162</v>
      </c>
      <c r="C483" s="2" t="s">
        <v>883</v>
      </c>
      <c r="D483">
        <v>1</v>
      </c>
      <c r="E483">
        <v>76891213332</v>
      </c>
      <c r="F483">
        <f t="shared" ca="1" si="14"/>
        <v>35</v>
      </c>
      <c r="G483">
        <f ca="1">VLOOKUP(E483,PurchItem!$A$2:$H$508,8,0)</f>
        <v>5811.6103447390888</v>
      </c>
      <c r="H483">
        <v>0.04</v>
      </c>
      <c r="I483" t="s">
        <v>244</v>
      </c>
      <c r="J483" s="5">
        <v>44647.594524409724</v>
      </c>
      <c r="K483" s="5">
        <v>44651.189048819448</v>
      </c>
      <c r="M483">
        <f t="shared" si="15"/>
        <v>10029727392</v>
      </c>
      <c r="N483">
        <f ca="1">IF(M483&lt;&gt;M482,INDEX(CustInfo!$A$2:$A$1001,RANDBETWEEN(1,1000)),N482)</f>
        <v>11672</v>
      </c>
      <c r="O483" t="s">
        <v>1002</v>
      </c>
      <c r="P483">
        <v>52936617</v>
      </c>
    </row>
    <row r="484" spans="1:16" x14ac:dyDescent="0.35">
      <c r="A484">
        <v>93827212162</v>
      </c>
      <c r="C484" s="2" t="s">
        <v>883</v>
      </c>
      <c r="D484">
        <v>2</v>
      </c>
      <c r="E484">
        <v>76891213288</v>
      </c>
      <c r="F484">
        <f t="shared" ca="1" si="14"/>
        <v>14</v>
      </c>
      <c r="G484">
        <f ca="1">VLOOKUP(E484,PurchItem!$A$2:$H$508,8,0)</f>
        <v>6634.5213683580823</v>
      </c>
      <c r="H484">
        <v>0.05</v>
      </c>
      <c r="I484" t="s">
        <v>244</v>
      </c>
      <c r="J484" s="5">
        <v>44618.594524409724</v>
      </c>
      <c r="K484" s="5">
        <v>44622.189048819448</v>
      </c>
      <c r="M484">
        <f t="shared" si="15"/>
        <v>10029727392</v>
      </c>
      <c r="N484">
        <f ca="1">IF(M484&lt;&gt;M483,INDEX(CustInfo!$A$2:$A$1001,RANDBETWEEN(1,1000)),N483)</f>
        <v>11672</v>
      </c>
      <c r="O484" t="s">
        <v>1002</v>
      </c>
      <c r="P484">
        <v>52936618</v>
      </c>
    </row>
    <row r="485" spans="1:16" x14ac:dyDescent="0.35">
      <c r="A485">
        <v>93827212162</v>
      </c>
      <c r="C485" s="2" t="s">
        <v>883</v>
      </c>
      <c r="D485">
        <v>3</v>
      </c>
      <c r="E485">
        <v>76891213511</v>
      </c>
      <c r="F485">
        <f t="shared" ca="1" si="14"/>
        <v>38</v>
      </c>
      <c r="G485">
        <f ca="1">VLOOKUP(E485,PurchItem!$A$2:$H$508,8,0)</f>
        <v>6497.3010263499036</v>
      </c>
      <c r="H485">
        <v>0.05</v>
      </c>
      <c r="I485" t="s">
        <v>244</v>
      </c>
      <c r="J485" s="5">
        <v>45492.594524409724</v>
      </c>
      <c r="K485" s="5">
        <v>45495.189048819448</v>
      </c>
      <c r="M485">
        <f t="shared" si="15"/>
        <v>10029727392</v>
      </c>
      <c r="N485">
        <f ca="1">IF(M485&lt;&gt;M484,INDEX(CustInfo!$A$2:$A$1001,RANDBETWEEN(1,1000)),N484)</f>
        <v>11672</v>
      </c>
      <c r="O485" t="s">
        <v>1002</v>
      </c>
      <c r="P485">
        <v>52936619</v>
      </c>
    </row>
    <row r="486" spans="1:16" x14ac:dyDescent="0.35">
      <c r="A486">
        <v>93827212163</v>
      </c>
      <c r="C486" s="2" t="s">
        <v>883</v>
      </c>
      <c r="D486">
        <v>1</v>
      </c>
      <c r="E486">
        <v>76891213557</v>
      </c>
      <c r="F486">
        <f t="shared" ca="1" si="14"/>
        <v>5</v>
      </c>
      <c r="G486">
        <f ca="1">VLOOKUP(E486,PurchItem!$A$2:$H$508,8,0)</f>
        <v>942.60995441491764</v>
      </c>
      <c r="H486">
        <v>0.05</v>
      </c>
      <c r="I486" t="s">
        <v>244</v>
      </c>
      <c r="J486" s="5">
        <v>45345.594524409724</v>
      </c>
      <c r="K486" s="5">
        <v>45347.189048819448</v>
      </c>
      <c r="M486">
        <f t="shared" si="15"/>
        <v>10029727393</v>
      </c>
      <c r="N486">
        <f ca="1">IF(M486&lt;&gt;M485,INDEX(CustInfo!$A$2:$A$1001,RANDBETWEEN(1,1000)),N485)</f>
        <v>11792</v>
      </c>
      <c r="O486" t="s">
        <v>1002</v>
      </c>
      <c r="P486">
        <v>52936620</v>
      </c>
    </row>
    <row r="487" spans="1:16" x14ac:dyDescent="0.35">
      <c r="A487">
        <v>93827212164</v>
      </c>
      <c r="C487" s="2" t="s">
        <v>883</v>
      </c>
      <c r="D487">
        <v>1</v>
      </c>
      <c r="E487">
        <v>76891213156</v>
      </c>
      <c r="F487">
        <f t="shared" ca="1" si="14"/>
        <v>86</v>
      </c>
      <c r="G487">
        <f ca="1">VLOOKUP(E487,PurchItem!$A$2:$H$508,8,0)</f>
        <v>9558.6946346003115</v>
      </c>
      <c r="H487">
        <v>0.06</v>
      </c>
      <c r="I487" t="s">
        <v>244</v>
      </c>
      <c r="J487" s="5">
        <v>45276.594524409724</v>
      </c>
      <c r="K487" s="5">
        <v>45280.189048819448</v>
      </c>
      <c r="M487">
        <f t="shared" si="15"/>
        <v>10029727394</v>
      </c>
      <c r="N487">
        <f ca="1">IF(M487&lt;&gt;M486,INDEX(CustInfo!$A$2:$A$1001,RANDBETWEEN(1,1000)),N486)</f>
        <v>11735</v>
      </c>
      <c r="O487" t="s">
        <v>1002</v>
      </c>
      <c r="P487">
        <v>52936621</v>
      </c>
    </row>
    <row r="488" spans="1:16" x14ac:dyDescent="0.35">
      <c r="A488">
        <v>93827212165</v>
      </c>
      <c r="C488" s="2" t="s">
        <v>883</v>
      </c>
      <c r="D488">
        <v>1</v>
      </c>
      <c r="E488">
        <v>76891213162</v>
      </c>
      <c r="F488">
        <f t="shared" ca="1" si="14"/>
        <v>5</v>
      </c>
      <c r="G488">
        <f ca="1">VLOOKUP(E488,PurchItem!$A$2:$H$508,8,0)</f>
        <v>4691.9230552298568</v>
      </c>
      <c r="H488">
        <v>0.06</v>
      </c>
      <c r="I488" t="s">
        <v>244</v>
      </c>
      <c r="J488" s="5">
        <v>45482.594524409724</v>
      </c>
      <c r="K488" s="5">
        <v>45485.189048819448</v>
      </c>
      <c r="M488">
        <f t="shared" si="15"/>
        <v>10029727395</v>
      </c>
      <c r="N488">
        <f ca="1">IF(M488&lt;&gt;M487,INDEX(CustInfo!$A$2:$A$1001,RANDBETWEEN(1,1000)),N487)</f>
        <v>11900</v>
      </c>
      <c r="O488" t="s">
        <v>1001</v>
      </c>
      <c r="P488">
        <v>52936622</v>
      </c>
    </row>
    <row r="489" spans="1:16" x14ac:dyDescent="0.35">
      <c r="A489">
        <v>93827212166</v>
      </c>
      <c r="C489" s="2" t="s">
        <v>883</v>
      </c>
      <c r="D489">
        <v>1</v>
      </c>
      <c r="E489">
        <v>76891213598</v>
      </c>
      <c r="F489">
        <f t="shared" ca="1" si="14"/>
        <v>57</v>
      </c>
      <c r="G489">
        <f ca="1">VLOOKUP(E489,PurchItem!$A$2:$H$508,8,0)</f>
        <v>3209.0538132389734</v>
      </c>
      <c r="H489">
        <v>0.05</v>
      </c>
      <c r="I489" t="s">
        <v>244</v>
      </c>
      <c r="J489" s="5">
        <v>45157.594524409724</v>
      </c>
      <c r="K489" s="5">
        <v>45160.189048819448</v>
      </c>
      <c r="M489">
        <f t="shared" si="15"/>
        <v>10029727396</v>
      </c>
      <c r="N489">
        <f ca="1">IF(M489&lt;&gt;M488,INDEX(CustInfo!$A$2:$A$1001,RANDBETWEEN(1,1000)),N488)</f>
        <v>11707</v>
      </c>
      <c r="O489" t="s">
        <v>1002</v>
      </c>
      <c r="P489">
        <v>52936623</v>
      </c>
    </row>
    <row r="490" spans="1:16" x14ac:dyDescent="0.35">
      <c r="A490">
        <v>93827212166</v>
      </c>
      <c r="C490" s="2" t="s">
        <v>883</v>
      </c>
      <c r="D490">
        <v>2</v>
      </c>
      <c r="E490">
        <v>76891213313</v>
      </c>
      <c r="F490">
        <f t="shared" ca="1" si="14"/>
        <v>100</v>
      </c>
      <c r="G490">
        <f ca="1">VLOOKUP(E490,PurchItem!$A$2:$H$508,8,0)</f>
        <v>5342.3019107040554</v>
      </c>
      <c r="H490">
        <v>0.06</v>
      </c>
      <c r="I490" t="s">
        <v>244</v>
      </c>
      <c r="J490" s="5">
        <v>45272.594524409724</v>
      </c>
      <c r="K490" s="5">
        <v>45274.189048819448</v>
      </c>
      <c r="M490">
        <f t="shared" si="15"/>
        <v>10029727396</v>
      </c>
      <c r="N490">
        <f ca="1">IF(M490&lt;&gt;M489,INDEX(CustInfo!$A$2:$A$1001,RANDBETWEEN(1,1000)),N489)</f>
        <v>11707</v>
      </c>
      <c r="O490" t="s">
        <v>1002</v>
      </c>
      <c r="P490">
        <v>52936624</v>
      </c>
    </row>
    <row r="491" spans="1:16" x14ac:dyDescent="0.35">
      <c r="A491">
        <v>93827212167</v>
      </c>
      <c r="C491" s="2" t="s">
        <v>883</v>
      </c>
      <c r="D491">
        <v>1</v>
      </c>
      <c r="E491">
        <v>76891213640</v>
      </c>
      <c r="F491">
        <f t="shared" ca="1" si="14"/>
        <v>42</v>
      </c>
      <c r="G491">
        <f ca="1">VLOOKUP(E491,PurchItem!$A$2:$H$508,8,0)</f>
        <v>2958.2589954516907</v>
      </c>
      <c r="H491">
        <v>0.06</v>
      </c>
      <c r="I491" t="s">
        <v>244</v>
      </c>
      <c r="J491" s="5">
        <v>44826.594524409724</v>
      </c>
      <c r="K491" s="5">
        <v>44828.189048819448</v>
      </c>
      <c r="M491">
        <f t="shared" si="15"/>
        <v>10029727397</v>
      </c>
      <c r="N491">
        <f ca="1">IF(M491&lt;&gt;M490,INDEX(CustInfo!$A$2:$A$1001,RANDBETWEEN(1,1000)),N490)</f>
        <v>11439</v>
      </c>
      <c r="O491" t="s">
        <v>1003</v>
      </c>
      <c r="P491">
        <v>52936625</v>
      </c>
    </row>
    <row r="492" spans="1:16" x14ac:dyDescent="0.35">
      <c r="A492">
        <v>93827212167</v>
      </c>
      <c r="C492" s="2" t="s">
        <v>883</v>
      </c>
      <c r="D492">
        <v>2</v>
      </c>
      <c r="E492">
        <v>76891213554</v>
      </c>
      <c r="F492">
        <f t="shared" ca="1" si="14"/>
        <v>12</v>
      </c>
      <c r="G492">
        <f ca="1">VLOOKUP(E492,PurchItem!$A$2:$H$508,8,0)</f>
        <v>951.21890056653785</v>
      </c>
      <c r="H492">
        <v>0.05</v>
      </c>
      <c r="I492" t="s">
        <v>244</v>
      </c>
      <c r="J492" s="5">
        <v>45469.594524409724</v>
      </c>
      <c r="K492" s="5">
        <v>45470.189048819448</v>
      </c>
      <c r="M492">
        <f t="shared" si="15"/>
        <v>10029727397</v>
      </c>
      <c r="N492">
        <f ca="1">IF(M492&lt;&gt;M491,INDEX(CustInfo!$A$2:$A$1001,RANDBETWEEN(1,1000)),N491)</f>
        <v>11439</v>
      </c>
      <c r="O492" t="s">
        <v>1003</v>
      </c>
      <c r="P492">
        <v>52936626</v>
      </c>
    </row>
    <row r="493" spans="1:16" x14ac:dyDescent="0.35">
      <c r="A493">
        <v>93827212167</v>
      </c>
      <c r="C493" s="2" t="s">
        <v>883</v>
      </c>
      <c r="D493">
        <v>3</v>
      </c>
      <c r="E493">
        <v>76891213268</v>
      </c>
      <c r="F493">
        <f t="shared" ca="1" si="14"/>
        <v>89</v>
      </c>
      <c r="G493">
        <f ca="1">VLOOKUP(E493,PurchItem!$A$2:$H$508,8,0)</f>
        <v>3438.1492682800576</v>
      </c>
      <c r="H493">
        <v>0.06</v>
      </c>
      <c r="I493" t="s">
        <v>244</v>
      </c>
      <c r="J493" s="5">
        <v>45028.594524409724</v>
      </c>
      <c r="K493" s="5">
        <v>45030.189048819448</v>
      </c>
      <c r="M493">
        <f t="shared" si="15"/>
        <v>10029727397</v>
      </c>
      <c r="N493">
        <f ca="1">IF(M493&lt;&gt;M492,INDEX(CustInfo!$A$2:$A$1001,RANDBETWEEN(1,1000)),N492)</f>
        <v>11439</v>
      </c>
      <c r="O493" t="s">
        <v>1003</v>
      </c>
      <c r="P493">
        <v>52936627</v>
      </c>
    </row>
    <row r="494" spans="1:16" x14ac:dyDescent="0.35">
      <c r="A494">
        <v>93827212168</v>
      </c>
      <c r="C494" s="2" t="s">
        <v>883</v>
      </c>
      <c r="D494">
        <v>1</v>
      </c>
      <c r="E494">
        <v>76891213151</v>
      </c>
      <c r="F494">
        <f t="shared" ca="1" si="14"/>
        <v>47</v>
      </c>
      <c r="G494">
        <f ca="1">VLOOKUP(E494,PurchItem!$A$2:$H$508,8,0)</f>
        <v>6578.9489505152096</v>
      </c>
      <c r="H494">
        <v>0.05</v>
      </c>
      <c r="I494" t="s">
        <v>244</v>
      </c>
      <c r="J494" s="5">
        <v>44576.594524409724</v>
      </c>
      <c r="K494" s="5">
        <v>44579.189048819448</v>
      </c>
      <c r="M494">
        <f t="shared" si="15"/>
        <v>10029727398</v>
      </c>
      <c r="N494">
        <f ca="1">IF(M494&lt;&gt;M493,INDEX(CustInfo!$A$2:$A$1001,RANDBETWEEN(1,1000)),N493)</f>
        <v>11160</v>
      </c>
      <c r="O494" t="s">
        <v>1002</v>
      </c>
      <c r="P494">
        <v>52936628</v>
      </c>
    </row>
    <row r="495" spans="1:16" x14ac:dyDescent="0.35">
      <c r="A495">
        <v>93827212168</v>
      </c>
      <c r="C495" s="2" t="s">
        <v>883</v>
      </c>
      <c r="D495">
        <v>2</v>
      </c>
      <c r="E495">
        <v>76891213302</v>
      </c>
      <c r="F495">
        <f t="shared" ca="1" si="14"/>
        <v>36</v>
      </c>
      <c r="G495">
        <f ca="1">VLOOKUP(E495,PurchItem!$A$2:$H$508,8,0)</f>
        <v>854.8584191118091</v>
      </c>
      <c r="H495">
        <v>0.04</v>
      </c>
      <c r="I495" t="s">
        <v>244</v>
      </c>
      <c r="J495" s="5">
        <v>44745.594524409724</v>
      </c>
      <c r="K495" s="5">
        <v>44749.189048819448</v>
      </c>
      <c r="M495">
        <f t="shared" si="15"/>
        <v>10029727398</v>
      </c>
      <c r="N495">
        <f ca="1">IF(M495&lt;&gt;M494,INDEX(CustInfo!$A$2:$A$1001,RANDBETWEEN(1,1000)),N494)</f>
        <v>11160</v>
      </c>
      <c r="O495" t="s">
        <v>1002</v>
      </c>
      <c r="P495">
        <v>52936629</v>
      </c>
    </row>
    <row r="496" spans="1:16" x14ac:dyDescent="0.35">
      <c r="A496">
        <v>93827212168</v>
      </c>
      <c r="C496" s="2" t="s">
        <v>883</v>
      </c>
      <c r="D496">
        <v>3</v>
      </c>
      <c r="E496">
        <v>76891213525</v>
      </c>
      <c r="F496">
        <f t="shared" ca="1" si="14"/>
        <v>65</v>
      </c>
      <c r="G496">
        <f ca="1">VLOOKUP(E496,PurchItem!$A$2:$H$508,8,0)</f>
        <v>2407.0786181550084</v>
      </c>
      <c r="H496">
        <v>0.04</v>
      </c>
      <c r="I496" t="s">
        <v>244</v>
      </c>
      <c r="J496" s="5">
        <v>44902.594524409724</v>
      </c>
      <c r="K496" s="5">
        <v>44903.189048819448</v>
      </c>
      <c r="M496">
        <f t="shared" si="15"/>
        <v>10029727398</v>
      </c>
      <c r="N496">
        <f ca="1">IF(M496&lt;&gt;M495,INDEX(CustInfo!$A$2:$A$1001,RANDBETWEEN(1,1000)),N495)</f>
        <v>11160</v>
      </c>
      <c r="O496" t="s">
        <v>1002</v>
      </c>
      <c r="P496">
        <v>52936630</v>
      </c>
    </row>
    <row r="497" spans="1:16" x14ac:dyDescent="0.35">
      <c r="A497">
        <v>93827212168</v>
      </c>
      <c r="C497" s="2" t="s">
        <v>883</v>
      </c>
      <c r="D497">
        <v>4</v>
      </c>
      <c r="E497">
        <v>76891213189</v>
      </c>
      <c r="F497">
        <f t="shared" ca="1" si="14"/>
        <v>62</v>
      </c>
      <c r="G497">
        <f ca="1">VLOOKUP(E497,PurchItem!$A$2:$H$508,8,0)</f>
        <v>5776.9207620859061</v>
      </c>
      <c r="H497">
        <v>0.05</v>
      </c>
      <c r="I497" t="s">
        <v>244</v>
      </c>
      <c r="J497" s="5">
        <v>45140.594524409724</v>
      </c>
      <c r="K497" s="5">
        <v>45141.189048819448</v>
      </c>
      <c r="M497">
        <f t="shared" si="15"/>
        <v>10029727398</v>
      </c>
      <c r="N497">
        <f ca="1">IF(M497&lt;&gt;M496,INDEX(CustInfo!$A$2:$A$1001,RANDBETWEEN(1,1000)),N496)</f>
        <v>11160</v>
      </c>
      <c r="O497" t="s">
        <v>1002</v>
      </c>
      <c r="P497">
        <v>52936631</v>
      </c>
    </row>
    <row r="498" spans="1:16" x14ac:dyDescent="0.35">
      <c r="A498">
        <v>93827212169</v>
      </c>
      <c r="C498" s="2" t="s">
        <v>883</v>
      </c>
      <c r="D498">
        <v>1</v>
      </c>
      <c r="E498">
        <v>76891213552</v>
      </c>
      <c r="F498">
        <f t="shared" ca="1" si="14"/>
        <v>22</v>
      </c>
      <c r="G498">
        <f ca="1">VLOOKUP(E498,PurchItem!$A$2:$H$508,8,0)</f>
        <v>1307.476350595766</v>
      </c>
      <c r="H498">
        <v>0.04</v>
      </c>
      <c r="I498" t="s">
        <v>244</v>
      </c>
      <c r="J498" s="5">
        <v>44567.594524409724</v>
      </c>
      <c r="K498" s="5">
        <v>44571.189048819448</v>
      </c>
      <c r="M498">
        <f t="shared" si="15"/>
        <v>10029727399</v>
      </c>
      <c r="N498">
        <f ca="1">IF(M498&lt;&gt;M497,INDEX(CustInfo!$A$2:$A$1001,RANDBETWEEN(1,1000)),N497)</f>
        <v>11878</v>
      </c>
      <c r="O498" t="s">
        <v>1003</v>
      </c>
      <c r="P498">
        <v>52936632</v>
      </c>
    </row>
    <row r="499" spans="1:16" x14ac:dyDescent="0.35">
      <c r="A499">
        <v>93827212170</v>
      </c>
      <c r="C499" s="2" t="s">
        <v>883</v>
      </c>
      <c r="D499">
        <v>1</v>
      </c>
      <c r="E499">
        <v>76891213600</v>
      </c>
      <c r="F499">
        <f t="shared" ca="1" si="14"/>
        <v>56</v>
      </c>
      <c r="G499">
        <f ca="1">VLOOKUP(E499,PurchItem!$A$2:$H$508,8,0)</f>
        <v>7451.9049034169639</v>
      </c>
      <c r="H499">
        <v>0.05</v>
      </c>
      <c r="I499" t="s">
        <v>244</v>
      </c>
      <c r="J499" s="5">
        <v>45321.594524409724</v>
      </c>
      <c r="K499" s="5">
        <v>45325.189048819448</v>
      </c>
      <c r="M499">
        <f t="shared" si="15"/>
        <v>10029727400</v>
      </c>
      <c r="N499">
        <f ca="1">IF(M499&lt;&gt;M498,INDEX(CustInfo!$A$2:$A$1001,RANDBETWEEN(1,1000)),N498)</f>
        <v>11369</v>
      </c>
      <c r="O499" t="s">
        <v>1002</v>
      </c>
      <c r="P499">
        <v>52936633</v>
      </c>
    </row>
    <row r="500" spans="1:16" x14ac:dyDescent="0.35">
      <c r="A500">
        <v>93827212170</v>
      </c>
      <c r="C500" s="2" t="s">
        <v>883</v>
      </c>
      <c r="D500">
        <v>2</v>
      </c>
      <c r="E500">
        <v>76891213177</v>
      </c>
      <c r="F500">
        <f t="shared" ca="1" si="14"/>
        <v>14</v>
      </c>
      <c r="G500">
        <f ca="1">VLOOKUP(E500,PurchItem!$A$2:$H$508,8,0)</f>
        <v>8523.4521661003673</v>
      </c>
      <c r="H500">
        <v>0.06</v>
      </c>
      <c r="I500" t="s">
        <v>244</v>
      </c>
      <c r="J500" s="5">
        <v>45058.594524409724</v>
      </c>
      <c r="K500" s="5">
        <v>45062.189048819448</v>
      </c>
      <c r="M500">
        <f t="shared" si="15"/>
        <v>10029727400</v>
      </c>
      <c r="N500">
        <f ca="1">IF(M500&lt;&gt;M499,INDEX(CustInfo!$A$2:$A$1001,RANDBETWEEN(1,1000)),N499)</f>
        <v>11369</v>
      </c>
      <c r="O500" t="s">
        <v>1002</v>
      </c>
      <c r="P500">
        <v>52936634</v>
      </c>
    </row>
    <row r="501" spans="1:16" x14ac:dyDescent="0.35">
      <c r="A501">
        <v>93827212170</v>
      </c>
      <c r="C501" s="2" t="s">
        <v>883</v>
      </c>
      <c r="D501">
        <v>3</v>
      </c>
      <c r="E501">
        <v>76891213500</v>
      </c>
      <c r="F501">
        <f t="shared" ca="1" si="14"/>
        <v>58</v>
      </c>
      <c r="G501">
        <f ca="1">VLOOKUP(E501,PurchItem!$A$2:$H$508,8,0)</f>
        <v>3624.8814666574617</v>
      </c>
      <c r="H501">
        <v>0.04</v>
      </c>
      <c r="I501" t="s">
        <v>244</v>
      </c>
      <c r="J501" s="5">
        <v>45542.594524409724</v>
      </c>
      <c r="K501" s="5">
        <v>45543.189048819448</v>
      </c>
      <c r="M501">
        <f t="shared" si="15"/>
        <v>10029727400</v>
      </c>
      <c r="N501">
        <f ca="1">IF(M501&lt;&gt;M500,INDEX(CustInfo!$A$2:$A$1001,RANDBETWEEN(1,1000)),N500)</f>
        <v>11369</v>
      </c>
      <c r="O501" t="s">
        <v>1002</v>
      </c>
      <c r="P501">
        <v>52936635</v>
      </c>
    </row>
    <row r="502" spans="1:16" x14ac:dyDescent="0.35">
      <c r="A502">
        <v>93827212171</v>
      </c>
      <c r="C502" s="2" t="s">
        <v>883</v>
      </c>
      <c r="D502">
        <v>1</v>
      </c>
      <c r="E502">
        <v>76891213166</v>
      </c>
      <c r="F502">
        <f t="shared" ca="1" si="14"/>
        <v>80</v>
      </c>
      <c r="G502">
        <f ca="1">VLOOKUP(E502,PurchItem!$A$2:$H$508,8,0)</f>
        <v>8772.6347437385975</v>
      </c>
      <c r="H502">
        <v>0.06</v>
      </c>
      <c r="I502" t="s">
        <v>244</v>
      </c>
      <c r="J502" s="5">
        <v>45195.594524409724</v>
      </c>
      <c r="K502" s="5">
        <v>45199.189048819448</v>
      </c>
      <c r="M502">
        <f t="shared" si="15"/>
        <v>10029727401</v>
      </c>
      <c r="N502">
        <f ca="1">IF(M502&lt;&gt;M501,INDEX(CustInfo!$A$2:$A$1001,RANDBETWEEN(1,1000)),N501)</f>
        <v>11396</v>
      </c>
      <c r="O502" t="s">
        <v>1002</v>
      </c>
      <c r="P502">
        <v>52936636</v>
      </c>
    </row>
    <row r="503" spans="1:16" x14ac:dyDescent="0.35">
      <c r="A503">
        <v>93827212171</v>
      </c>
      <c r="C503" s="2" t="s">
        <v>883</v>
      </c>
      <c r="D503">
        <v>2</v>
      </c>
      <c r="E503">
        <v>76891213279</v>
      </c>
      <c r="F503">
        <f t="shared" ca="1" si="14"/>
        <v>31</v>
      </c>
      <c r="G503">
        <f ca="1">VLOOKUP(E503,PurchItem!$A$2:$H$508,8,0)</f>
        <v>4031.2930953409268</v>
      </c>
      <c r="H503">
        <v>0.05</v>
      </c>
      <c r="I503" t="s">
        <v>244</v>
      </c>
      <c r="J503" s="5">
        <v>45236.594524409724</v>
      </c>
      <c r="K503" s="5">
        <v>45238.189048819448</v>
      </c>
      <c r="M503">
        <f t="shared" si="15"/>
        <v>10029727401</v>
      </c>
      <c r="N503">
        <f ca="1">IF(M503&lt;&gt;M502,INDEX(CustInfo!$A$2:$A$1001,RANDBETWEEN(1,1000)),N502)</f>
        <v>11396</v>
      </c>
      <c r="O503" t="s">
        <v>1002</v>
      </c>
      <c r="P503">
        <v>52936637</v>
      </c>
    </row>
    <row r="504" spans="1:16" x14ac:dyDescent="0.35">
      <c r="A504">
        <v>93827212171</v>
      </c>
      <c r="C504" s="2" t="s">
        <v>883</v>
      </c>
      <c r="D504">
        <v>3</v>
      </c>
      <c r="E504">
        <v>76891213532</v>
      </c>
      <c r="F504">
        <f t="shared" ca="1" si="14"/>
        <v>60</v>
      </c>
      <c r="G504">
        <f ca="1">VLOOKUP(E504,PurchItem!$A$2:$H$508,8,0)</f>
        <v>6778.6036377104647</v>
      </c>
      <c r="H504">
        <v>0.04</v>
      </c>
      <c r="I504" t="s">
        <v>244</v>
      </c>
      <c r="J504" s="5">
        <v>44724.594524409724</v>
      </c>
      <c r="K504" s="5">
        <v>44727.189048819448</v>
      </c>
      <c r="M504">
        <f t="shared" si="15"/>
        <v>10029727401</v>
      </c>
      <c r="N504">
        <f ca="1">IF(M504&lt;&gt;M503,INDEX(CustInfo!$A$2:$A$1001,RANDBETWEEN(1,1000)),N503)</f>
        <v>11396</v>
      </c>
      <c r="O504" t="s">
        <v>1002</v>
      </c>
      <c r="P504">
        <v>52936638</v>
      </c>
    </row>
    <row r="505" spans="1:16" x14ac:dyDescent="0.35">
      <c r="A505">
        <v>93827212171</v>
      </c>
      <c r="C505" s="2" t="s">
        <v>883</v>
      </c>
      <c r="D505">
        <v>4</v>
      </c>
      <c r="E505">
        <v>76891213388</v>
      </c>
      <c r="F505">
        <f t="shared" ca="1" si="14"/>
        <v>38</v>
      </c>
      <c r="G505">
        <f ca="1">VLOOKUP(E505,PurchItem!$A$2:$H$508,8,0)</f>
        <v>1466.0763513227046</v>
      </c>
      <c r="H505">
        <v>0.06</v>
      </c>
      <c r="I505" t="s">
        <v>244</v>
      </c>
      <c r="J505" s="5">
        <v>45100.594524409724</v>
      </c>
      <c r="K505" s="5">
        <v>45102.189048819448</v>
      </c>
      <c r="M505">
        <f t="shared" si="15"/>
        <v>10029727401</v>
      </c>
      <c r="N505">
        <f ca="1">IF(M505&lt;&gt;M504,INDEX(CustInfo!$A$2:$A$1001,RANDBETWEEN(1,1000)),N504)</f>
        <v>11396</v>
      </c>
      <c r="O505" t="s">
        <v>1002</v>
      </c>
      <c r="P505">
        <v>52936639</v>
      </c>
    </row>
    <row r="506" spans="1:16" x14ac:dyDescent="0.35">
      <c r="A506">
        <v>93827212172</v>
      </c>
      <c r="C506" s="2" t="s">
        <v>883</v>
      </c>
      <c r="D506">
        <v>1</v>
      </c>
      <c r="E506">
        <v>76891213307</v>
      </c>
      <c r="F506">
        <f t="shared" ca="1" si="14"/>
        <v>1</v>
      </c>
      <c r="G506">
        <f ca="1">VLOOKUP(E506,PurchItem!$A$2:$H$508,8,0)</f>
        <v>1208.3322908082841</v>
      </c>
      <c r="H506">
        <v>0.06</v>
      </c>
      <c r="I506" t="s">
        <v>244</v>
      </c>
      <c r="J506" s="5">
        <v>45167.594524409724</v>
      </c>
      <c r="K506" s="5">
        <v>45168.189048819448</v>
      </c>
      <c r="M506">
        <f t="shared" si="15"/>
        <v>10029727402</v>
      </c>
      <c r="N506">
        <f ca="1">IF(M506&lt;&gt;M505,INDEX(CustInfo!$A$2:$A$1001,RANDBETWEEN(1,1000)),N505)</f>
        <v>11681</v>
      </c>
      <c r="O506" t="s">
        <v>1003</v>
      </c>
      <c r="P506">
        <v>52936640</v>
      </c>
    </row>
    <row r="507" spans="1:16" x14ac:dyDescent="0.35">
      <c r="A507">
        <v>93827212172</v>
      </c>
      <c r="C507" s="2" t="s">
        <v>883</v>
      </c>
      <c r="D507">
        <v>2</v>
      </c>
      <c r="E507">
        <v>76891213369</v>
      </c>
      <c r="F507">
        <f t="shared" ca="1" si="14"/>
        <v>50</v>
      </c>
      <c r="G507">
        <f ca="1">VLOOKUP(E507,PurchItem!$A$2:$H$508,8,0)</f>
        <v>6056.9121168039474</v>
      </c>
      <c r="H507">
        <v>0.05</v>
      </c>
      <c r="I507" t="s">
        <v>244</v>
      </c>
      <c r="J507" s="5">
        <v>44650.594524409724</v>
      </c>
      <c r="K507" s="5">
        <v>44654.189048819448</v>
      </c>
      <c r="M507">
        <f t="shared" si="15"/>
        <v>10029727402</v>
      </c>
      <c r="N507">
        <f ca="1">IF(M507&lt;&gt;M506,INDEX(CustInfo!$A$2:$A$1001,RANDBETWEEN(1,1000)),N506)</f>
        <v>11681</v>
      </c>
      <c r="O507" t="s">
        <v>1003</v>
      </c>
      <c r="P507">
        <v>52936641</v>
      </c>
    </row>
    <row r="508" spans="1:16" x14ac:dyDescent="0.35">
      <c r="A508">
        <v>93827212173</v>
      </c>
      <c r="C508" s="2" t="s">
        <v>883</v>
      </c>
      <c r="D508">
        <v>1</v>
      </c>
      <c r="E508">
        <v>76891213550</v>
      </c>
      <c r="F508">
        <f t="shared" ca="1" si="14"/>
        <v>95</v>
      </c>
      <c r="G508">
        <f ca="1">VLOOKUP(E508,PurchItem!$A$2:$H$508,8,0)</f>
        <v>8587.4277127599253</v>
      </c>
      <c r="H508">
        <v>0.04</v>
      </c>
      <c r="I508" t="s">
        <v>244</v>
      </c>
      <c r="J508" s="5">
        <v>44846.594524409724</v>
      </c>
      <c r="K508" s="5">
        <v>44848.189048819448</v>
      </c>
      <c r="M508">
        <f t="shared" si="15"/>
        <v>10029727403</v>
      </c>
      <c r="N508">
        <f ca="1">IF(M508&lt;&gt;M507,INDEX(CustInfo!$A$2:$A$1001,RANDBETWEEN(1,1000)),N507)</f>
        <v>11344</v>
      </c>
      <c r="O508" t="s">
        <v>1001</v>
      </c>
      <c r="P508">
        <v>52936642</v>
      </c>
    </row>
    <row r="509" spans="1:16" x14ac:dyDescent="0.35">
      <c r="A509">
        <v>93827212173</v>
      </c>
      <c r="C509" s="2" t="s">
        <v>883</v>
      </c>
      <c r="D509">
        <v>2</v>
      </c>
      <c r="E509">
        <v>76891213198</v>
      </c>
      <c r="F509">
        <f t="shared" ca="1" si="14"/>
        <v>39</v>
      </c>
      <c r="G509">
        <f ca="1">VLOOKUP(E509,PurchItem!$A$2:$H$508,8,0)</f>
        <v>137.73349163160216</v>
      </c>
      <c r="H509">
        <v>0.05</v>
      </c>
      <c r="I509" t="s">
        <v>244</v>
      </c>
      <c r="J509" s="5">
        <v>45408.594524409724</v>
      </c>
      <c r="K509" s="5">
        <v>45412.189048819448</v>
      </c>
      <c r="M509">
        <f t="shared" si="15"/>
        <v>10029727403</v>
      </c>
      <c r="N509">
        <f ca="1">IF(M509&lt;&gt;M508,INDEX(CustInfo!$A$2:$A$1001,RANDBETWEEN(1,1000)),N508)</f>
        <v>11344</v>
      </c>
      <c r="O509" t="s">
        <v>1001</v>
      </c>
      <c r="P509">
        <v>52936643</v>
      </c>
    </row>
    <row r="510" spans="1:16" x14ac:dyDescent="0.35">
      <c r="A510">
        <v>93827212173</v>
      </c>
      <c r="C510" s="2" t="s">
        <v>883</v>
      </c>
      <c r="D510">
        <v>3</v>
      </c>
      <c r="E510">
        <v>76891213337</v>
      </c>
      <c r="F510">
        <f t="shared" ca="1" si="14"/>
        <v>63</v>
      </c>
      <c r="G510">
        <f ca="1">VLOOKUP(E510,PurchItem!$A$2:$H$508,8,0)</f>
        <v>9545.3934858717184</v>
      </c>
      <c r="H510">
        <v>0.05</v>
      </c>
      <c r="I510" t="s">
        <v>244</v>
      </c>
      <c r="J510" s="5">
        <v>45171.594524409724</v>
      </c>
      <c r="K510" s="5">
        <v>45172.189048819448</v>
      </c>
      <c r="M510">
        <f t="shared" si="15"/>
        <v>10029727403</v>
      </c>
      <c r="N510">
        <f ca="1">IF(M510&lt;&gt;M509,INDEX(CustInfo!$A$2:$A$1001,RANDBETWEEN(1,1000)),N509)</f>
        <v>11344</v>
      </c>
      <c r="O510" t="s">
        <v>1001</v>
      </c>
      <c r="P510">
        <v>52936644</v>
      </c>
    </row>
    <row r="511" spans="1:16" x14ac:dyDescent="0.35">
      <c r="A511">
        <v>93827212173</v>
      </c>
      <c r="C511" s="2" t="s">
        <v>883</v>
      </c>
      <c r="D511">
        <v>4</v>
      </c>
      <c r="E511">
        <v>76891213167</v>
      </c>
      <c r="F511">
        <f t="shared" ca="1" si="14"/>
        <v>68</v>
      </c>
      <c r="G511">
        <f ca="1">VLOOKUP(E511,PurchItem!$A$2:$H$508,8,0)</f>
        <v>6078.0406975240512</v>
      </c>
      <c r="H511">
        <v>0.06</v>
      </c>
      <c r="I511" t="s">
        <v>244</v>
      </c>
      <c r="J511" s="5">
        <v>45288.594524409724</v>
      </c>
      <c r="K511" s="5">
        <v>45292.189048819448</v>
      </c>
      <c r="M511">
        <f t="shared" si="15"/>
        <v>10029727403</v>
      </c>
      <c r="N511">
        <f ca="1">IF(M511&lt;&gt;M510,INDEX(CustInfo!$A$2:$A$1001,RANDBETWEEN(1,1000)),N510)</f>
        <v>11344</v>
      </c>
      <c r="O511" t="s">
        <v>1001</v>
      </c>
      <c r="P511">
        <v>52936645</v>
      </c>
    </row>
    <row r="512" spans="1:16" x14ac:dyDescent="0.35">
      <c r="A512">
        <v>93827212174</v>
      </c>
      <c r="C512" s="2" t="s">
        <v>883</v>
      </c>
      <c r="D512">
        <v>1</v>
      </c>
      <c r="E512">
        <v>76891213236</v>
      </c>
      <c r="F512">
        <f t="shared" ca="1" si="14"/>
        <v>13</v>
      </c>
      <c r="G512">
        <f ca="1">VLOOKUP(E512,PurchItem!$A$2:$H$508,8,0)</f>
        <v>7957.9636559697883</v>
      </c>
      <c r="H512">
        <v>0.05</v>
      </c>
      <c r="I512" t="s">
        <v>244</v>
      </c>
      <c r="J512" s="5">
        <v>45431.594524409724</v>
      </c>
      <c r="K512" s="5">
        <v>45434.189048819448</v>
      </c>
      <c r="M512">
        <f t="shared" si="15"/>
        <v>10029727404</v>
      </c>
      <c r="N512">
        <f ca="1">IF(M512&lt;&gt;M511,INDEX(CustInfo!$A$2:$A$1001,RANDBETWEEN(1,1000)),N511)</f>
        <v>11859</v>
      </c>
      <c r="O512" t="s">
        <v>1003</v>
      </c>
      <c r="P512">
        <v>52936646</v>
      </c>
    </row>
    <row r="513" spans="1:16" x14ac:dyDescent="0.35">
      <c r="A513">
        <v>93827212175</v>
      </c>
      <c r="C513" s="2" t="s">
        <v>883</v>
      </c>
      <c r="D513">
        <v>1</v>
      </c>
      <c r="E513">
        <v>76891213142</v>
      </c>
      <c r="F513">
        <f t="shared" ca="1" si="14"/>
        <v>55</v>
      </c>
      <c r="G513">
        <f ca="1">VLOOKUP(E513,PurchItem!$A$2:$H$508,8,0)</f>
        <v>5034.8662105835983</v>
      </c>
      <c r="H513">
        <v>0.04</v>
      </c>
      <c r="I513" t="s">
        <v>244</v>
      </c>
      <c r="J513" s="5">
        <v>45409.594524409724</v>
      </c>
      <c r="K513" s="5">
        <v>45412.189048819448</v>
      </c>
      <c r="M513">
        <f t="shared" si="15"/>
        <v>10029727405</v>
      </c>
      <c r="N513">
        <f ca="1">IF(M513&lt;&gt;M512,INDEX(CustInfo!$A$2:$A$1001,RANDBETWEEN(1,1000)),N512)</f>
        <v>11969</v>
      </c>
      <c r="O513" t="s">
        <v>1001</v>
      </c>
      <c r="P513">
        <v>52936647</v>
      </c>
    </row>
    <row r="514" spans="1:16" x14ac:dyDescent="0.35">
      <c r="A514">
        <v>93827212175</v>
      </c>
      <c r="C514" s="2" t="s">
        <v>883</v>
      </c>
      <c r="D514">
        <v>2</v>
      </c>
      <c r="E514">
        <v>76891213518</v>
      </c>
      <c r="F514">
        <f t="shared" ca="1" si="14"/>
        <v>35</v>
      </c>
      <c r="G514">
        <f ca="1">VLOOKUP(E514,PurchItem!$A$2:$H$508,8,0)</f>
        <v>898.7544784261562</v>
      </c>
      <c r="H514">
        <v>0.04</v>
      </c>
      <c r="I514" t="s">
        <v>244</v>
      </c>
      <c r="J514" s="5">
        <f ca="1">RANDBETWEEN(DATE(2022,1,1),TODAY()-30)+$U$2</f>
        <v>45299</v>
      </c>
      <c r="K514" s="5">
        <f ca="1">J514+RANDBETWEEN(0,3)+$U$2</f>
        <v>45301</v>
      </c>
      <c r="M514">
        <f t="shared" si="15"/>
        <v>10029727405</v>
      </c>
      <c r="N514">
        <f ca="1">IF(M514&lt;&gt;M513,INDEX(CustInfo!$A$2:$A$1001,RANDBETWEEN(1,1000)),N513)</f>
        <v>11969</v>
      </c>
      <c r="O514" t="s">
        <v>1001</v>
      </c>
      <c r="P514">
        <v>52936648</v>
      </c>
    </row>
    <row r="515" spans="1:16" x14ac:dyDescent="0.35">
      <c r="A515">
        <v>93827212176</v>
      </c>
      <c r="C515" s="2" t="s">
        <v>883</v>
      </c>
      <c r="D515">
        <v>1</v>
      </c>
      <c r="E515">
        <v>76891213479</v>
      </c>
      <c r="F515">
        <f t="shared" ref="F515:F578" ca="1" si="16">RANDBETWEEN(1,100)</f>
        <v>15</v>
      </c>
      <c r="G515">
        <f ca="1">VLOOKUP(E515,PurchItem!$A$2:$H$508,8,0)</f>
        <v>6220.9089937272938</v>
      </c>
      <c r="H515">
        <v>0.06</v>
      </c>
      <c r="I515" t="s">
        <v>244</v>
      </c>
      <c r="J515" s="5">
        <v>44774.594524409724</v>
      </c>
      <c r="K515" s="5">
        <v>44776.189048819448</v>
      </c>
      <c r="M515">
        <f t="shared" si="15"/>
        <v>10029727406</v>
      </c>
      <c r="N515">
        <f ca="1">IF(M515&lt;&gt;M514,INDEX(CustInfo!$A$2:$A$1001,RANDBETWEEN(1,1000)),N514)</f>
        <v>11641</v>
      </c>
      <c r="O515" t="s">
        <v>1002</v>
      </c>
      <c r="P515">
        <v>52936649</v>
      </c>
    </row>
    <row r="516" spans="1:16" x14ac:dyDescent="0.35">
      <c r="A516">
        <v>93827212176</v>
      </c>
      <c r="C516" s="2" t="s">
        <v>883</v>
      </c>
      <c r="D516">
        <v>2</v>
      </c>
      <c r="E516">
        <v>76891213156</v>
      </c>
      <c r="F516">
        <f t="shared" ca="1" si="16"/>
        <v>83</v>
      </c>
      <c r="G516">
        <f ca="1">VLOOKUP(E516,PurchItem!$A$2:$H$508,8,0)</f>
        <v>9558.6946346003115</v>
      </c>
      <c r="H516">
        <v>0.05</v>
      </c>
      <c r="I516" t="s">
        <v>244</v>
      </c>
      <c r="J516" s="5">
        <v>45569.594524409724</v>
      </c>
      <c r="K516" s="5">
        <v>45571.189048819448</v>
      </c>
      <c r="M516">
        <f t="shared" si="15"/>
        <v>10029727406</v>
      </c>
      <c r="N516">
        <f ca="1">IF(M516&lt;&gt;M515,INDEX(CustInfo!$A$2:$A$1001,RANDBETWEEN(1,1000)),N515)</f>
        <v>11641</v>
      </c>
      <c r="O516" t="s">
        <v>1002</v>
      </c>
      <c r="P516">
        <v>52936650</v>
      </c>
    </row>
    <row r="517" spans="1:16" x14ac:dyDescent="0.35">
      <c r="A517">
        <v>93827212177</v>
      </c>
      <c r="C517" s="2" t="s">
        <v>883</v>
      </c>
      <c r="D517">
        <v>1</v>
      </c>
      <c r="E517">
        <v>76891213385</v>
      </c>
      <c r="F517">
        <f t="shared" ca="1" si="16"/>
        <v>80</v>
      </c>
      <c r="G517">
        <f ca="1">VLOOKUP(E517,PurchItem!$A$2:$H$508,8,0)</f>
        <v>6325.6133263002412</v>
      </c>
      <c r="H517">
        <v>0.05</v>
      </c>
      <c r="I517" t="s">
        <v>244</v>
      </c>
      <c r="J517" s="5">
        <v>44605.594524409724</v>
      </c>
      <c r="K517" s="5">
        <v>44609.189048819448</v>
      </c>
      <c r="M517">
        <f t="shared" ref="M517:M580" si="17">IF(A517&lt;&gt;A516,M516+1,M516)</f>
        <v>10029727407</v>
      </c>
      <c r="N517">
        <f ca="1">IF(M517&lt;&gt;M516,INDEX(CustInfo!$A$2:$A$1001,RANDBETWEEN(1,1000)),N516)</f>
        <v>11610</v>
      </c>
      <c r="O517" t="s">
        <v>1003</v>
      </c>
      <c r="P517">
        <v>52936651</v>
      </c>
    </row>
    <row r="518" spans="1:16" x14ac:dyDescent="0.35">
      <c r="A518">
        <v>93827212177</v>
      </c>
      <c r="C518" s="2" t="s">
        <v>883</v>
      </c>
      <c r="D518">
        <v>2</v>
      </c>
      <c r="E518">
        <v>76891213457</v>
      </c>
      <c r="F518">
        <f t="shared" ca="1" si="16"/>
        <v>56</v>
      </c>
      <c r="G518">
        <f ca="1">VLOOKUP(E518,PurchItem!$A$2:$H$508,8,0)</f>
        <v>6617.5399033341891</v>
      </c>
      <c r="H518">
        <v>0.05</v>
      </c>
      <c r="I518" t="s">
        <v>244</v>
      </c>
      <c r="J518" s="5">
        <v>45491.594524409724</v>
      </c>
      <c r="K518" s="5">
        <v>45493.189048819448</v>
      </c>
      <c r="M518">
        <f t="shared" si="17"/>
        <v>10029727407</v>
      </c>
      <c r="N518">
        <f ca="1">IF(M518&lt;&gt;M517,INDEX(CustInfo!$A$2:$A$1001,RANDBETWEEN(1,1000)),N517)</f>
        <v>11610</v>
      </c>
      <c r="O518" t="s">
        <v>1003</v>
      </c>
      <c r="P518">
        <v>52936652</v>
      </c>
    </row>
    <row r="519" spans="1:16" x14ac:dyDescent="0.35">
      <c r="A519">
        <v>93827212177</v>
      </c>
      <c r="C519" s="2" t="s">
        <v>883</v>
      </c>
      <c r="D519">
        <v>3</v>
      </c>
      <c r="E519">
        <v>76891213569</v>
      </c>
      <c r="F519">
        <f t="shared" ca="1" si="16"/>
        <v>35</v>
      </c>
      <c r="G519">
        <f ca="1">VLOOKUP(E519,PurchItem!$A$2:$H$508,8,0)</f>
        <v>1466.4146247139308</v>
      </c>
      <c r="H519">
        <v>0.06</v>
      </c>
      <c r="I519" t="s">
        <v>244</v>
      </c>
      <c r="J519" s="5">
        <v>45521.594524409724</v>
      </c>
      <c r="K519" s="5">
        <v>45523.189048819448</v>
      </c>
      <c r="M519">
        <f t="shared" si="17"/>
        <v>10029727407</v>
      </c>
      <c r="N519">
        <f ca="1">IF(M519&lt;&gt;M518,INDEX(CustInfo!$A$2:$A$1001,RANDBETWEEN(1,1000)),N518)</f>
        <v>11610</v>
      </c>
      <c r="O519" t="s">
        <v>1003</v>
      </c>
      <c r="P519">
        <v>52936653</v>
      </c>
    </row>
    <row r="520" spans="1:16" x14ac:dyDescent="0.35">
      <c r="A520">
        <v>93827212178</v>
      </c>
      <c r="C520" s="2" t="s">
        <v>883</v>
      </c>
      <c r="D520">
        <v>1</v>
      </c>
      <c r="E520">
        <v>76891213182</v>
      </c>
      <c r="F520">
        <f t="shared" ca="1" si="16"/>
        <v>56</v>
      </c>
      <c r="G520">
        <f ca="1">VLOOKUP(E520,PurchItem!$A$2:$H$508,8,0)</f>
        <v>6993.4676440309404</v>
      </c>
      <c r="H520">
        <v>0.06</v>
      </c>
      <c r="I520" t="s">
        <v>244</v>
      </c>
      <c r="J520" s="5">
        <v>45590.594524409724</v>
      </c>
      <c r="K520" s="5">
        <v>45593.189048819448</v>
      </c>
      <c r="M520">
        <f t="shared" si="17"/>
        <v>10029727408</v>
      </c>
      <c r="N520">
        <f ca="1">IF(M520&lt;&gt;M519,INDEX(CustInfo!$A$2:$A$1001,RANDBETWEEN(1,1000)),N519)</f>
        <v>11812</v>
      </c>
      <c r="O520" t="s">
        <v>1001</v>
      </c>
      <c r="P520">
        <v>52936654</v>
      </c>
    </row>
    <row r="521" spans="1:16" x14ac:dyDescent="0.35">
      <c r="A521">
        <v>93827212178</v>
      </c>
      <c r="C521" s="2" t="s">
        <v>883</v>
      </c>
      <c r="D521">
        <v>2</v>
      </c>
      <c r="E521">
        <v>76891213606</v>
      </c>
      <c r="F521">
        <f t="shared" ca="1" si="16"/>
        <v>29</v>
      </c>
      <c r="G521">
        <f ca="1">VLOOKUP(E521,PurchItem!$A$2:$H$508,8,0)</f>
        <v>2599.1188743033085</v>
      </c>
      <c r="H521">
        <v>0.04</v>
      </c>
      <c r="I521" t="s">
        <v>244</v>
      </c>
      <c r="J521" s="5">
        <v>45408.594524409724</v>
      </c>
      <c r="K521" s="5">
        <v>45411.189048819448</v>
      </c>
      <c r="M521">
        <f t="shared" si="17"/>
        <v>10029727408</v>
      </c>
      <c r="N521">
        <f ca="1">IF(M521&lt;&gt;M520,INDEX(CustInfo!$A$2:$A$1001,RANDBETWEEN(1,1000)),N520)</f>
        <v>11812</v>
      </c>
      <c r="O521" t="s">
        <v>1001</v>
      </c>
      <c r="P521">
        <v>52936655</v>
      </c>
    </row>
    <row r="522" spans="1:16" x14ac:dyDescent="0.35">
      <c r="A522">
        <v>93827212179</v>
      </c>
      <c r="C522" s="2" t="s">
        <v>883</v>
      </c>
      <c r="D522">
        <v>1</v>
      </c>
      <c r="E522">
        <v>76891213403</v>
      </c>
      <c r="F522">
        <f t="shared" ca="1" si="16"/>
        <v>81</v>
      </c>
      <c r="G522">
        <f ca="1">VLOOKUP(E522,PurchItem!$A$2:$H$508,8,0)</f>
        <v>7222.6267597950819</v>
      </c>
      <c r="H522">
        <v>0.04</v>
      </c>
      <c r="I522" t="s">
        <v>244</v>
      </c>
      <c r="J522" s="5">
        <v>45202.594524409724</v>
      </c>
      <c r="K522" s="5">
        <v>45205.189048819448</v>
      </c>
      <c r="M522">
        <f t="shared" si="17"/>
        <v>10029727409</v>
      </c>
      <c r="N522">
        <f ca="1">IF(M522&lt;&gt;M521,INDEX(CustInfo!$A$2:$A$1001,RANDBETWEEN(1,1000)),N521)</f>
        <v>11911</v>
      </c>
      <c r="O522" t="s">
        <v>1001</v>
      </c>
      <c r="P522">
        <v>52936656</v>
      </c>
    </row>
    <row r="523" spans="1:16" x14ac:dyDescent="0.35">
      <c r="A523">
        <v>93827212179</v>
      </c>
      <c r="C523" s="2" t="s">
        <v>883</v>
      </c>
      <c r="D523">
        <v>2</v>
      </c>
      <c r="E523">
        <v>76891213354</v>
      </c>
      <c r="F523">
        <f t="shared" ca="1" si="16"/>
        <v>83</v>
      </c>
      <c r="G523">
        <f ca="1">VLOOKUP(E523,PurchItem!$A$2:$H$508,8,0)</f>
        <v>9590.7052160264502</v>
      </c>
      <c r="H523">
        <v>0.05</v>
      </c>
      <c r="I523" t="s">
        <v>244</v>
      </c>
      <c r="J523" s="5">
        <v>45002.594524409724</v>
      </c>
      <c r="K523" s="5">
        <v>45004.189048819448</v>
      </c>
      <c r="M523">
        <f t="shared" si="17"/>
        <v>10029727409</v>
      </c>
      <c r="N523">
        <f ca="1">IF(M523&lt;&gt;M522,INDEX(CustInfo!$A$2:$A$1001,RANDBETWEEN(1,1000)),N522)</f>
        <v>11911</v>
      </c>
      <c r="O523" t="s">
        <v>1001</v>
      </c>
      <c r="P523">
        <v>52936657</v>
      </c>
    </row>
    <row r="524" spans="1:16" x14ac:dyDescent="0.35">
      <c r="A524">
        <v>93827212180</v>
      </c>
      <c r="C524" s="2" t="s">
        <v>883</v>
      </c>
      <c r="D524">
        <v>1</v>
      </c>
      <c r="E524">
        <v>76891213183</v>
      </c>
      <c r="F524">
        <f t="shared" ca="1" si="16"/>
        <v>39</v>
      </c>
      <c r="G524">
        <f ca="1">VLOOKUP(E524,PurchItem!$A$2:$H$508,8,0)</f>
        <v>4515.1780100847882</v>
      </c>
      <c r="H524">
        <v>0.04</v>
      </c>
      <c r="I524" t="s">
        <v>244</v>
      </c>
      <c r="J524" s="5">
        <v>45250.594524409724</v>
      </c>
      <c r="K524" s="5">
        <v>45251.189048819448</v>
      </c>
      <c r="M524">
        <f t="shared" si="17"/>
        <v>10029727410</v>
      </c>
      <c r="N524">
        <f ca="1">IF(M524&lt;&gt;M523,INDEX(CustInfo!$A$2:$A$1001,RANDBETWEEN(1,1000)),N523)</f>
        <v>11644</v>
      </c>
      <c r="O524" t="s">
        <v>1002</v>
      </c>
      <c r="P524">
        <v>52936658</v>
      </c>
    </row>
    <row r="525" spans="1:16" x14ac:dyDescent="0.35">
      <c r="A525">
        <v>93827212180</v>
      </c>
      <c r="C525" s="2" t="s">
        <v>883</v>
      </c>
      <c r="D525">
        <v>2</v>
      </c>
      <c r="E525">
        <v>76891213163</v>
      </c>
      <c r="F525">
        <f t="shared" ca="1" si="16"/>
        <v>22</v>
      </c>
      <c r="G525">
        <f ca="1">VLOOKUP(E525,PurchItem!$A$2:$H$508,8,0)</f>
        <v>8353.8076232434159</v>
      </c>
      <c r="H525">
        <v>0.06</v>
      </c>
      <c r="I525" t="s">
        <v>244</v>
      </c>
      <c r="J525" s="5">
        <v>45401.594524409724</v>
      </c>
      <c r="K525" s="5">
        <v>45403.189048819448</v>
      </c>
      <c r="M525">
        <f t="shared" si="17"/>
        <v>10029727410</v>
      </c>
      <c r="N525">
        <f ca="1">IF(M525&lt;&gt;M524,INDEX(CustInfo!$A$2:$A$1001,RANDBETWEEN(1,1000)),N524)</f>
        <v>11644</v>
      </c>
      <c r="O525" t="s">
        <v>1002</v>
      </c>
      <c r="P525">
        <v>52936659</v>
      </c>
    </row>
    <row r="526" spans="1:16" x14ac:dyDescent="0.35">
      <c r="A526">
        <v>93827212180</v>
      </c>
      <c r="C526" s="2" t="s">
        <v>883</v>
      </c>
      <c r="D526">
        <v>3</v>
      </c>
      <c r="E526">
        <v>76891213178</v>
      </c>
      <c r="F526">
        <f t="shared" ca="1" si="16"/>
        <v>99</v>
      </c>
      <c r="G526">
        <f ca="1">VLOOKUP(E526,PurchItem!$A$2:$H$508,8,0)</f>
        <v>2256.6727435914268</v>
      </c>
      <c r="H526">
        <v>0.04</v>
      </c>
      <c r="I526" t="s">
        <v>244</v>
      </c>
      <c r="J526" s="5">
        <v>45421.594524409724</v>
      </c>
      <c r="K526" s="5">
        <v>45422.189048819448</v>
      </c>
      <c r="M526">
        <f t="shared" si="17"/>
        <v>10029727410</v>
      </c>
      <c r="N526">
        <f ca="1">IF(M526&lt;&gt;M525,INDEX(CustInfo!$A$2:$A$1001,RANDBETWEEN(1,1000)),N525)</f>
        <v>11644</v>
      </c>
      <c r="O526" t="s">
        <v>1002</v>
      </c>
      <c r="P526">
        <v>52936660</v>
      </c>
    </row>
    <row r="527" spans="1:16" x14ac:dyDescent="0.35">
      <c r="A527">
        <v>93827212181</v>
      </c>
      <c r="C527" s="2" t="s">
        <v>883</v>
      </c>
      <c r="D527">
        <v>1</v>
      </c>
      <c r="E527">
        <v>76891213291</v>
      </c>
      <c r="F527">
        <f t="shared" ca="1" si="16"/>
        <v>29</v>
      </c>
      <c r="G527">
        <f ca="1">VLOOKUP(E527,PurchItem!$A$2:$H$508,8,0)</f>
        <v>8661.3541584480317</v>
      </c>
      <c r="H527">
        <v>0.04</v>
      </c>
      <c r="I527" t="s">
        <v>244</v>
      </c>
      <c r="J527" s="5">
        <v>44696.594524409724</v>
      </c>
      <c r="K527" s="5">
        <v>44697.189048819448</v>
      </c>
      <c r="M527">
        <f t="shared" si="17"/>
        <v>10029727411</v>
      </c>
      <c r="N527">
        <f ca="1">IF(M527&lt;&gt;M526,INDEX(CustInfo!$A$2:$A$1001,RANDBETWEEN(1,1000)),N526)</f>
        <v>11756</v>
      </c>
      <c r="O527" t="s">
        <v>1002</v>
      </c>
      <c r="P527">
        <v>52936661</v>
      </c>
    </row>
    <row r="528" spans="1:16" x14ac:dyDescent="0.35">
      <c r="A528">
        <v>93827212181</v>
      </c>
      <c r="C528" s="2" t="s">
        <v>883</v>
      </c>
      <c r="D528">
        <v>2</v>
      </c>
      <c r="E528">
        <v>76891213298</v>
      </c>
      <c r="F528">
        <f t="shared" ca="1" si="16"/>
        <v>96</v>
      </c>
      <c r="G528">
        <f ca="1">VLOOKUP(E528,PurchItem!$A$2:$H$508,8,0)</f>
        <v>8806.9548730318475</v>
      </c>
      <c r="H528">
        <v>0.04</v>
      </c>
      <c r="I528" t="s">
        <v>244</v>
      </c>
      <c r="J528" s="5">
        <v>45399.594524409724</v>
      </c>
      <c r="K528" s="5">
        <v>45403.189048819448</v>
      </c>
      <c r="M528">
        <f t="shared" si="17"/>
        <v>10029727411</v>
      </c>
      <c r="N528">
        <f ca="1">IF(M528&lt;&gt;M527,INDEX(CustInfo!$A$2:$A$1001,RANDBETWEEN(1,1000)),N527)</f>
        <v>11756</v>
      </c>
      <c r="O528" t="s">
        <v>1002</v>
      </c>
      <c r="P528">
        <v>52936662</v>
      </c>
    </row>
    <row r="529" spans="1:16" x14ac:dyDescent="0.35">
      <c r="A529">
        <v>93827212181</v>
      </c>
      <c r="C529" s="2" t="s">
        <v>883</v>
      </c>
      <c r="D529">
        <v>3</v>
      </c>
      <c r="E529">
        <v>76891213524</v>
      </c>
      <c r="F529">
        <f t="shared" ca="1" si="16"/>
        <v>18</v>
      </c>
      <c r="G529">
        <f ca="1">VLOOKUP(E529,PurchItem!$A$2:$H$508,8,0)</f>
        <v>2987.1429372726939</v>
      </c>
      <c r="H529">
        <v>0.04</v>
      </c>
      <c r="I529" t="s">
        <v>244</v>
      </c>
      <c r="J529" s="5">
        <v>44797.594524409724</v>
      </c>
      <c r="K529" s="5">
        <v>44798.189048819448</v>
      </c>
      <c r="M529">
        <f t="shared" si="17"/>
        <v>10029727411</v>
      </c>
      <c r="N529">
        <f ca="1">IF(M529&lt;&gt;M528,INDEX(CustInfo!$A$2:$A$1001,RANDBETWEEN(1,1000)),N528)</f>
        <v>11756</v>
      </c>
      <c r="O529" t="s">
        <v>1002</v>
      </c>
      <c r="P529">
        <v>52936663</v>
      </c>
    </row>
    <row r="530" spans="1:16" x14ac:dyDescent="0.35">
      <c r="A530">
        <v>93827212181</v>
      </c>
      <c r="C530" s="2" t="s">
        <v>883</v>
      </c>
      <c r="D530">
        <v>4</v>
      </c>
      <c r="E530">
        <v>76891213148</v>
      </c>
      <c r="F530">
        <f t="shared" ca="1" si="16"/>
        <v>96</v>
      </c>
      <c r="G530">
        <f ca="1">VLOOKUP(E530,PurchItem!$A$2:$H$508,8,0)</f>
        <v>1059.7105318061322</v>
      </c>
      <c r="H530">
        <v>0.05</v>
      </c>
      <c r="I530" t="s">
        <v>244</v>
      </c>
      <c r="J530" s="5">
        <v>44996.594524409724</v>
      </c>
      <c r="K530" s="5">
        <v>44997.189048819448</v>
      </c>
      <c r="M530">
        <f t="shared" si="17"/>
        <v>10029727411</v>
      </c>
      <c r="N530">
        <f ca="1">IF(M530&lt;&gt;M529,INDEX(CustInfo!$A$2:$A$1001,RANDBETWEEN(1,1000)),N529)</f>
        <v>11756</v>
      </c>
      <c r="O530" t="s">
        <v>1002</v>
      </c>
      <c r="P530">
        <v>52936664</v>
      </c>
    </row>
    <row r="531" spans="1:16" x14ac:dyDescent="0.35">
      <c r="A531">
        <v>93827212182</v>
      </c>
      <c r="C531" s="2" t="s">
        <v>883</v>
      </c>
      <c r="D531">
        <v>1</v>
      </c>
      <c r="E531">
        <v>76891213231</v>
      </c>
      <c r="F531">
        <f t="shared" ca="1" si="16"/>
        <v>35</v>
      </c>
      <c r="G531">
        <f ca="1">VLOOKUP(E531,PurchItem!$A$2:$H$508,8,0)</f>
        <v>4023.7904944851043</v>
      </c>
      <c r="H531">
        <v>0.06</v>
      </c>
      <c r="I531" t="s">
        <v>244</v>
      </c>
      <c r="J531" s="5">
        <v>45566.594524409724</v>
      </c>
      <c r="K531" s="5">
        <v>45568.189048819448</v>
      </c>
      <c r="M531">
        <f t="shared" si="17"/>
        <v>10029727412</v>
      </c>
      <c r="N531">
        <f ca="1">IF(M531&lt;&gt;M530,INDEX(CustInfo!$A$2:$A$1001,RANDBETWEEN(1,1000)),N530)</f>
        <v>11728</v>
      </c>
      <c r="O531" t="s">
        <v>1002</v>
      </c>
      <c r="P531">
        <v>52936665</v>
      </c>
    </row>
    <row r="532" spans="1:16" x14ac:dyDescent="0.35">
      <c r="A532">
        <v>93827212182</v>
      </c>
      <c r="C532" s="2" t="s">
        <v>883</v>
      </c>
      <c r="D532">
        <v>2</v>
      </c>
      <c r="E532">
        <v>76891213620</v>
      </c>
      <c r="F532">
        <f t="shared" ca="1" si="16"/>
        <v>11</v>
      </c>
      <c r="G532">
        <f ca="1">VLOOKUP(E532,PurchItem!$A$2:$H$508,8,0)</f>
        <v>261.77946432896999</v>
      </c>
      <c r="H532">
        <v>0.05</v>
      </c>
      <c r="I532" t="s">
        <v>244</v>
      </c>
      <c r="J532" s="5">
        <v>44870.594524409724</v>
      </c>
      <c r="K532" s="5">
        <v>44872.189048819448</v>
      </c>
      <c r="M532">
        <f t="shared" si="17"/>
        <v>10029727412</v>
      </c>
      <c r="N532">
        <f ca="1">IF(M532&lt;&gt;M531,INDEX(CustInfo!$A$2:$A$1001,RANDBETWEEN(1,1000)),N531)</f>
        <v>11728</v>
      </c>
      <c r="O532" t="s">
        <v>1002</v>
      </c>
      <c r="P532">
        <v>52936666</v>
      </c>
    </row>
    <row r="533" spans="1:16" x14ac:dyDescent="0.35">
      <c r="A533">
        <v>93827212183</v>
      </c>
      <c r="C533" s="2" t="s">
        <v>883</v>
      </c>
      <c r="D533">
        <v>1</v>
      </c>
      <c r="E533">
        <v>76891213351</v>
      </c>
      <c r="F533">
        <f t="shared" ca="1" si="16"/>
        <v>37</v>
      </c>
      <c r="G533">
        <f ca="1">VLOOKUP(E533,PurchItem!$A$2:$H$508,8,0)</f>
        <v>9428.1968109971458</v>
      </c>
      <c r="H533">
        <v>0.06</v>
      </c>
      <c r="I533" t="s">
        <v>244</v>
      </c>
      <c r="J533" s="5">
        <v>45483.594524409724</v>
      </c>
      <c r="K533" s="5">
        <v>45486.189048819448</v>
      </c>
      <c r="M533">
        <f t="shared" si="17"/>
        <v>10029727413</v>
      </c>
      <c r="N533">
        <f ca="1">IF(M533&lt;&gt;M532,INDEX(CustInfo!$A$2:$A$1001,RANDBETWEEN(1,1000)),N532)</f>
        <v>11264</v>
      </c>
      <c r="O533" t="s">
        <v>1003</v>
      </c>
      <c r="P533">
        <v>52936667</v>
      </c>
    </row>
    <row r="534" spans="1:16" x14ac:dyDescent="0.35">
      <c r="A534">
        <v>93827212183</v>
      </c>
      <c r="C534" s="2" t="s">
        <v>883</v>
      </c>
      <c r="D534">
        <v>2</v>
      </c>
      <c r="E534">
        <v>76891213212</v>
      </c>
      <c r="F534">
        <f t="shared" ca="1" si="16"/>
        <v>91</v>
      </c>
      <c r="G534">
        <f ca="1">VLOOKUP(E534,PurchItem!$A$2:$H$508,8,0)</f>
        <v>2083.2723648365518</v>
      </c>
      <c r="H534">
        <v>0.06</v>
      </c>
      <c r="I534" t="s">
        <v>244</v>
      </c>
      <c r="J534" s="5">
        <v>44572.594524409724</v>
      </c>
      <c r="K534" s="5">
        <v>44573.189048819448</v>
      </c>
      <c r="M534">
        <f t="shared" si="17"/>
        <v>10029727413</v>
      </c>
      <c r="N534">
        <f ca="1">IF(M534&lt;&gt;M533,INDEX(CustInfo!$A$2:$A$1001,RANDBETWEEN(1,1000)),N533)</f>
        <v>11264</v>
      </c>
      <c r="O534" t="s">
        <v>1003</v>
      </c>
      <c r="P534">
        <v>52936668</v>
      </c>
    </row>
    <row r="535" spans="1:16" x14ac:dyDescent="0.35">
      <c r="A535">
        <v>93827212184</v>
      </c>
      <c r="C535" s="2" t="s">
        <v>883</v>
      </c>
      <c r="D535">
        <v>1</v>
      </c>
      <c r="E535">
        <v>76891213175</v>
      </c>
      <c r="F535">
        <f t="shared" ca="1" si="16"/>
        <v>11</v>
      </c>
      <c r="G535">
        <f ca="1">VLOOKUP(E535,PurchItem!$A$2:$H$508,8,0)</f>
        <v>8239.6279667406998</v>
      </c>
      <c r="H535">
        <v>0.05</v>
      </c>
      <c r="I535" t="s">
        <v>244</v>
      </c>
      <c r="J535" s="5">
        <v>44801.594524409724</v>
      </c>
      <c r="K535" s="5">
        <v>44805.189048819448</v>
      </c>
      <c r="M535">
        <f t="shared" si="17"/>
        <v>10029727414</v>
      </c>
      <c r="N535">
        <f ca="1">IF(M535&lt;&gt;M534,INDEX(CustInfo!$A$2:$A$1001,RANDBETWEEN(1,1000)),N534)</f>
        <v>11404</v>
      </c>
      <c r="O535" t="s">
        <v>1002</v>
      </c>
      <c r="P535">
        <v>52936669</v>
      </c>
    </row>
    <row r="536" spans="1:16" x14ac:dyDescent="0.35">
      <c r="A536">
        <v>93827212184</v>
      </c>
      <c r="C536" s="2" t="s">
        <v>883</v>
      </c>
      <c r="D536">
        <v>2</v>
      </c>
      <c r="E536">
        <v>76891213407</v>
      </c>
      <c r="F536">
        <f t="shared" ca="1" si="16"/>
        <v>79</v>
      </c>
      <c r="G536">
        <f ca="1">VLOOKUP(E536,PurchItem!$A$2:$H$508,8,0)</f>
        <v>2479.2746542139621</v>
      </c>
      <c r="H536">
        <v>0.06</v>
      </c>
      <c r="I536" t="s">
        <v>244</v>
      </c>
      <c r="J536" s="5">
        <v>44747.594524409724</v>
      </c>
      <c r="K536" s="5">
        <v>44749.189048819448</v>
      </c>
      <c r="M536">
        <f t="shared" si="17"/>
        <v>10029727414</v>
      </c>
      <c r="N536">
        <f ca="1">IF(M536&lt;&gt;M535,INDEX(CustInfo!$A$2:$A$1001,RANDBETWEEN(1,1000)),N535)</f>
        <v>11404</v>
      </c>
      <c r="O536" t="s">
        <v>1002</v>
      </c>
      <c r="P536">
        <v>52936670</v>
      </c>
    </row>
    <row r="537" spans="1:16" x14ac:dyDescent="0.35">
      <c r="A537">
        <v>93827212184</v>
      </c>
      <c r="C537" s="2" t="s">
        <v>883</v>
      </c>
      <c r="D537">
        <v>3</v>
      </c>
      <c r="E537">
        <v>76891213236</v>
      </c>
      <c r="F537">
        <f t="shared" ca="1" si="16"/>
        <v>75</v>
      </c>
      <c r="G537">
        <f ca="1">VLOOKUP(E537,PurchItem!$A$2:$H$508,8,0)</f>
        <v>7957.9636559697883</v>
      </c>
      <c r="H537">
        <v>0.04</v>
      </c>
      <c r="I537" t="s">
        <v>244</v>
      </c>
      <c r="J537" s="5">
        <v>44717.594524409724</v>
      </c>
      <c r="K537" s="5">
        <v>44719.189048819448</v>
      </c>
      <c r="M537">
        <f t="shared" si="17"/>
        <v>10029727414</v>
      </c>
      <c r="N537">
        <f ca="1">IF(M537&lt;&gt;M536,INDEX(CustInfo!$A$2:$A$1001,RANDBETWEEN(1,1000)),N536)</f>
        <v>11404</v>
      </c>
      <c r="O537" t="s">
        <v>1002</v>
      </c>
      <c r="P537">
        <v>52936671</v>
      </c>
    </row>
    <row r="538" spans="1:16" x14ac:dyDescent="0.35">
      <c r="A538">
        <v>93827212184</v>
      </c>
      <c r="C538" s="2" t="s">
        <v>883</v>
      </c>
      <c r="D538">
        <v>4</v>
      </c>
      <c r="E538">
        <v>76891213447</v>
      </c>
      <c r="F538">
        <f t="shared" ca="1" si="16"/>
        <v>77</v>
      </c>
      <c r="G538">
        <f ca="1">VLOOKUP(E538,PurchItem!$A$2:$H$508,8,0)</f>
        <v>9956.2708729613532</v>
      </c>
      <c r="H538">
        <v>0.06</v>
      </c>
      <c r="I538" t="s">
        <v>244</v>
      </c>
      <c r="J538" s="5">
        <v>45397.594524409724</v>
      </c>
      <c r="K538" s="5">
        <v>45399.189048819448</v>
      </c>
      <c r="M538">
        <f t="shared" si="17"/>
        <v>10029727414</v>
      </c>
      <c r="N538">
        <f ca="1">IF(M538&lt;&gt;M537,INDEX(CustInfo!$A$2:$A$1001,RANDBETWEEN(1,1000)),N537)</f>
        <v>11404</v>
      </c>
      <c r="O538" t="s">
        <v>1002</v>
      </c>
      <c r="P538">
        <v>52936672</v>
      </c>
    </row>
    <row r="539" spans="1:16" x14ac:dyDescent="0.35">
      <c r="A539">
        <v>93827212185</v>
      </c>
      <c r="C539" s="2" t="s">
        <v>883</v>
      </c>
      <c r="D539">
        <v>1</v>
      </c>
      <c r="E539">
        <v>76891213160</v>
      </c>
      <c r="F539">
        <f t="shared" ca="1" si="16"/>
        <v>76</v>
      </c>
      <c r="G539">
        <f ca="1">VLOOKUP(E539,PurchItem!$A$2:$H$508,8,0)</f>
        <v>8462.9770245013115</v>
      </c>
      <c r="H539">
        <v>0.06</v>
      </c>
      <c r="I539" t="s">
        <v>244</v>
      </c>
      <c r="J539" s="5">
        <v>45307.594524409724</v>
      </c>
      <c r="K539" s="5">
        <v>45311.189048819448</v>
      </c>
      <c r="M539">
        <f t="shared" si="17"/>
        <v>10029727415</v>
      </c>
      <c r="N539">
        <f ca="1">IF(M539&lt;&gt;M538,INDEX(CustInfo!$A$2:$A$1001,RANDBETWEEN(1,1000)),N538)</f>
        <v>11286</v>
      </c>
      <c r="O539" t="s">
        <v>1002</v>
      </c>
      <c r="P539">
        <v>52936673</v>
      </c>
    </row>
    <row r="540" spans="1:16" x14ac:dyDescent="0.35">
      <c r="A540">
        <v>93827212185</v>
      </c>
      <c r="C540" s="2" t="s">
        <v>883</v>
      </c>
      <c r="D540">
        <v>2</v>
      </c>
      <c r="E540">
        <v>76891213558</v>
      </c>
      <c r="F540">
        <f t="shared" ca="1" si="16"/>
        <v>38</v>
      </c>
      <c r="G540">
        <f ca="1">VLOOKUP(E540,PurchItem!$A$2:$H$508,8,0)</f>
        <v>2703.1304184049623</v>
      </c>
      <c r="H540">
        <v>0.05</v>
      </c>
      <c r="I540" t="s">
        <v>244</v>
      </c>
      <c r="J540" s="5">
        <v>45305.594524409724</v>
      </c>
      <c r="K540" s="5">
        <v>45309.189048819448</v>
      </c>
      <c r="M540">
        <f t="shared" si="17"/>
        <v>10029727415</v>
      </c>
      <c r="N540">
        <f ca="1">IF(M540&lt;&gt;M539,INDEX(CustInfo!$A$2:$A$1001,RANDBETWEEN(1,1000)),N539)</f>
        <v>11286</v>
      </c>
      <c r="O540" t="s">
        <v>1002</v>
      </c>
      <c r="P540">
        <v>52936674</v>
      </c>
    </row>
    <row r="541" spans="1:16" x14ac:dyDescent="0.35">
      <c r="A541">
        <v>93827212186</v>
      </c>
      <c r="C541" s="2" t="s">
        <v>883</v>
      </c>
      <c r="D541">
        <v>1</v>
      </c>
      <c r="E541">
        <v>76891213198</v>
      </c>
      <c r="F541">
        <f t="shared" ca="1" si="16"/>
        <v>63</v>
      </c>
      <c r="G541">
        <f ca="1">VLOOKUP(E541,PurchItem!$A$2:$H$508,8,0)</f>
        <v>137.73349163160216</v>
      </c>
      <c r="H541">
        <v>0.06</v>
      </c>
      <c r="I541" t="s">
        <v>244</v>
      </c>
      <c r="J541" s="5">
        <v>45132.594524409724</v>
      </c>
      <c r="K541" s="5">
        <v>45134.189048819448</v>
      </c>
      <c r="M541">
        <f t="shared" si="17"/>
        <v>10029727416</v>
      </c>
      <c r="N541">
        <f ca="1">IF(M541&lt;&gt;M540,INDEX(CustInfo!$A$2:$A$1001,RANDBETWEEN(1,1000)),N540)</f>
        <v>11499</v>
      </c>
      <c r="O541" t="s">
        <v>1001</v>
      </c>
      <c r="P541">
        <v>52936675</v>
      </c>
    </row>
    <row r="542" spans="1:16" x14ac:dyDescent="0.35">
      <c r="A542">
        <v>93827212186</v>
      </c>
      <c r="C542" s="2" t="s">
        <v>883</v>
      </c>
      <c r="D542">
        <v>2</v>
      </c>
      <c r="E542">
        <v>76891213193</v>
      </c>
      <c r="F542">
        <f t="shared" ca="1" si="16"/>
        <v>82</v>
      </c>
      <c r="G542">
        <f ca="1">VLOOKUP(E542,PurchItem!$A$2:$H$508,8,0)</f>
        <v>6207.5236658812264</v>
      </c>
      <c r="H542">
        <v>0.05</v>
      </c>
      <c r="I542" t="s">
        <v>244</v>
      </c>
      <c r="J542" s="5">
        <v>45428.594524409724</v>
      </c>
      <c r="K542" s="5">
        <v>45431.189048819448</v>
      </c>
      <c r="M542">
        <f t="shared" si="17"/>
        <v>10029727416</v>
      </c>
      <c r="N542">
        <f ca="1">IF(M542&lt;&gt;M541,INDEX(CustInfo!$A$2:$A$1001,RANDBETWEEN(1,1000)),N541)</f>
        <v>11499</v>
      </c>
      <c r="O542" t="s">
        <v>1001</v>
      </c>
      <c r="P542">
        <v>52936676</v>
      </c>
    </row>
    <row r="543" spans="1:16" x14ac:dyDescent="0.35">
      <c r="A543">
        <v>93827212186</v>
      </c>
      <c r="C543" s="2" t="s">
        <v>883</v>
      </c>
      <c r="D543">
        <v>3</v>
      </c>
      <c r="E543">
        <v>76891213311</v>
      </c>
      <c r="F543">
        <f t="shared" ca="1" si="16"/>
        <v>98</v>
      </c>
      <c r="G543">
        <f ca="1">VLOOKUP(E543,PurchItem!$A$2:$H$508,8,0)</f>
        <v>6621.6992314843292</v>
      </c>
      <c r="H543">
        <v>0.05</v>
      </c>
      <c r="I543" t="s">
        <v>244</v>
      </c>
      <c r="J543" s="5">
        <v>44831.594524409724</v>
      </c>
      <c r="K543" s="5">
        <v>44833.189048819448</v>
      </c>
      <c r="M543">
        <f t="shared" si="17"/>
        <v>10029727416</v>
      </c>
      <c r="N543">
        <f ca="1">IF(M543&lt;&gt;M542,INDEX(CustInfo!$A$2:$A$1001,RANDBETWEEN(1,1000)),N542)</f>
        <v>11499</v>
      </c>
      <c r="O543" t="s">
        <v>1001</v>
      </c>
      <c r="P543">
        <v>52936677</v>
      </c>
    </row>
    <row r="544" spans="1:16" x14ac:dyDescent="0.35">
      <c r="A544">
        <v>93827212186</v>
      </c>
      <c r="C544" s="2" t="s">
        <v>883</v>
      </c>
      <c r="D544">
        <v>4</v>
      </c>
      <c r="E544">
        <v>76891213302</v>
      </c>
      <c r="F544">
        <f t="shared" ca="1" si="16"/>
        <v>89</v>
      </c>
      <c r="G544">
        <f ca="1">VLOOKUP(E544,PurchItem!$A$2:$H$508,8,0)</f>
        <v>854.8584191118091</v>
      </c>
      <c r="H544">
        <v>0.04</v>
      </c>
      <c r="I544" t="s">
        <v>244</v>
      </c>
      <c r="J544" s="5">
        <v>44859.594524409724</v>
      </c>
      <c r="K544" s="5">
        <v>44862.189048819448</v>
      </c>
      <c r="M544">
        <f t="shared" si="17"/>
        <v>10029727416</v>
      </c>
      <c r="N544">
        <f ca="1">IF(M544&lt;&gt;M543,INDEX(CustInfo!$A$2:$A$1001,RANDBETWEEN(1,1000)),N543)</f>
        <v>11499</v>
      </c>
      <c r="O544" t="s">
        <v>1001</v>
      </c>
      <c r="P544">
        <v>52936678</v>
      </c>
    </row>
    <row r="545" spans="1:16" x14ac:dyDescent="0.35">
      <c r="A545">
        <v>93827212187</v>
      </c>
      <c r="C545" s="2" t="s">
        <v>883</v>
      </c>
      <c r="D545">
        <v>1</v>
      </c>
      <c r="E545">
        <v>76891213238</v>
      </c>
      <c r="F545">
        <f t="shared" ca="1" si="16"/>
        <v>12</v>
      </c>
      <c r="G545">
        <f ca="1">VLOOKUP(E545,PurchItem!$A$2:$H$508,8,0)</f>
        <v>1532.7056343143986</v>
      </c>
      <c r="H545">
        <v>0.06</v>
      </c>
      <c r="I545" t="s">
        <v>244</v>
      </c>
      <c r="J545" s="5">
        <v>45579.594524409724</v>
      </c>
      <c r="K545" s="5">
        <v>45581.189048819448</v>
      </c>
      <c r="M545">
        <f t="shared" si="17"/>
        <v>10029727417</v>
      </c>
      <c r="N545">
        <f ca="1">IF(M545&lt;&gt;M544,INDEX(CustInfo!$A$2:$A$1001,RANDBETWEEN(1,1000)),N544)</f>
        <v>11449</v>
      </c>
      <c r="O545" t="s">
        <v>1001</v>
      </c>
      <c r="P545">
        <v>52936679</v>
      </c>
    </row>
    <row r="546" spans="1:16" x14ac:dyDescent="0.35">
      <c r="A546">
        <v>93827212188</v>
      </c>
      <c r="C546" s="2" t="s">
        <v>883</v>
      </c>
      <c r="D546">
        <v>1</v>
      </c>
      <c r="E546">
        <v>76891213288</v>
      </c>
      <c r="F546">
        <f t="shared" ca="1" si="16"/>
        <v>29</v>
      </c>
      <c r="G546">
        <f ca="1">VLOOKUP(E546,PurchItem!$A$2:$H$508,8,0)</f>
        <v>6634.5213683580823</v>
      </c>
      <c r="H546">
        <v>0.05</v>
      </c>
      <c r="I546" t="s">
        <v>244</v>
      </c>
      <c r="J546" s="5">
        <v>45572.594524409724</v>
      </c>
      <c r="K546" s="5">
        <v>45576.189048819448</v>
      </c>
      <c r="M546">
        <f t="shared" si="17"/>
        <v>10029727418</v>
      </c>
      <c r="N546">
        <f ca="1">IF(M546&lt;&gt;M545,INDEX(CustInfo!$A$2:$A$1001,RANDBETWEEN(1,1000)),N545)</f>
        <v>11799</v>
      </c>
      <c r="O546" t="s">
        <v>1003</v>
      </c>
      <c r="P546">
        <v>52936680</v>
      </c>
    </row>
    <row r="547" spans="1:16" x14ac:dyDescent="0.35">
      <c r="A547">
        <v>93827212189</v>
      </c>
      <c r="C547" s="2" t="s">
        <v>883</v>
      </c>
      <c r="D547">
        <v>1</v>
      </c>
      <c r="E547">
        <v>76891213385</v>
      </c>
      <c r="F547">
        <f t="shared" ca="1" si="16"/>
        <v>40</v>
      </c>
      <c r="G547">
        <f ca="1">VLOOKUP(E547,PurchItem!$A$2:$H$508,8,0)</f>
        <v>6325.6133263002412</v>
      </c>
      <c r="H547">
        <v>0.06</v>
      </c>
      <c r="I547" t="s">
        <v>244</v>
      </c>
      <c r="J547" s="5">
        <v>44912.594524409724</v>
      </c>
      <c r="K547" s="5">
        <v>44913.189048819448</v>
      </c>
      <c r="M547">
        <f t="shared" si="17"/>
        <v>10029727419</v>
      </c>
      <c r="N547">
        <f ca="1">IF(M547&lt;&gt;M546,INDEX(CustInfo!$A$2:$A$1001,RANDBETWEEN(1,1000)),N546)</f>
        <v>11933</v>
      </c>
      <c r="O547" t="s">
        <v>1002</v>
      </c>
      <c r="P547">
        <v>52936681</v>
      </c>
    </row>
    <row r="548" spans="1:16" x14ac:dyDescent="0.35">
      <c r="A548">
        <v>93827212189</v>
      </c>
      <c r="C548" s="2" t="s">
        <v>883</v>
      </c>
      <c r="D548">
        <v>2</v>
      </c>
      <c r="E548">
        <v>76891213305</v>
      </c>
      <c r="F548">
        <f t="shared" ca="1" si="16"/>
        <v>22</v>
      </c>
      <c r="G548">
        <f ca="1">VLOOKUP(E548,PurchItem!$A$2:$H$508,8,0)</f>
        <v>7454.0016740690317</v>
      </c>
      <c r="H548">
        <v>0.05</v>
      </c>
      <c r="I548" t="s">
        <v>244</v>
      </c>
      <c r="J548" s="5">
        <v>44717.594524409724</v>
      </c>
      <c r="K548" s="5">
        <v>44719.189048819448</v>
      </c>
      <c r="M548">
        <f t="shared" si="17"/>
        <v>10029727419</v>
      </c>
      <c r="N548">
        <f ca="1">IF(M548&lt;&gt;M547,INDEX(CustInfo!$A$2:$A$1001,RANDBETWEEN(1,1000)),N547)</f>
        <v>11933</v>
      </c>
      <c r="O548" t="s">
        <v>1002</v>
      </c>
      <c r="P548">
        <v>52936682</v>
      </c>
    </row>
    <row r="549" spans="1:16" x14ac:dyDescent="0.35">
      <c r="A549">
        <v>93827212190</v>
      </c>
      <c r="C549" s="2" t="s">
        <v>883</v>
      </c>
      <c r="D549">
        <v>1</v>
      </c>
      <c r="E549">
        <v>76891213317</v>
      </c>
      <c r="F549">
        <f t="shared" ca="1" si="16"/>
        <v>21</v>
      </c>
      <c r="G549">
        <f ca="1">VLOOKUP(E549,PurchItem!$A$2:$H$508,8,0)</f>
        <v>8735.0905789967401</v>
      </c>
      <c r="H549">
        <v>0.05</v>
      </c>
      <c r="I549" t="s">
        <v>244</v>
      </c>
      <c r="J549" s="5">
        <v>45150.594524409724</v>
      </c>
      <c r="K549" s="5">
        <v>45152.189048819448</v>
      </c>
      <c r="M549">
        <f t="shared" si="17"/>
        <v>10029727420</v>
      </c>
      <c r="N549">
        <f ca="1">IF(M549&lt;&gt;M548,INDEX(CustInfo!$A$2:$A$1001,RANDBETWEEN(1,1000)),N548)</f>
        <v>11511</v>
      </c>
      <c r="O549" t="s">
        <v>1002</v>
      </c>
      <c r="P549">
        <v>52936683</v>
      </c>
    </row>
    <row r="550" spans="1:16" x14ac:dyDescent="0.35">
      <c r="A550">
        <v>93827212191</v>
      </c>
      <c r="C550" s="2" t="s">
        <v>883</v>
      </c>
      <c r="D550">
        <v>1</v>
      </c>
      <c r="E550">
        <v>76891213187</v>
      </c>
      <c r="F550">
        <f t="shared" ca="1" si="16"/>
        <v>42</v>
      </c>
      <c r="G550">
        <f ca="1">VLOOKUP(E550,PurchItem!$A$2:$H$508,8,0)</f>
        <v>9230.4715911830135</v>
      </c>
      <c r="H550">
        <v>0.06</v>
      </c>
      <c r="I550" t="s">
        <v>244</v>
      </c>
      <c r="J550" s="5">
        <v>45470.594524409724</v>
      </c>
      <c r="K550" s="5">
        <v>45473.189048819448</v>
      </c>
      <c r="M550">
        <f t="shared" si="17"/>
        <v>10029727421</v>
      </c>
      <c r="N550">
        <f ca="1">IF(M550&lt;&gt;M549,INDEX(CustInfo!$A$2:$A$1001,RANDBETWEEN(1,1000)),N549)</f>
        <v>11651</v>
      </c>
      <c r="O550" t="s">
        <v>1001</v>
      </c>
      <c r="P550">
        <v>52936684</v>
      </c>
    </row>
    <row r="551" spans="1:16" x14ac:dyDescent="0.35">
      <c r="A551">
        <v>93827212191</v>
      </c>
      <c r="C551" s="2" t="s">
        <v>883</v>
      </c>
      <c r="D551">
        <v>2</v>
      </c>
      <c r="E551">
        <v>76891213261</v>
      </c>
      <c r="F551">
        <f t="shared" ca="1" si="16"/>
        <v>12</v>
      </c>
      <c r="G551">
        <f ca="1">VLOOKUP(E551,PurchItem!$A$2:$H$508,8,0)</f>
        <v>5282.7591288903441</v>
      </c>
      <c r="H551">
        <v>0.04</v>
      </c>
      <c r="I551" t="s">
        <v>244</v>
      </c>
      <c r="J551" s="5">
        <v>45098.594524409724</v>
      </c>
      <c r="K551" s="5">
        <v>45099.189048819448</v>
      </c>
      <c r="M551">
        <f t="shared" si="17"/>
        <v>10029727421</v>
      </c>
      <c r="N551">
        <f ca="1">IF(M551&lt;&gt;M550,INDEX(CustInfo!$A$2:$A$1001,RANDBETWEEN(1,1000)),N550)</f>
        <v>11651</v>
      </c>
      <c r="O551" t="s">
        <v>1001</v>
      </c>
      <c r="P551">
        <v>52936685</v>
      </c>
    </row>
    <row r="552" spans="1:16" x14ac:dyDescent="0.35">
      <c r="A552">
        <v>93827212191</v>
      </c>
      <c r="C552" s="2" t="s">
        <v>883</v>
      </c>
      <c r="D552">
        <v>3</v>
      </c>
      <c r="E552">
        <v>76891213455</v>
      </c>
      <c r="F552">
        <f t="shared" ca="1" si="16"/>
        <v>65</v>
      </c>
      <c r="G552">
        <f ca="1">VLOOKUP(E552,PurchItem!$A$2:$H$508,8,0)</f>
        <v>783.48955625183578</v>
      </c>
      <c r="H552">
        <v>0.04</v>
      </c>
      <c r="I552" t="s">
        <v>244</v>
      </c>
      <c r="J552" s="5">
        <v>44589.594524409724</v>
      </c>
      <c r="K552" s="5">
        <v>44590.189048819448</v>
      </c>
      <c r="M552">
        <f t="shared" si="17"/>
        <v>10029727421</v>
      </c>
      <c r="N552">
        <f ca="1">IF(M552&lt;&gt;M551,INDEX(CustInfo!$A$2:$A$1001,RANDBETWEEN(1,1000)),N551)</f>
        <v>11651</v>
      </c>
      <c r="O552" t="s">
        <v>1001</v>
      </c>
      <c r="P552">
        <v>52936686</v>
      </c>
    </row>
    <row r="553" spans="1:16" x14ac:dyDescent="0.35">
      <c r="A553">
        <v>93827212191</v>
      </c>
      <c r="C553" s="2" t="s">
        <v>883</v>
      </c>
      <c r="D553">
        <v>4</v>
      </c>
      <c r="E553">
        <v>76891213155</v>
      </c>
      <c r="F553">
        <f t="shared" ca="1" si="16"/>
        <v>48</v>
      </c>
      <c r="G553">
        <f ca="1">VLOOKUP(E553,PurchItem!$A$2:$H$508,8,0)</f>
        <v>3627.1918809763515</v>
      </c>
      <c r="H553">
        <v>0.04</v>
      </c>
      <c r="I553" t="s">
        <v>244</v>
      </c>
      <c r="J553" s="5">
        <v>45258.594524409724</v>
      </c>
      <c r="K553" s="5">
        <v>45262.189048819448</v>
      </c>
      <c r="M553">
        <f t="shared" si="17"/>
        <v>10029727421</v>
      </c>
      <c r="N553">
        <f ca="1">IF(M553&lt;&gt;M552,INDEX(CustInfo!$A$2:$A$1001,RANDBETWEEN(1,1000)),N552)</f>
        <v>11651</v>
      </c>
      <c r="O553" t="s">
        <v>1001</v>
      </c>
      <c r="P553">
        <v>52936687</v>
      </c>
    </row>
    <row r="554" spans="1:16" x14ac:dyDescent="0.35">
      <c r="A554">
        <v>93827212192</v>
      </c>
      <c r="C554" s="2" t="s">
        <v>883</v>
      </c>
      <c r="D554">
        <v>1</v>
      </c>
      <c r="E554">
        <v>76891213449</v>
      </c>
      <c r="F554">
        <f t="shared" ca="1" si="16"/>
        <v>72</v>
      </c>
      <c r="G554">
        <f ca="1">VLOOKUP(E554,PurchItem!$A$2:$H$508,8,0)</f>
        <v>8466.7708817939128</v>
      </c>
      <c r="H554">
        <v>0.05</v>
      </c>
      <c r="I554" t="s">
        <v>244</v>
      </c>
      <c r="J554" s="5">
        <v>44592.594524409724</v>
      </c>
      <c r="K554" s="5">
        <v>44594.189048819448</v>
      </c>
      <c r="M554">
        <f t="shared" si="17"/>
        <v>10029727422</v>
      </c>
      <c r="N554">
        <f ca="1">IF(M554&lt;&gt;M553,INDEX(CustInfo!$A$2:$A$1001,RANDBETWEEN(1,1000)),N553)</f>
        <v>11335</v>
      </c>
      <c r="O554" t="s">
        <v>1003</v>
      </c>
      <c r="P554">
        <v>52936688</v>
      </c>
    </row>
    <row r="555" spans="1:16" x14ac:dyDescent="0.35">
      <c r="A555">
        <v>93827212192</v>
      </c>
      <c r="C555" s="2" t="s">
        <v>883</v>
      </c>
      <c r="D555">
        <v>2</v>
      </c>
      <c r="E555">
        <v>76891213626</v>
      </c>
      <c r="F555">
        <f t="shared" ca="1" si="16"/>
        <v>54</v>
      </c>
      <c r="G555">
        <f ca="1">VLOOKUP(E555,PurchItem!$A$2:$H$508,8,0)</f>
        <v>5785.3222518353095</v>
      </c>
      <c r="H555">
        <v>0.06</v>
      </c>
      <c r="I555" t="s">
        <v>244</v>
      </c>
      <c r="J555" s="5">
        <v>44667.594524409724</v>
      </c>
      <c r="K555" s="5">
        <v>44668.189048819448</v>
      </c>
      <c r="M555">
        <f t="shared" si="17"/>
        <v>10029727422</v>
      </c>
      <c r="N555">
        <f ca="1">IF(M555&lt;&gt;M554,INDEX(CustInfo!$A$2:$A$1001,RANDBETWEEN(1,1000)),N554)</f>
        <v>11335</v>
      </c>
      <c r="O555" t="s">
        <v>1003</v>
      </c>
      <c r="P555">
        <v>52936689</v>
      </c>
    </row>
    <row r="556" spans="1:16" x14ac:dyDescent="0.35">
      <c r="A556">
        <v>93827212193</v>
      </c>
      <c r="C556" s="2" t="s">
        <v>883</v>
      </c>
      <c r="D556">
        <v>1</v>
      </c>
      <c r="E556">
        <v>76891213183</v>
      </c>
      <c r="F556">
        <f t="shared" ca="1" si="16"/>
        <v>48</v>
      </c>
      <c r="G556">
        <f ca="1">VLOOKUP(E556,PurchItem!$A$2:$H$508,8,0)</f>
        <v>4515.1780100847882</v>
      </c>
      <c r="H556">
        <v>0.05</v>
      </c>
      <c r="I556" t="s">
        <v>244</v>
      </c>
      <c r="J556" s="5">
        <v>44652.594524409724</v>
      </c>
      <c r="K556" s="5">
        <v>44653.189048819448</v>
      </c>
      <c r="M556">
        <f t="shared" si="17"/>
        <v>10029727423</v>
      </c>
      <c r="N556">
        <f ca="1">IF(M556&lt;&gt;M555,INDEX(CustInfo!$A$2:$A$1001,RANDBETWEEN(1,1000)),N555)</f>
        <v>11382</v>
      </c>
      <c r="O556" t="s">
        <v>1003</v>
      </c>
      <c r="P556">
        <v>52936690</v>
      </c>
    </row>
    <row r="557" spans="1:16" x14ac:dyDescent="0.35">
      <c r="A557">
        <v>93827212193</v>
      </c>
      <c r="C557" s="2" t="s">
        <v>883</v>
      </c>
      <c r="D557">
        <v>2</v>
      </c>
      <c r="E557">
        <v>76891213285</v>
      </c>
      <c r="F557">
        <f t="shared" ca="1" si="16"/>
        <v>60</v>
      </c>
      <c r="G557">
        <f ca="1">VLOOKUP(E557,PurchItem!$A$2:$H$508,8,0)</f>
        <v>2999.1680501372957</v>
      </c>
      <c r="H557">
        <v>0.05</v>
      </c>
      <c r="I557" t="s">
        <v>244</v>
      </c>
      <c r="J557" s="5">
        <v>45293.594524409724</v>
      </c>
      <c r="K557" s="5">
        <v>45295.189048819448</v>
      </c>
      <c r="M557">
        <f t="shared" si="17"/>
        <v>10029727423</v>
      </c>
      <c r="N557">
        <f ca="1">IF(M557&lt;&gt;M556,INDEX(CustInfo!$A$2:$A$1001,RANDBETWEEN(1,1000)),N556)</f>
        <v>11382</v>
      </c>
      <c r="O557" t="s">
        <v>1003</v>
      </c>
      <c r="P557">
        <v>52936691</v>
      </c>
    </row>
    <row r="558" spans="1:16" x14ac:dyDescent="0.35">
      <c r="A558">
        <v>93827212194</v>
      </c>
      <c r="C558" s="2" t="s">
        <v>883</v>
      </c>
      <c r="D558">
        <v>1</v>
      </c>
      <c r="E558">
        <v>76891213305</v>
      </c>
      <c r="F558">
        <f t="shared" ca="1" si="16"/>
        <v>20</v>
      </c>
      <c r="G558">
        <f ca="1">VLOOKUP(E558,PurchItem!$A$2:$H$508,8,0)</f>
        <v>7454.0016740690317</v>
      </c>
      <c r="H558">
        <v>0.04</v>
      </c>
      <c r="I558" t="s">
        <v>244</v>
      </c>
      <c r="J558" s="5">
        <v>45191.594524409724</v>
      </c>
      <c r="K558" s="5">
        <v>45192.189048819448</v>
      </c>
      <c r="M558">
        <f t="shared" si="17"/>
        <v>10029727424</v>
      </c>
      <c r="N558">
        <f ca="1">IF(M558&lt;&gt;M557,INDEX(CustInfo!$A$2:$A$1001,RANDBETWEEN(1,1000)),N557)</f>
        <v>11887</v>
      </c>
      <c r="O558" t="s">
        <v>1001</v>
      </c>
      <c r="P558">
        <v>52936692</v>
      </c>
    </row>
    <row r="559" spans="1:16" x14ac:dyDescent="0.35">
      <c r="A559">
        <v>93827212194</v>
      </c>
      <c r="C559" s="2" t="s">
        <v>883</v>
      </c>
      <c r="D559">
        <v>2</v>
      </c>
      <c r="E559">
        <v>76891213514</v>
      </c>
      <c r="F559">
        <f t="shared" ca="1" si="16"/>
        <v>37</v>
      </c>
      <c r="G559">
        <f ca="1">VLOOKUP(E559,PurchItem!$A$2:$H$508,8,0)</f>
        <v>5315.5344122127744</v>
      </c>
      <c r="H559">
        <v>0.06</v>
      </c>
      <c r="I559" t="s">
        <v>244</v>
      </c>
      <c r="J559" s="5">
        <v>44673.594524409724</v>
      </c>
      <c r="K559" s="5">
        <v>44677.189048819448</v>
      </c>
      <c r="M559">
        <f t="shared" si="17"/>
        <v>10029727424</v>
      </c>
      <c r="N559">
        <f ca="1">IF(M559&lt;&gt;M558,INDEX(CustInfo!$A$2:$A$1001,RANDBETWEEN(1,1000)),N558)</f>
        <v>11887</v>
      </c>
      <c r="O559" t="s">
        <v>1001</v>
      </c>
      <c r="P559">
        <v>52936693</v>
      </c>
    </row>
    <row r="560" spans="1:16" x14ac:dyDescent="0.35">
      <c r="A560">
        <v>93827212194</v>
      </c>
      <c r="C560" s="2" t="s">
        <v>883</v>
      </c>
      <c r="D560">
        <v>3</v>
      </c>
      <c r="E560">
        <v>76891213540</v>
      </c>
      <c r="F560">
        <f t="shared" ca="1" si="16"/>
        <v>90</v>
      </c>
      <c r="G560">
        <f ca="1">VLOOKUP(E560,PurchItem!$A$2:$H$508,8,0)</f>
        <v>4363.4287015373038</v>
      </c>
      <c r="H560">
        <v>0.04</v>
      </c>
      <c r="I560" t="s">
        <v>244</v>
      </c>
      <c r="J560" s="5">
        <v>45351.594524409724</v>
      </c>
      <c r="K560" s="5">
        <v>45352.189048819448</v>
      </c>
      <c r="M560">
        <f t="shared" si="17"/>
        <v>10029727424</v>
      </c>
      <c r="N560">
        <f ca="1">IF(M560&lt;&gt;M559,INDEX(CustInfo!$A$2:$A$1001,RANDBETWEEN(1,1000)),N559)</f>
        <v>11887</v>
      </c>
      <c r="O560" t="s">
        <v>1001</v>
      </c>
      <c r="P560">
        <v>52936694</v>
      </c>
    </row>
    <row r="561" spans="1:16" x14ac:dyDescent="0.35">
      <c r="A561">
        <v>93827212194</v>
      </c>
      <c r="C561" s="2" t="s">
        <v>883</v>
      </c>
      <c r="D561">
        <v>4</v>
      </c>
      <c r="E561">
        <v>76891213302</v>
      </c>
      <c r="F561">
        <f t="shared" ca="1" si="16"/>
        <v>28</v>
      </c>
      <c r="G561">
        <f ca="1">VLOOKUP(E561,PurchItem!$A$2:$H$508,8,0)</f>
        <v>854.8584191118091</v>
      </c>
      <c r="H561">
        <v>0.06</v>
      </c>
      <c r="I561" t="s">
        <v>244</v>
      </c>
      <c r="J561" s="5">
        <v>45267.594524409724</v>
      </c>
      <c r="K561" s="5">
        <v>45268.189048819448</v>
      </c>
      <c r="M561">
        <f t="shared" si="17"/>
        <v>10029727424</v>
      </c>
      <c r="N561">
        <f ca="1">IF(M561&lt;&gt;M560,INDEX(CustInfo!$A$2:$A$1001,RANDBETWEEN(1,1000)),N560)</f>
        <v>11887</v>
      </c>
      <c r="O561" t="s">
        <v>1001</v>
      </c>
      <c r="P561">
        <v>52936695</v>
      </c>
    </row>
    <row r="562" spans="1:16" x14ac:dyDescent="0.35">
      <c r="A562">
        <v>93827212195</v>
      </c>
      <c r="C562" s="2" t="s">
        <v>883</v>
      </c>
      <c r="D562">
        <v>1</v>
      </c>
      <c r="E562">
        <v>76891213417</v>
      </c>
      <c r="F562">
        <f t="shared" ca="1" si="16"/>
        <v>97</v>
      </c>
      <c r="G562">
        <f ca="1">VLOOKUP(E562,PurchItem!$A$2:$H$508,8,0)</f>
        <v>2722.8501831766084</v>
      </c>
      <c r="H562">
        <v>0.05</v>
      </c>
      <c r="I562" t="s">
        <v>244</v>
      </c>
      <c r="J562" s="5">
        <v>45077.594524409724</v>
      </c>
      <c r="K562" s="5">
        <v>45078.189048819448</v>
      </c>
      <c r="M562">
        <f t="shared" si="17"/>
        <v>10029727425</v>
      </c>
      <c r="N562">
        <f ca="1">IF(M562&lt;&gt;M561,INDEX(CustInfo!$A$2:$A$1001,RANDBETWEEN(1,1000)),N561)</f>
        <v>11603</v>
      </c>
      <c r="O562" t="s">
        <v>1002</v>
      </c>
      <c r="P562">
        <v>52936696</v>
      </c>
    </row>
    <row r="563" spans="1:16" x14ac:dyDescent="0.35">
      <c r="A563">
        <v>93827212196</v>
      </c>
      <c r="C563" s="2" t="s">
        <v>883</v>
      </c>
      <c r="D563">
        <v>1</v>
      </c>
      <c r="E563">
        <v>76891213560</v>
      </c>
      <c r="F563">
        <f t="shared" ca="1" si="16"/>
        <v>64</v>
      </c>
      <c r="G563">
        <f ca="1">VLOOKUP(E563,PurchItem!$A$2:$H$508,8,0)</f>
        <v>9258.5719141936788</v>
      </c>
      <c r="H563">
        <v>0.06</v>
      </c>
      <c r="I563" t="s">
        <v>244</v>
      </c>
      <c r="J563" s="5">
        <v>45367.594524409724</v>
      </c>
      <c r="K563" s="5">
        <v>45368.189048819448</v>
      </c>
      <c r="M563">
        <f t="shared" si="17"/>
        <v>10029727426</v>
      </c>
      <c r="N563">
        <f ca="1">IF(M563&lt;&gt;M562,INDEX(CustInfo!$A$2:$A$1001,RANDBETWEEN(1,1000)),N562)</f>
        <v>11394</v>
      </c>
      <c r="O563" t="s">
        <v>1001</v>
      </c>
      <c r="P563">
        <v>52936697</v>
      </c>
    </row>
    <row r="564" spans="1:16" x14ac:dyDescent="0.35">
      <c r="A564">
        <v>93827212196</v>
      </c>
      <c r="C564" s="2" t="s">
        <v>883</v>
      </c>
      <c r="D564">
        <v>2</v>
      </c>
      <c r="E564">
        <v>76891213222</v>
      </c>
      <c r="F564">
        <f t="shared" ca="1" si="16"/>
        <v>54</v>
      </c>
      <c r="G564">
        <f ca="1">VLOOKUP(E564,PurchItem!$A$2:$H$508,8,0)</f>
        <v>1665.2112570616277</v>
      </c>
      <c r="H564">
        <v>0.05</v>
      </c>
      <c r="I564" t="s">
        <v>244</v>
      </c>
      <c r="J564" s="5">
        <v>45234.594524409724</v>
      </c>
      <c r="K564" s="5">
        <v>45237.189048819448</v>
      </c>
      <c r="M564">
        <f t="shared" si="17"/>
        <v>10029727426</v>
      </c>
      <c r="N564">
        <f ca="1">IF(M564&lt;&gt;M563,INDEX(CustInfo!$A$2:$A$1001,RANDBETWEEN(1,1000)),N563)</f>
        <v>11394</v>
      </c>
      <c r="O564" t="s">
        <v>1001</v>
      </c>
      <c r="P564">
        <v>52936698</v>
      </c>
    </row>
    <row r="565" spans="1:16" x14ac:dyDescent="0.35">
      <c r="A565">
        <v>93827212197</v>
      </c>
      <c r="C565" s="2" t="s">
        <v>883</v>
      </c>
      <c r="D565">
        <v>1</v>
      </c>
      <c r="E565">
        <v>76891213565</v>
      </c>
      <c r="F565">
        <f t="shared" ca="1" si="16"/>
        <v>30</v>
      </c>
      <c r="G565">
        <f ca="1">VLOOKUP(E565,PurchItem!$A$2:$H$508,8,0)</f>
        <v>5060.9339224760633</v>
      </c>
      <c r="H565">
        <v>0.04</v>
      </c>
      <c r="I565" t="s">
        <v>244</v>
      </c>
      <c r="J565" s="5">
        <v>45225.594524409724</v>
      </c>
      <c r="K565" s="5">
        <v>45227.189048819448</v>
      </c>
      <c r="M565">
        <f t="shared" si="17"/>
        <v>10029727427</v>
      </c>
      <c r="N565">
        <f ca="1">IF(M565&lt;&gt;M564,INDEX(CustInfo!$A$2:$A$1001,RANDBETWEEN(1,1000)),N564)</f>
        <v>11803</v>
      </c>
      <c r="O565" t="s">
        <v>1002</v>
      </c>
      <c r="P565">
        <v>52936699</v>
      </c>
    </row>
    <row r="566" spans="1:16" x14ac:dyDescent="0.35">
      <c r="A566">
        <v>93827212197</v>
      </c>
      <c r="C566" s="2" t="s">
        <v>883</v>
      </c>
      <c r="D566">
        <v>2</v>
      </c>
      <c r="E566">
        <v>76891213406</v>
      </c>
      <c r="F566">
        <f t="shared" ca="1" si="16"/>
        <v>31</v>
      </c>
      <c r="G566">
        <f ca="1">VLOOKUP(E566,PurchItem!$A$2:$H$508,8,0)</f>
        <v>5847.2033516990386</v>
      </c>
      <c r="H566">
        <v>0.06</v>
      </c>
      <c r="I566" t="s">
        <v>244</v>
      </c>
      <c r="J566" s="5">
        <v>44569.594524409724</v>
      </c>
      <c r="K566" s="5">
        <v>44570.189048819448</v>
      </c>
      <c r="M566">
        <f t="shared" si="17"/>
        <v>10029727427</v>
      </c>
      <c r="N566">
        <f ca="1">IF(M566&lt;&gt;M565,INDEX(CustInfo!$A$2:$A$1001,RANDBETWEEN(1,1000)),N565)</f>
        <v>11803</v>
      </c>
      <c r="O566" t="s">
        <v>1002</v>
      </c>
      <c r="P566">
        <v>52936700</v>
      </c>
    </row>
    <row r="567" spans="1:16" x14ac:dyDescent="0.35">
      <c r="A567">
        <v>93827212197</v>
      </c>
      <c r="C567" s="2" t="s">
        <v>883</v>
      </c>
      <c r="D567">
        <v>3</v>
      </c>
      <c r="E567">
        <v>76891213220</v>
      </c>
      <c r="F567">
        <f t="shared" ca="1" si="16"/>
        <v>21</v>
      </c>
      <c r="G567">
        <f ca="1">VLOOKUP(E567,PurchItem!$A$2:$H$508,8,0)</f>
        <v>2008.1764337227496</v>
      </c>
      <c r="H567">
        <v>0.05</v>
      </c>
      <c r="I567" t="s">
        <v>244</v>
      </c>
      <c r="J567" s="5">
        <v>45334.594524409724</v>
      </c>
      <c r="K567" s="5">
        <v>45335.189048819448</v>
      </c>
      <c r="M567">
        <f t="shared" si="17"/>
        <v>10029727427</v>
      </c>
      <c r="N567">
        <f ca="1">IF(M567&lt;&gt;M566,INDEX(CustInfo!$A$2:$A$1001,RANDBETWEEN(1,1000)),N566)</f>
        <v>11803</v>
      </c>
      <c r="O567" t="s">
        <v>1002</v>
      </c>
      <c r="P567">
        <v>52936701</v>
      </c>
    </row>
    <row r="568" spans="1:16" x14ac:dyDescent="0.35">
      <c r="A568">
        <v>93827212198</v>
      </c>
      <c r="C568" s="2" t="s">
        <v>883</v>
      </c>
      <c r="D568">
        <v>1</v>
      </c>
      <c r="E568">
        <v>76891213281</v>
      </c>
      <c r="F568">
        <f t="shared" ca="1" si="16"/>
        <v>41</v>
      </c>
      <c r="G568">
        <f ca="1">VLOOKUP(E568,PurchItem!$A$2:$H$508,8,0)</f>
        <v>9058.0092731097448</v>
      </c>
      <c r="H568">
        <v>0.04</v>
      </c>
      <c r="I568" t="s">
        <v>244</v>
      </c>
      <c r="J568" s="5">
        <v>44631.594524409724</v>
      </c>
      <c r="K568" s="5">
        <v>44632.189048819448</v>
      </c>
      <c r="M568">
        <f t="shared" si="17"/>
        <v>10029727428</v>
      </c>
      <c r="N568">
        <f ca="1">IF(M568&lt;&gt;M567,INDEX(CustInfo!$A$2:$A$1001,RANDBETWEEN(1,1000)),N567)</f>
        <v>11481</v>
      </c>
      <c r="O568" t="s">
        <v>1003</v>
      </c>
      <c r="P568">
        <v>52936702</v>
      </c>
    </row>
    <row r="569" spans="1:16" x14ac:dyDescent="0.35">
      <c r="A569">
        <v>93827212198</v>
      </c>
      <c r="C569" s="2" t="s">
        <v>883</v>
      </c>
      <c r="D569">
        <v>2</v>
      </c>
      <c r="E569">
        <v>76891213525</v>
      </c>
      <c r="F569">
        <f t="shared" ca="1" si="16"/>
        <v>30</v>
      </c>
      <c r="G569">
        <f ca="1">VLOOKUP(E569,PurchItem!$A$2:$H$508,8,0)</f>
        <v>2407.0786181550084</v>
      </c>
      <c r="H569">
        <v>0.05</v>
      </c>
      <c r="I569" t="s">
        <v>244</v>
      </c>
      <c r="J569" s="5">
        <v>45575.594524409724</v>
      </c>
      <c r="K569" s="5">
        <v>45578.189048819448</v>
      </c>
      <c r="M569">
        <f t="shared" si="17"/>
        <v>10029727428</v>
      </c>
      <c r="N569">
        <f ca="1">IF(M569&lt;&gt;M568,INDEX(CustInfo!$A$2:$A$1001,RANDBETWEEN(1,1000)),N568)</f>
        <v>11481</v>
      </c>
      <c r="O569" t="s">
        <v>1003</v>
      </c>
      <c r="P569">
        <v>52936703</v>
      </c>
    </row>
    <row r="570" spans="1:16" x14ac:dyDescent="0.35">
      <c r="A570">
        <v>93827212199</v>
      </c>
      <c r="C570" s="2" t="s">
        <v>883</v>
      </c>
      <c r="D570">
        <v>1</v>
      </c>
      <c r="E570">
        <v>76891213588</v>
      </c>
      <c r="F570">
        <f t="shared" ca="1" si="16"/>
        <v>57</v>
      </c>
      <c r="G570">
        <f ca="1">VLOOKUP(E570,PurchItem!$A$2:$H$508,8,0)</f>
        <v>8034.7750134766238</v>
      </c>
      <c r="H570">
        <v>0.05</v>
      </c>
      <c r="I570" t="s">
        <v>244</v>
      </c>
      <c r="J570" s="5">
        <v>44984.594524409724</v>
      </c>
      <c r="K570" s="5">
        <v>44986.189048819448</v>
      </c>
      <c r="M570">
        <f t="shared" si="17"/>
        <v>10029727429</v>
      </c>
      <c r="N570">
        <f ca="1">IF(M570&lt;&gt;M569,INDEX(CustInfo!$A$2:$A$1001,RANDBETWEEN(1,1000)),N569)</f>
        <v>11233</v>
      </c>
      <c r="O570" t="s">
        <v>1002</v>
      </c>
      <c r="P570">
        <v>52936704</v>
      </c>
    </row>
    <row r="571" spans="1:16" x14ac:dyDescent="0.35">
      <c r="A571">
        <v>93827212199</v>
      </c>
      <c r="C571" s="2" t="s">
        <v>883</v>
      </c>
      <c r="D571">
        <v>2</v>
      </c>
      <c r="E571">
        <v>76891213449</v>
      </c>
      <c r="F571">
        <f t="shared" ca="1" si="16"/>
        <v>18</v>
      </c>
      <c r="G571">
        <f ca="1">VLOOKUP(E571,PurchItem!$A$2:$H$508,8,0)</f>
        <v>8466.7708817939128</v>
      </c>
      <c r="H571">
        <v>0.05</v>
      </c>
      <c r="I571" t="s">
        <v>244</v>
      </c>
      <c r="J571" s="5">
        <v>45056.594524409724</v>
      </c>
      <c r="K571" s="5">
        <v>45058.189048819448</v>
      </c>
      <c r="M571">
        <f t="shared" si="17"/>
        <v>10029727429</v>
      </c>
      <c r="N571">
        <f ca="1">IF(M571&lt;&gt;M570,INDEX(CustInfo!$A$2:$A$1001,RANDBETWEEN(1,1000)),N570)</f>
        <v>11233</v>
      </c>
      <c r="O571" t="s">
        <v>1002</v>
      </c>
      <c r="P571">
        <v>52936705</v>
      </c>
    </row>
    <row r="572" spans="1:16" x14ac:dyDescent="0.35">
      <c r="A572">
        <v>93827212199</v>
      </c>
      <c r="C572" s="2" t="s">
        <v>883</v>
      </c>
      <c r="D572">
        <v>3</v>
      </c>
      <c r="E572">
        <v>76891213162</v>
      </c>
      <c r="F572">
        <f t="shared" ca="1" si="16"/>
        <v>95</v>
      </c>
      <c r="G572">
        <f ca="1">VLOOKUP(E572,PurchItem!$A$2:$H$508,8,0)</f>
        <v>4691.9230552298568</v>
      </c>
      <c r="H572">
        <v>0.05</v>
      </c>
      <c r="I572" t="s">
        <v>244</v>
      </c>
      <c r="J572" s="5">
        <v>44807.594524409724</v>
      </c>
      <c r="K572" s="5">
        <v>44808.189048819448</v>
      </c>
      <c r="M572">
        <f t="shared" si="17"/>
        <v>10029727429</v>
      </c>
      <c r="N572">
        <f ca="1">IF(M572&lt;&gt;M571,INDEX(CustInfo!$A$2:$A$1001,RANDBETWEEN(1,1000)),N571)</f>
        <v>11233</v>
      </c>
      <c r="O572" t="s">
        <v>1002</v>
      </c>
      <c r="P572">
        <v>52936706</v>
      </c>
    </row>
    <row r="573" spans="1:16" x14ac:dyDescent="0.35">
      <c r="A573">
        <v>93827212199</v>
      </c>
      <c r="C573" s="2" t="s">
        <v>883</v>
      </c>
      <c r="D573">
        <v>4</v>
      </c>
      <c r="E573">
        <v>76891213385</v>
      </c>
      <c r="F573">
        <f t="shared" ca="1" si="16"/>
        <v>55</v>
      </c>
      <c r="G573">
        <f ca="1">VLOOKUP(E573,PurchItem!$A$2:$H$508,8,0)</f>
        <v>6325.6133263002412</v>
      </c>
      <c r="H573">
        <v>0.04</v>
      </c>
      <c r="I573" t="s">
        <v>244</v>
      </c>
      <c r="J573" s="5">
        <v>44624.594524409724</v>
      </c>
      <c r="K573" s="5">
        <v>44628.189048819448</v>
      </c>
      <c r="M573">
        <f t="shared" si="17"/>
        <v>10029727429</v>
      </c>
      <c r="N573">
        <f ca="1">IF(M573&lt;&gt;M572,INDEX(CustInfo!$A$2:$A$1001,RANDBETWEEN(1,1000)),N572)</f>
        <v>11233</v>
      </c>
      <c r="O573" t="s">
        <v>1002</v>
      </c>
      <c r="P573">
        <v>52936707</v>
      </c>
    </row>
    <row r="574" spans="1:16" x14ac:dyDescent="0.35">
      <c r="A574">
        <v>93827212200</v>
      </c>
      <c r="C574" s="2" t="s">
        <v>883</v>
      </c>
      <c r="D574">
        <v>1</v>
      </c>
      <c r="E574">
        <v>76891213201</v>
      </c>
      <c r="F574">
        <f t="shared" ca="1" si="16"/>
        <v>44</v>
      </c>
      <c r="G574">
        <f ca="1">VLOOKUP(E574,PurchItem!$A$2:$H$508,8,0)</f>
        <v>6682.2142517924858</v>
      </c>
      <c r="H574">
        <v>0.04</v>
      </c>
      <c r="I574" t="s">
        <v>244</v>
      </c>
      <c r="J574" s="5">
        <v>44562.594524409724</v>
      </c>
      <c r="K574" s="5">
        <v>44565.189048819448</v>
      </c>
      <c r="M574">
        <f t="shared" si="17"/>
        <v>10029727430</v>
      </c>
      <c r="N574">
        <f ca="1">IF(M574&lt;&gt;M573,INDEX(CustInfo!$A$2:$A$1001,RANDBETWEEN(1,1000)),N573)</f>
        <v>11940</v>
      </c>
      <c r="O574" t="s">
        <v>1003</v>
      </c>
      <c r="P574">
        <v>52936708</v>
      </c>
    </row>
    <row r="575" spans="1:16" x14ac:dyDescent="0.35">
      <c r="A575">
        <v>93827212200</v>
      </c>
      <c r="C575" s="2" t="s">
        <v>883</v>
      </c>
      <c r="D575">
        <v>2</v>
      </c>
      <c r="E575">
        <v>76891213601</v>
      </c>
      <c r="F575">
        <f t="shared" ca="1" si="16"/>
        <v>70</v>
      </c>
      <c r="G575">
        <f ca="1">VLOOKUP(E575,PurchItem!$A$2:$H$508,8,0)</f>
        <v>3260.9614068008614</v>
      </c>
      <c r="H575">
        <v>0.05</v>
      </c>
      <c r="I575" t="s">
        <v>244</v>
      </c>
      <c r="J575" s="5">
        <v>45285.594524409724</v>
      </c>
      <c r="K575" s="5">
        <v>45289.189048819448</v>
      </c>
      <c r="M575">
        <f t="shared" si="17"/>
        <v>10029727430</v>
      </c>
      <c r="N575">
        <f ca="1">IF(M575&lt;&gt;M574,INDEX(CustInfo!$A$2:$A$1001,RANDBETWEEN(1,1000)),N574)</f>
        <v>11940</v>
      </c>
      <c r="O575" t="s">
        <v>1003</v>
      </c>
      <c r="P575">
        <v>52936709</v>
      </c>
    </row>
    <row r="576" spans="1:16" x14ac:dyDescent="0.35">
      <c r="A576">
        <v>93827212200</v>
      </c>
      <c r="C576" s="2" t="s">
        <v>883</v>
      </c>
      <c r="D576">
        <v>3</v>
      </c>
      <c r="E576">
        <v>76891213576</v>
      </c>
      <c r="F576">
        <f t="shared" ca="1" si="16"/>
        <v>26</v>
      </c>
      <c r="G576">
        <f ca="1">VLOOKUP(E576,PurchItem!$A$2:$H$508,8,0)</f>
        <v>8640.0306177993825</v>
      </c>
      <c r="H576">
        <v>0.04</v>
      </c>
      <c r="I576" t="s">
        <v>244</v>
      </c>
      <c r="J576" s="5">
        <v>44810.594524409724</v>
      </c>
      <c r="K576" s="5">
        <v>44813.189048819448</v>
      </c>
      <c r="M576">
        <f t="shared" si="17"/>
        <v>10029727430</v>
      </c>
      <c r="N576">
        <f ca="1">IF(M576&lt;&gt;M575,INDEX(CustInfo!$A$2:$A$1001,RANDBETWEEN(1,1000)),N575)</f>
        <v>11940</v>
      </c>
      <c r="O576" t="s">
        <v>1003</v>
      </c>
      <c r="P576">
        <v>52936710</v>
      </c>
    </row>
    <row r="577" spans="1:16" x14ac:dyDescent="0.35">
      <c r="A577">
        <v>93827212200</v>
      </c>
      <c r="C577" s="2" t="s">
        <v>883</v>
      </c>
      <c r="D577">
        <v>4</v>
      </c>
      <c r="E577">
        <v>76891213418</v>
      </c>
      <c r="F577">
        <f t="shared" ca="1" si="16"/>
        <v>53</v>
      </c>
      <c r="G577">
        <f ca="1">VLOOKUP(E577,PurchItem!$A$2:$H$508,8,0)</f>
        <v>8210.6670108302296</v>
      </c>
      <c r="H577">
        <v>0.06</v>
      </c>
      <c r="I577" t="s">
        <v>244</v>
      </c>
      <c r="J577" s="5">
        <v>45538.594524409724</v>
      </c>
      <c r="K577" s="5">
        <v>45541.189048819448</v>
      </c>
      <c r="M577">
        <f t="shared" si="17"/>
        <v>10029727430</v>
      </c>
      <c r="N577">
        <f ca="1">IF(M577&lt;&gt;M576,INDEX(CustInfo!$A$2:$A$1001,RANDBETWEEN(1,1000)),N576)</f>
        <v>11940</v>
      </c>
      <c r="O577" t="s">
        <v>1003</v>
      </c>
      <c r="P577">
        <v>52936711</v>
      </c>
    </row>
    <row r="578" spans="1:16" x14ac:dyDescent="0.35">
      <c r="A578">
        <v>93827212201</v>
      </c>
      <c r="C578" s="2" t="s">
        <v>883</v>
      </c>
      <c r="D578">
        <v>1</v>
      </c>
      <c r="E578">
        <v>76891213480</v>
      </c>
      <c r="F578">
        <f t="shared" ca="1" si="16"/>
        <v>92</v>
      </c>
      <c r="G578">
        <f ca="1">VLOOKUP(E578,PurchItem!$A$2:$H$508,8,0)</f>
        <v>5818.9796436144088</v>
      </c>
      <c r="H578">
        <v>0.04</v>
      </c>
      <c r="I578" t="s">
        <v>244</v>
      </c>
      <c r="J578" s="5">
        <v>44634.594524409724</v>
      </c>
      <c r="K578" s="5">
        <v>44638.189048819448</v>
      </c>
      <c r="M578">
        <f t="shared" si="17"/>
        <v>10029727431</v>
      </c>
      <c r="N578">
        <f ca="1">IF(M578&lt;&gt;M577,INDEX(CustInfo!$A$2:$A$1001,RANDBETWEEN(1,1000)),N577)</f>
        <v>11658</v>
      </c>
      <c r="O578" t="s">
        <v>1003</v>
      </c>
      <c r="P578">
        <v>52936712</v>
      </c>
    </row>
    <row r="579" spans="1:16" x14ac:dyDescent="0.35">
      <c r="A579">
        <v>93827212201</v>
      </c>
      <c r="C579" s="2" t="s">
        <v>883</v>
      </c>
      <c r="D579">
        <v>2</v>
      </c>
      <c r="E579">
        <v>76891213325</v>
      </c>
      <c r="F579">
        <f t="shared" ref="F579:F642" ca="1" si="18">RANDBETWEEN(1,100)</f>
        <v>86</v>
      </c>
      <c r="G579">
        <f ca="1">VLOOKUP(E579,PurchItem!$A$2:$H$508,8,0)</f>
        <v>7717.8815474662742</v>
      </c>
      <c r="H579">
        <v>0.05</v>
      </c>
      <c r="I579" t="s">
        <v>244</v>
      </c>
      <c r="J579" s="5">
        <v>44593.594524409724</v>
      </c>
      <c r="K579" s="5">
        <v>44594.189048819448</v>
      </c>
      <c r="M579">
        <f t="shared" si="17"/>
        <v>10029727431</v>
      </c>
      <c r="N579">
        <f ca="1">IF(M579&lt;&gt;M578,INDEX(CustInfo!$A$2:$A$1001,RANDBETWEEN(1,1000)),N578)</f>
        <v>11658</v>
      </c>
      <c r="O579" t="s">
        <v>1003</v>
      </c>
      <c r="P579">
        <v>52936713</v>
      </c>
    </row>
    <row r="580" spans="1:16" x14ac:dyDescent="0.35">
      <c r="A580">
        <v>93827212202</v>
      </c>
      <c r="C580" s="2" t="s">
        <v>883</v>
      </c>
      <c r="D580">
        <v>1</v>
      </c>
      <c r="E580">
        <v>76891213587</v>
      </c>
      <c r="F580">
        <f t="shared" ca="1" si="18"/>
        <v>8</v>
      </c>
      <c r="G580">
        <f ca="1">VLOOKUP(E580,PurchItem!$A$2:$H$508,8,0)</f>
        <v>402.21981378530177</v>
      </c>
      <c r="H580">
        <v>0.06</v>
      </c>
      <c r="I580" t="s">
        <v>244</v>
      </c>
      <c r="J580" s="5">
        <v>44619.594524409724</v>
      </c>
      <c r="K580" s="5">
        <v>44621.189048819448</v>
      </c>
      <c r="M580">
        <f t="shared" si="17"/>
        <v>10029727432</v>
      </c>
      <c r="N580">
        <f ca="1">IF(M580&lt;&gt;M579,INDEX(CustInfo!$A$2:$A$1001,RANDBETWEEN(1,1000)),N579)</f>
        <v>11299</v>
      </c>
      <c r="O580" t="s">
        <v>1002</v>
      </c>
      <c r="P580">
        <v>52936714</v>
      </c>
    </row>
    <row r="581" spans="1:16" x14ac:dyDescent="0.35">
      <c r="A581">
        <v>93827212203</v>
      </c>
      <c r="C581" s="2" t="s">
        <v>883</v>
      </c>
      <c r="D581">
        <v>1</v>
      </c>
      <c r="E581">
        <v>76891213503</v>
      </c>
      <c r="F581">
        <f t="shared" ca="1" si="18"/>
        <v>72</v>
      </c>
      <c r="G581">
        <f ca="1">VLOOKUP(E581,PurchItem!$A$2:$H$508,8,0)</f>
        <v>9117.4983275195518</v>
      </c>
      <c r="H581">
        <v>0.06</v>
      </c>
      <c r="I581" t="s">
        <v>244</v>
      </c>
      <c r="J581" s="5">
        <v>45030.594524409724</v>
      </c>
      <c r="K581" s="5">
        <v>45034.189048819448</v>
      </c>
      <c r="M581">
        <f t="shared" ref="M581:M644" si="19">IF(A581&lt;&gt;A580,M580+1,M580)</f>
        <v>10029727433</v>
      </c>
      <c r="N581">
        <f ca="1">IF(M581&lt;&gt;M580,INDEX(CustInfo!$A$2:$A$1001,RANDBETWEEN(1,1000)),N580)</f>
        <v>11576</v>
      </c>
      <c r="O581" t="s">
        <v>1002</v>
      </c>
      <c r="P581">
        <v>52936715</v>
      </c>
    </row>
    <row r="582" spans="1:16" x14ac:dyDescent="0.35">
      <c r="A582">
        <v>93827212203</v>
      </c>
      <c r="C582" s="2" t="s">
        <v>883</v>
      </c>
      <c r="D582">
        <v>2</v>
      </c>
      <c r="E582">
        <v>76891213614</v>
      </c>
      <c r="F582">
        <f t="shared" ca="1" si="18"/>
        <v>2</v>
      </c>
      <c r="G582">
        <f ca="1">VLOOKUP(E582,PurchItem!$A$2:$H$508,8,0)</f>
        <v>9839.139054816611</v>
      </c>
      <c r="H582">
        <v>0.05</v>
      </c>
      <c r="I582" t="s">
        <v>244</v>
      </c>
      <c r="J582" s="5">
        <v>45115.594524409724</v>
      </c>
      <c r="K582" s="5">
        <v>45118.189048819448</v>
      </c>
      <c r="M582">
        <f t="shared" si="19"/>
        <v>10029727433</v>
      </c>
      <c r="N582">
        <f ca="1">IF(M582&lt;&gt;M581,INDEX(CustInfo!$A$2:$A$1001,RANDBETWEEN(1,1000)),N581)</f>
        <v>11576</v>
      </c>
      <c r="O582" t="s">
        <v>1002</v>
      </c>
      <c r="P582">
        <v>52936716</v>
      </c>
    </row>
    <row r="583" spans="1:16" x14ac:dyDescent="0.35">
      <c r="A583">
        <v>93827212203</v>
      </c>
      <c r="C583" s="2" t="s">
        <v>883</v>
      </c>
      <c r="D583">
        <v>3</v>
      </c>
      <c r="E583">
        <v>76891213180</v>
      </c>
      <c r="F583">
        <f t="shared" ca="1" si="18"/>
        <v>64</v>
      </c>
      <c r="G583">
        <f ca="1">VLOOKUP(E583,PurchItem!$A$2:$H$508,8,0)</f>
        <v>3521.2371052414392</v>
      </c>
      <c r="H583">
        <v>0.06</v>
      </c>
      <c r="I583" t="s">
        <v>244</v>
      </c>
      <c r="J583" s="5">
        <v>44870.594524409724</v>
      </c>
      <c r="K583" s="5">
        <v>44873.189048819448</v>
      </c>
      <c r="M583">
        <f t="shared" si="19"/>
        <v>10029727433</v>
      </c>
      <c r="N583">
        <f ca="1">IF(M583&lt;&gt;M582,INDEX(CustInfo!$A$2:$A$1001,RANDBETWEEN(1,1000)),N582)</f>
        <v>11576</v>
      </c>
      <c r="O583" t="s">
        <v>1002</v>
      </c>
      <c r="P583">
        <v>52936717</v>
      </c>
    </row>
    <row r="584" spans="1:16" x14ac:dyDescent="0.35">
      <c r="A584">
        <v>93827212204</v>
      </c>
      <c r="C584" s="2" t="s">
        <v>883</v>
      </c>
      <c r="D584">
        <v>1</v>
      </c>
      <c r="E584">
        <v>76891213546</v>
      </c>
      <c r="F584">
        <f t="shared" ca="1" si="18"/>
        <v>16</v>
      </c>
      <c r="G584">
        <f ca="1">VLOOKUP(E584,PurchItem!$A$2:$H$508,8,0)</f>
        <v>8263.053348102203</v>
      </c>
      <c r="H584">
        <v>0.05</v>
      </c>
      <c r="I584" t="s">
        <v>244</v>
      </c>
      <c r="J584" s="5">
        <v>44601.594524409724</v>
      </c>
      <c r="K584" s="5">
        <v>44602.189048819448</v>
      </c>
      <c r="M584">
        <f t="shared" si="19"/>
        <v>10029727434</v>
      </c>
      <c r="N584">
        <f ca="1">IF(M584&lt;&gt;M583,INDEX(CustInfo!$A$2:$A$1001,RANDBETWEEN(1,1000)),N583)</f>
        <v>11910</v>
      </c>
      <c r="O584" t="s">
        <v>1002</v>
      </c>
      <c r="P584">
        <v>52936718</v>
      </c>
    </row>
    <row r="585" spans="1:16" x14ac:dyDescent="0.35">
      <c r="A585">
        <v>93827212204</v>
      </c>
      <c r="C585" s="2" t="s">
        <v>883</v>
      </c>
      <c r="D585">
        <v>2</v>
      </c>
      <c r="E585">
        <v>76891213329</v>
      </c>
      <c r="F585">
        <f t="shared" ca="1" si="18"/>
        <v>86</v>
      </c>
      <c r="G585">
        <f ca="1">VLOOKUP(E585,PurchItem!$A$2:$H$508,8,0)</f>
        <v>3846.001981135933</v>
      </c>
      <c r="H585">
        <v>0.06</v>
      </c>
      <c r="I585" t="s">
        <v>244</v>
      </c>
      <c r="J585" s="5">
        <v>44933.594524409724</v>
      </c>
      <c r="K585" s="5">
        <v>44935.189048819448</v>
      </c>
      <c r="M585">
        <f t="shared" si="19"/>
        <v>10029727434</v>
      </c>
      <c r="N585">
        <f ca="1">IF(M585&lt;&gt;M584,INDEX(CustInfo!$A$2:$A$1001,RANDBETWEEN(1,1000)),N584)</f>
        <v>11910</v>
      </c>
      <c r="O585" t="s">
        <v>1002</v>
      </c>
      <c r="P585">
        <v>52936719</v>
      </c>
    </row>
    <row r="586" spans="1:16" x14ac:dyDescent="0.35">
      <c r="A586">
        <v>93827212204</v>
      </c>
      <c r="C586" s="2" t="s">
        <v>883</v>
      </c>
      <c r="D586">
        <v>3</v>
      </c>
      <c r="E586">
        <v>76891213418</v>
      </c>
      <c r="F586">
        <f t="shared" ca="1" si="18"/>
        <v>93</v>
      </c>
      <c r="G586">
        <f ca="1">VLOOKUP(E586,PurchItem!$A$2:$H$508,8,0)</f>
        <v>8210.6670108302296</v>
      </c>
      <c r="H586">
        <v>0.06</v>
      </c>
      <c r="I586" t="s">
        <v>244</v>
      </c>
      <c r="J586" s="5">
        <v>45524.594524409724</v>
      </c>
      <c r="K586" s="5">
        <v>45525.189048819448</v>
      </c>
      <c r="M586">
        <f t="shared" si="19"/>
        <v>10029727434</v>
      </c>
      <c r="N586">
        <f ca="1">IF(M586&lt;&gt;M585,INDEX(CustInfo!$A$2:$A$1001,RANDBETWEEN(1,1000)),N585)</f>
        <v>11910</v>
      </c>
      <c r="O586" t="s">
        <v>1002</v>
      </c>
      <c r="P586">
        <v>52936720</v>
      </c>
    </row>
    <row r="587" spans="1:16" x14ac:dyDescent="0.35">
      <c r="A587">
        <v>93827212205</v>
      </c>
      <c r="C587" s="2" t="s">
        <v>883</v>
      </c>
      <c r="D587">
        <v>1</v>
      </c>
      <c r="E587">
        <v>76891213268</v>
      </c>
      <c r="F587">
        <f t="shared" ca="1" si="18"/>
        <v>71</v>
      </c>
      <c r="G587">
        <f ca="1">VLOOKUP(E587,PurchItem!$A$2:$H$508,8,0)</f>
        <v>3438.1492682800576</v>
      </c>
      <c r="H587">
        <v>0.06</v>
      </c>
      <c r="I587" t="s">
        <v>244</v>
      </c>
      <c r="J587" s="5">
        <v>45282.594524409724</v>
      </c>
      <c r="K587" s="5">
        <v>45283.189048819448</v>
      </c>
      <c r="M587">
        <f t="shared" si="19"/>
        <v>10029727435</v>
      </c>
      <c r="N587">
        <f ca="1">IF(M587&lt;&gt;M586,INDEX(CustInfo!$A$2:$A$1001,RANDBETWEEN(1,1000)),N586)</f>
        <v>11720</v>
      </c>
      <c r="O587" t="s">
        <v>1003</v>
      </c>
      <c r="P587">
        <v>52936721</v>
      </c>
    </row>
    <row r="588" spans="1:16" x14ac:dyDescent="0.35">
      <c r="A588">
        <v>93827212206</v>
      </c>
      <c r="C588" s="2" t="s">
        <v>883</v>
      </c>
      <c r="D588">
        <v>1</v>
      </c>
      <c r="E588">
        <v>76891213425</v>
      </c>
      <c r="F588">
        <f t="shared" ca="1" si="18"/>
        <v>72</v>
      </c>
      <c r="G588">
        <f ca="1">VLOOKUP(E588,PurchItem!$A$2:$H$508,8,0)</f>
        <v>7305.5008049485577</v>
      </c>
      <c r="H588">
        <v>0.04</v>
      </c>
      <c r="I588" t="s">
        <v>244</v>
      </c>
      <c r="J588" s="5">
        <v>44715.594524409724</v>
      </c>
      <c r="K588" s="5">
        <v>44719.189048819448</v>
      </c>
      <c r="M588">
        <f t="shared" si="19"/>
        <v>10029727436</v>
      </c>
      <c r="N588">
        <f ca="1">IF(M588&lt;&gt;M587,INDEX(CustInfo!$A$2:$A$1001,RANDBETWEEN(1,1000)),N587)</f>
        <v>11054</v>
      </c>
      <c r="O588" t="s">
        <v>1001</v>
      </c>
      <c r="P588">
        <v>52936722</v>
      </c>
    </row>
    <row r="589" spans="1:16" x14ac:dyDescent="0.35">
      <c r="A589">
        <v>93827212206</v>
      </c>
      <c r="C589" s="2" t="s">
        <v>883</v>
      </c>
      <c r="D589">
        <v>2</v>
      </c>
      <c r="E589">
        <v>76891213229</v>
      </c>
      <c r="F589">
        <f t="shared" ca="1" si="18"/>
        <v>28</v>
      </c>
      <c r="G589">
        <f ca="1">VLOOKUP(E589,PurchItem!$A$2:$H$508,8,0)</f>
        <v>3150.6874887833542</v>
      </c>
      <c r="H589">
        <v>0.04</v>
      </c>
      <c r="I589" t="s">
        <v>244</v>
      </c>
      <c r="J589" s="5">
        <v>44983.594524409724</v>
      </c>
      <c r="K589" s="5">
        <v>44986.189048819448</v>
      </c>
      <c r="M589">
        <f t="shared" si="19"/>
        <v>10029727436</v>
      </c>
      <c r="N589">
        <f ca="1">IF(M589&lt;&gt;M588,INDEX(CustInfo!$A$2:$A$1001,RANDBETWEEN(1,1000)),N588)</f>
        <v>11054</v>
      </c>
      <c r="O589" t="s">
        <v>1001</v>
      </c>
      <c r="P589">
        <v>52936723</v>
      </c>
    </row>
    <row r="590" spans="1:16" x14ac:dyDescent="0.35">
      <c r="A590">
        <v>93827212207</v>
      </c>
      <c r="C590" s="2" t="s">
        <v>883</v>
      </c>
      <c r="D590">
        <v>1</v>
      </c>
      <c r="E590">
        <v>76891213492</v>
      </c>
      <c r="F590">
        <f t="shared" ca="1" si="18"/>
        <v>45</v>
      </c>
      <c r="G590">
        <f ca="1">VLOOKUP(E590,PurchItem!$A$2:$H$508,8,0)</f>
        <v>4212.9527121259771</v>
      </c>
      <c r="H590">
        <v>0.06</v>
      </c>
      <c r="I590" t="s">
        <v>244</v>
      </c>
      <c r="J590" s="5">
        <v>45193.594524409724</v>
      </c>
      <c r="K590" s="5">
        <v>45195.189048819448</v>
      </c>
      <c r="M590">
        <f t="shared" si="19"/>
        <v>10029727437</v>
      </c>
      <c r="N590">
        <f ca="1">IF(M590&lt;&gt;M589,INDEX(CustInfo!$A$2:$A$1001,RANDBETWEEN(1,1000)),N589)</f>
        <v>11709</v>
      </c>
      <c r="O590" t="s">
        <v>1002</v>
      </c>
      <c r="P590">
        <v>52936724</v>
      </c>
    </row>
    <row r="591" spans="1:16" x14ac:dyDescent="0.35">
      <c r="A591">
        <v>93827212207</v>
      </c>
      <c r="C591" s="2" t="s">
        <v>883</v>
      </c>
      <c r="D591">
        <v>2</v>
      </c>
      <c r="E591">
        <v>76891213417</v>
      </c>
      <c r="F591">
        <f t="shared" ca="1" si="18"/>
        <v>28</v>
      </c>
      <c r="G591">
        <f ca="1">VLOOKUP(E591,PurchItem!$A$2:$H$508,8,0)</f>
        <v>2722.8501831766084</v>
      </c>
      <c r="H591">
        <v>0.04</v>
      </c>
      <c r="I591" t="s">
        <v>244</v>
      </c>
      <c r="J591" s="5">
        <v>44916.594524409724</v>
      </c>
      <c r="K591" s="5">
        <v>44920.189048819448</v>
      </c>
      <c r="M591">
        <f t="shared" si="19"/>
        <v>10029727437</v>
      </c>
      <c r="N591">
        <f ca="1">IF(M591&lt;&gt;M590,INDEX(CustInfo!$A$2:$A$1001,RANDBETWEEN(1,1000)),N590)</f>
        <v>11709</v>
      </c>
      <c r="O591" t="s">
        <v>1002</v>
      </c>
      <c r="P591">
        <v>52936725</v>
      </c>
    </row>
    <row r="592" spans="1:16" x14ac:dyDescent="0.35">
      <c r="A592">
        <v>93827212207</v>
      </c>
      <c r="C592" s="2" t="s">
        <v>883</v>
      </c>
      <c r="D592">
        <v>3</v>
      </c>
      <c r="E592">
        <v>76891213610</v>
      </c>
      <c r="F592">
        <f t="shared" ca="1" si="18"/>
        <v>30</v>
      </c>
      <c r="G592">
        <f ca="1">VLOOKUP(E592,PurchItem!$A$2:$H$508,8,0)</f>
        <v>9496.0640582896649</v>
      </c>
      <c r="H592">
        <v>0.06</v>
      </c>
      <c r="I592" t="s">
        <v>244</v>
      </c>
      <c r="J592" s="5">
        <v>44860.594524409724</v>
      </c>
      <c r="K592" s="5">
        <v>44863.189048819448</v>
      </c>
      <c r="M592">
        <f t="shared" si="19"/>
        <v>10029727437</v>
      </c>
      <c r="N592">
        <f ca="1">IF(M592&lt;&gt;M591,INDEX(CustInfo!$A$2:$A$1001,RANDBETWEEN(1,1000)),N591)</f>
        <v>11709</v>
      </c>
      <c r="O592" t="s">
        <v>1002</v>
      </c>
      <c r="P592">
        <v>52936726</v>
      </c>
    </row>
    <row r="593" spans="1:16" x14ac:dyDescent="0.35">
      <c r="A593">
        <v>93827212207</v>
      </c>
      <c r="C593" s="2" t="s">
        <v>883</v>
      </c>
      <c r="D593">
        <v>4</v>
      </c>
      <c r="E593">
        <v>76891213200</v>
      </c>
      <c r="F593">
        <f t="shared" ca="1" si="18"/>
        <v>99</v>
      </c>
      <c r="G593">
        <f ca="1">VLOOKUP(E593,PurchItem!$A$2:$H$508,8,0)</f>
        <v>6550.2153182368647</v>
      </c>
      <c r="H593">
        <v>0.06</v>
      </c>
      <c r="I593" t="s">
        <v>244</v>
      </c>
      <c r="J593" s="5">
        <v>45302.594524409724</v>
      </c>
      <c r="K593" s="5">
        <v>45304.189048819448</v>
      </c>
      <c r="M593">
        <f t="shared" si="19"/>
        <v>10029727437</v>
      </c>
      <c r="N593">
        <f ca="1">IF(M593&lt;&gt;M592,INDEX(CustInfo!$A$2:$A$1001,RANDBETWEEN(1,1000)),N592)</f>
        <v>11709</v>
      </c>
      <c r="O593" t="s">
        <v>1002</v>
      </c>
      <c r="P593">
        <v>52936727</v>
      </c>
    </row>
    <row r="594" spans="1:16" x14ac:dyDescent="0.35">
      <c r="A594">
        <v>93827212208</v>
      </c>
      <c r="C594" s="2" t="s">
        <v>883</v>
      </c>
      <c r="D594">
        <v>1</v>
      </c>
      <c r="E594">
        <v>76891213253</v>
      </c>
      <c r="F594">
        <f t="shared" ca="1" si="18"/>
        <v>38</v>
      </c>
      <c r="G594">
        <f ca="1">VLOOKUP(E594,PurchItem!$A$2:$H$508,8,0)</f>
        <v>2205.8632252448356</v>
      </c>
      <c r="H594">
        <v>0.04</v>
      </c>
      <c r="I594" t="s">
        <v>244</v>
      </c>
      <c r="J594" s="5">
        <v>44900.594524409724</v>
      </c>
      <c r="K594" s="5">
        <v>44903.189048819448</v>
      </c>
      <c r="M594">
        <f t="shared" si="19"/>
        <v>10029727438</v>
      </c>
      <c r="N594">
        <f ca="1">IF(M594&lt;&gt;M593,INDEX(CustInfo!$A$2:$A$1001,RANDBETWEEN(1,1000)),N593)</f>
        <v>11618</v>
      </c>
      <c r="O594" t="s">
        <v>1002</v>
      </c>
      <c r="P594">
        <v>52936728</v>
      </c>
    </row>
    <row r="595" spans="1:16" x14ac:dyDescent="0.35">
      <c r="A595">
        <v>93827212208</v>
      </c>
      <c r="C595" s="2" t="s">
        <v>883</v>
      </c>
      <c r="D595">
        <v>2</v>
      </c>
      <c r="E595">
        <v>76891213386</v>
      </c>
      <c r="F595">
        <f t="shared" ca="1" si="18"/>
        <v>48</v>
      </c>
      <c r="G595">
        <f ca="1">VLOOKUP(E595,PurchItem!$A$2:$H$508,8,0)</f>
        <v>8452.4982732375174</v>
      </c>
      <c r="H595">
        <v>0.05</v>
      </c>
      <c r="I595" t="s">
        <v>244</v>
      </c>
      <c r="J595" s="5">
        <v>44643.594524409724</v>
      </c>
      <c r="K595" s="5">
        <v>44646.189048819448</v>
      </c>
      <c r="M595">
        <f t="shared" si="19"/>
        <v>10029727438</v>
      </c>
      <c r="N595">
        <f ca="1">IF(M595&lt;&gt;M594,INDEX(CustInfo!$A$2:$A$1001,RANDBETWEEN(1,1000)),N594)</f>
        <v>11618</v>
      </c>
      <c r="O595" t="s">
        <v>1002</v>
      </c>
      <c r="P595">
        <v>52936729</v>
      </c>
    </row>
    <row r="596" spans="1:16" x14ac:dyDescent="0.35">
      <c r="A596">
        <v>93827212208</v>
      </c>
      <c r="C596" s="2" t="s">
        <v>883</v>
      </c>
      <c r="D596">
        <v>3</v>
      </c>
      <c r="E596">
        <v>76891213608</v>
      </c>
      <c r="F596">
        <f t="shared" ca="1" si="18"/>
        <v>62</v>
      </c>
      <c r="G596">
        <f ca="1">VLOOKUP(E596,PurchItem!$A$2:$H$508,8,0)</f>
        <v>6891.3132509062052</v>
      </c>
      <c r="H596">
        <v>0.05</v>
      </c>
      <c r="I596" t="s">
        <v>244</v>
      </c>
      <c r="J596" s="5">
        <v>45037.594524409724</v>
      </c>
      <c r="K596" s="5">
        <v>45041.189048819448</v>
      </c>
      <c r="M596">
        <f t="shared" si="19"/>
        <v>10029727438</v>
      </c>
      <c r="N596">
        <f ca="1">IF(M596&lt;&gt;M595,INDEX(CustInfo!$A$2:$A$1001,RANDBETWEEN(1,1000)),N595)</f>
        <v>11618</v>
      </c>
      <c r="O596" t="s">
        <v>1002</v>
      </c>
      <c r="P596">
        <v>52936730</v>
      </c>
    </row>
    <row r="597" spans="1:16" x14ac:dyDescent="0.35">
      <c r="A597">
        <v>93827212209</v>
      </c>
      <c r="C597" s="2" t="s">
        <v>883</v>
      </c>
      <c r="D597">
        <v>1</v>
      </c>
      <c r="E597">
        <v>76891213625</v>
      </c>
      <c r="F597">
        <f t="shared" ca="1" si="18"/>
        <v>45</v>
      </c>
      <c r="G597">
        <f ca="1">VLOOKUP(E597,PurchItem!$A$2:$H$508,8,0)</f>
        <v>197.86735476950216</v>
      </c>
      <c r="H597">
        <v>0.05</v>
      </c>
      <c r="I597" t="s">
        <v>244</v>
      </c>
      <c r="J597" s="5">
        <v>44675.594524409724</v>
      </c>
      <c r="K597" s="5">
        <v>44678.189048819448</v>
      </c>
      <c r="M597">
        <f t="shared" si="19"/>
        <v>10029727439</v>
      </c>
      <c r="N597">
        <f ca="1">IF(M597&lt;&gt;M596,INDEX(CustInfo!$A$2:$A$1001,RANDBETWEEN(1,1000)),N596)</f>
        <v>11645</v>
      </c>
      <c r="O597" t="s">
        <v>1003</v>
      </c>
      <c r="P597">
        <v>52936731</v>
      </c>
    </row>
    <row r="598" spans="1:16" x14ac:dyDescent="0.35">
      <c r="A598">
        <v>93827212209</v>
      </c>
      <c r="C598" s="2" t="s">
        <v>883</v>
      </c>
      <c r="D598">
        <v>2</v>
      </c>
      <c r="E598">
        <v>76891213426</v>
      </c>
      <c r="F598">
        <f t="shared" ca="1" si="18"/>
        <v>44</v>
      </c>
      <c r="G598">
        <f ca="1">VLOOKUP(E598,PurchItem!$A$2:$H$508,8,0)</f>
        <v>7367.2409730159643</v>
      </c>
      <c r="H598">
        <v>0.06</v>
      </c>
      <c r="I598" t="s">
        <v>244</v>
      </c>
      <c r="J598" s="5">
        <v>45258.594524409724</v>
      </c>
      <c r="K598" s="5">
        <v>45260.189048819448</v>
      </c>
      <c r="M598">
        <f t="shared" si="19"/>
        <v>10029727439</v>
      </c>
      <c r="N598">
        <f ca="1">IF(M598&lt;&gt;M597,INDEX(CustInfo!$A$2:$A$1001,RANDBETWEEN(1,1000)),N597)</f>
        <v>11645</v>
      </c>
      <c r="O598" t="s">
        <v>1003</v>
      </c>
      <c r="P598">
        <v>52936732</v>
      </c>
    </row>
    <row r="599" spans="1:16" x14ac:dyDescent="0.35">
      <c r="A599">
        <v>93827212209</v>
      </c>
      <c r="C599" s="2" t="s">
        <v>883</v>
      </c>
      <c r="D599">
        <v>3</v>
      </c>
      <c r="E599">
        <v>76891213243</v>
      </c>
      <c r="F599">
        <f t="shared" ca="1" si="18"/>
        <v>39</v>
      </c>
      <c r="G599">
        <f ca="1">VLOOKUP(E599,PurchItem!$A$2:$H$508,8,0)</f>
        <v>3527.3626929070761</v>
      </c>
      <c r="H599">
        <v>0.06</v>
      </c>
      <c r="I599" t="s">
        <v>244</v>
      </c>
      <c r="J599" s="5">
        <v>44574.594524409724</v>
      </c>
      <c r="K599" s="5">
        <v>44578.189048819448</v>
      </c>
      <c r="M599">
        <f t="shared" si="19"/>
        <v>10029727439</v>
      </c>
      <c r="N599">
        <f ca="1">IF(M599&lt;&gt;M598,INDEX(CustInfo!$A$2:$A$1001,RANDBETWEEN(1,1000)),N598)</f>
        <v>11645</v>
      </c>
      <c r="O599" t="s">
        <v>1003</v>
      </c>
      <c r="P599">
        <v>52936733</v>
      </c>
    </row>
    <row r="600" spans="1:16" x14ac:dyDescent="0.35">
      <c r="A600">
        <v>93827212209</v>
      </c>
      <c r="C600" s="2" t="s">
        <v>883</v>
      </c>
      <c r="D600">
        <v>4</v>
      </c>
      <c r="E600">
        <v>76891213298</v>
      </c>
      <c r="F600">
        <f t="shared" ca="1" si="18"/>
        <v>91</v>
      </c>
      <c r="G600">
        <f ca="1">VLOOKUP(E600,PurchItem!$A$2:$H$508,8,0)</f>
        <v>8806.9548730318475</v>
      </c>
      <c r="H600">
        <v>0.06</v>
      </c>
      <c r="I600" t="s">
        <v>244</v>
      </c>
      <c r="J600" s="5">
        <v>44983.594524409724</v>
      </c>
      <c r="K600" s="5">
        <v>44987.189048819448</v>
      </c>
      <c r="M600">
        <f t="shared" si="19"/>
        <v>10029727439</v>
      </c>
      <c r="N600">
        <f ca="1">IF(M600&lt;&gt;M599,INDEX(CustInfo!$A$2:$A$1001,RANDBETWEEN(1,1000)),N599)</f>
        <v>11645</v>
      </c>
      <c r="O600" t="s">
        <v>1003</v>
      </c>
      <c r="P600">
        <v>52936734</v>
      </c>
    </row>
    <row r="601" spans="1:16" x14ac:dyDescent="0.35">
      <c r="A601">
        <v>93827212210</v>
      </c>
      <c r="C601" s="2" t="s">
        <v>883</v>
      </c>
      <c r="D601">
        <v>1</v>
      </c>
      <c r="E601">
        <v>76891213542</v>
      </c>
      <c r="F601">
        <f t="shared" ca="1" si="18"/>
        <v>51</v>
      </c>
      <c r="G601">
        <f ca="1">VLOOKUP(E601,PurchItem!$A$2:$H$508,8,0)</f>
        <v>6787.2982998588732</v>
      </c>
      <c r="H601">
        <v>0.04</v>
      </c>
      <c r="I601" t="s">
        <v>244</v>
      </c>
      <c r="J601" s="5">
        <v>45473.594524409724</v>
      </c>
      <c r="K601" s="5">
        <v>45477.189048819448</v>
      </c>
      <c r="M601">
        <f t="shared" si="19"/>
        <v>10029727440</v>
      </c>
      <c r="N601">
        <f ca="1">IF(M601&lt;&gt;M600,INDEX(CustInfo!$A$2:$A$1001,RANDBETWEEN(1,1000)),N600)</f>
        <v>11287</v>
      </c>
      <c r="O601" t="s">
        <v>1002</v>
      </c>
      <c r="P601">
        <v>52936735</v>
      </c>
    </row>
    <row r="602" spans="1:16" x14ac:dyDescent="0.35">
      <c r="A602">
        <v>93827212210</v>
      </c>
      <c r="C602" s="2" t="s">
        <v>883</v>
      </c>
      <c r="D602">
        <v>2</v>
      </c>
      <c r="E602">
        <v>76891213349</v>
      </c>
      <c r="F602">
        <f t="shared" ca="1" si="18"/>
        <v>52</v>
      </c>
      <c r="G602">
        <f ca="1">VLOOKUP(E602,PurchItem!$A$2:$H$508,8,0)</f>
        <v>5182.697525429865</v>
      </c>
      <c r="H602">
        <v>0.06</v>
      </c>
      <c r="I602" t="s">
        <v>244</v>
      </c>
      <c r="J602" s="5">
        <v>44581.594524409724</v>
      </c>
      <c r="K602" s="5">
        <v>44583.189048819448</v>
      </c>
      <c r="M602">
        <f t="shared" si="19"/>
        <v>10029727440</v>
      </c>
      <c r="N602">
        <f ca="1">IF(M602&lt;&gt;M601,INDEX(CustInfo!$A$2:$A$1001,RANDBETWEEN(1,1000)),N601)</f>
        <v>11287</v>
      </c>
      <c r="O602" t="s">
        <v>1002</v>
      </c>
      <c r="P602">
        <v>52936736</v>
      </c>
    </row>
    <row r="603" spans="1:16" x14ac:dyDescent="0.35">
      <c r="A603">
        <v>93827212211</v>
      </c>
      <c r="C603" s="2" t="s">
        <v>883</v>
      </c>
      <c r="D603">
        <v>1</v>
      </c>
      <c r="E603">
        <v>76891213157</v>
      </c>
      <c r="F603">
        <f t="shared" ca="1" si="18"/>
        <v>46</v>
      </c>
      <c r="G603">
        <f ca="1">VLOOKUP(E603,PurchItem!$A$2:$H$508,8,0)</f>
        <v>8322.4899114284071</v>
      </c>
      <c r="H603">
        <v>0.05</v>
      </c>
      <c r="I603" t="s">
        <v>244</v>
      </c>
      <c r="J603" s="5">
        <v>45270.594524409724</v>
      </c>
      <c r="K603" s="5">
        <v>45273.189048819448</v>
      </c>
      <c r="M603">
        <f t="shared" si="19"/>
        <v>10029727441</v>
      </c>
      <c r="N603">
        <f ca="1">IF(M603&lt;&gt;M602,INDEX(CustInfo!$A$2:$A$1001,RANDBETWEEN(1,1000)),N602)</f>
        <v>11695</v>
      </c>
      <c r="O603" t="s">
        <v>1001</v>
      </c>
      <c r="P603">
        <v>52936737</v>
      </c>
    </row>
    <row r="604" spans="1:16" x14ac:dyDescent="0.35">
      <c r="A604">
        <v>93827212211</v>
      </c>
      <c r="C604" s="2" t="s">
        <v>883</v>
      </c>
      <c r="D604">
        <v>2</v>
      </c>
      <c r="E604">
        <v>76891213463</v>
      </c>
      <c r="F604">
        <f t="shared" ca="1" si="18"/>
        <v>1</v>
      </c>
      <c r="G604">
        <f ca="1">VLOOKUP(E604,PurchItem!$A$2:$H$508,8,0)</f>
        <v>9794.8638044577037</v>
      </c>
      <c r="H604">
        <v>0.06</v>
      </c>
      <c r="I604" t="s">
        <v>244</v>
      </c>
      <c r="J604" s="5">
        <v>45021.594524409724</v>
      </c>
      <c r="K604" s="5">
        <v>45024.189048819448</v>
      </c>
      <c r="M604">
        <f t="shared" si="19"/>
        <v>10029727441</v>
      </c>
      <c r="N604">
        <f ca="1">IF(M604&lt;&gt;M603,INDEX(CustInfo!$A$2:$A$1001,RANDBETWEEN(1,1000)),N603)</f>
        <v>11695</v>
      </c>
      <c r="O604" t="s">
        <v>1001</v>
      </c>
      <c r="P604">
        <v>52936738</v>
      </c>
    </row>
    <row r="605" spans="1:16" x14ac:dyDescent="0.35">
      <c r="A605">
        <v>93827212212</v>
      </c>
      <c r="C605" s="2" t="s">
        <v>883</v>
      </c>
      <c r="D605">
        <v>1</v>
      </c>
      <c r="E605">
        <v>76891213191</v>
      </c>
      <c r="F605">
        <f t="shared" ca="1" si="18"/>
        <v>85</v>
      </c>
      <c r="G605">
        <f ca="1">VLOOKUP(E605,PurchItem!$A$2:$H$508,8,0)</f>
        <v>6690.2041643424755</v>
      </c>
      <c r="H605">
        <v>0.04</v>
      </c>
      <c r="I605" t="s">
        <v>244</v>
      </c>
      <c r="J605" s="5">
        <v>45272.594524409724</v>
      </c>
      <c r="K605" s="5">
        <v>45276.189048819448</v>
      </c>
      <c r="M605">
        <f t="shared" si="19"/>
        <v>10029727442</v>
      </c>
      <c r="N605">
        <f ca="1">IF(M605&lt;&gt;M604,INDEX(CustInfo!$A$2:$A$1001,RANDBETWEEN(1,1000)),N604)</f>
        <v>11541</v>
      </c>
      <c r="O605" t="s">
        <v>1001</v>
      </c>
      <c r="P605">
        <v>52936739</v>
      </c>
    </row>
    <row r="606" spans="1:16" x14ac:dyDescent="0.35">
      <c r="A606">
        <v>93827212212</v>
      </c>
      <c r="C606" s="2" t="s">
        <v>883</v>
      </c>
      <c r="D606">
        <v>2</v>
      </c>
      <c r="E606">
        <v>76891213292</v>
      </c>
      <c r="F606">
        <f t="shared" ca="1" si="18"/>
        <v>30</v>
      </c>
      <c r="G606">
        <f ca="1">VLOOKUP(E606,PurchItem!$A$2:$H$508,8,0)</f>
        <v>6706.8830844652466</v>
      </c>
      <c r="H606">
        <v>0.06</v>
      </c>
      <c r="I606" t="s">
        <v>244</v>
      </c>
      <c r="J606" s="5">
        <v>45588.594524409724</v>
      </c>
      <c r="K606" s="5">
        <v>45589.189048819448</v>
      </c>
      <c r="M606">
        <f t="shared" si="19"/>
        <v>10029727442</v>
      </c>
      <c r="N606">
        <f ca="1">IF(M606&lt;&gt;M605,INDEX(CustInfo!$A$2:$A$1001,RANDBETWEEN(1,1000)),N605)</f>
        <v>11541</v>
      </c>
      <c r="O606" t="s">
        <v>1001</v>
      </c>
      <c r="P606">
        <v>52936740</v>
      </c>
    </row>
    <row r="607" spans="1:16" x14ac:dyDescent="0.35">
      <c r="A607">
        <v>93827212212</v>
      </c>
      <c r="C607" s="2" t="s">
        <v>883</v>
      </c>
      <c r="D607">
        <v>3</v>
      </c>
      <c r="E607">
        <v>76891213361</v>
      </c>
      <c r="F607">
        <f t="shared" ca="1" si="18"/>
        <v>64</v>
      </c>
      <c r="G607">
        <f ca="1">VLOOKUP(E607,PurchItem!$A$2:$H$508,8,0)</f>
        <v>2867.170727452004</v>
      </c>
      <c r="H607">
        <v>0.05</v>
      </c>
      <c r="I607" t="s">
        <v>244</v>
      </c>
      <c r="J607" s="5">
        <v>45390.594524409724</v>
      </c>
      <c r="K607" s="5">
        <v>45392.189048819448</v>
      </c>
      <c r="M607">
        <f t="shared" si="19"/>
        <v>10029727442</v>
      </c>
      <c r="N607">
        <f ca="1">IF(M607&lt;&gt;M606,INDEX(CustInfo!$A$2:$A$1001,RANDBETWEEN(1,1000)),N606)</f>
        <v>11541</v>
      </c>
      <c r="O607" t="s">
        <v>1001</v>
      </c>
      <c r="P607">
        <v>52936741</v>
      </c>
    </row>
    <row r="608" spans="1:16" x14ac:dyDescent="0.35">
      <c r="A608">
        <v>93827212212</v>
      </c>
      <c r="C608" s="2" t="s">
        <v>883</v>
      </c>
      <c r="D608">
        <v>4</v>
      </c>
      <c r="E608">
        <v>76891213451</v>
      </c>
      <c r="F608">
        <f t="shared" ca="1" si="18"/>
        <v>71</v>
      </c>
      <c r="G608">
        <f ca="1">VLOOKUP(E608,PurchItem!$A$2:$H$508,8,0)</f>
        <v>5920.8667622686389</v>
      </c>
      <c r="H608">
        <v>0.06</v>
      </c>
      <c r="I608" t="s">
        <v>244</v>
      </c>
      <c r="J608" s="5">
        <v>44750.594524409724</v>
      </c>
      <c r="K608" s="5">
        <v>44751.189048819448</v>
      </c>
      <c r="M608">
        <f t="shared" si="19"/>
        <v>10029727442</v>
      </c>
      <c r="N608">
        <f ca="1">IF(M608&lt;&gt;M607,INDEX(CustInfo!$A$2:$A$1001,RANDBETWEEN(1,1000)),N607)</f>
        <v>11541</v>
      </c>
      <c r="O608" t="s">
        <v>1001</v>
      </c>
      <c r="P608">
        <v>52936742</v>
      </c>
    </row>
    <row r="609" spans="1:16" x14ac:dyDescent="0.35">
      <c r="A609">
        <v>93827212213</v>
      </c>
      <c r="C609" s="2" t="s">
        <v>883</v>
      </c>
      <c r="D609">
        <v>1</v>
      </c>
      <c r="E609">
        <v>76891213591</v>
      </c>
      <c r="F609">
        <f t="shared" ca="1" si="18"/>
        <v>40</v>
      </c>
      <c r="G609">
        <f ca="1">VLOOKUP(E609,PurchItem!$A$2:$H$508,8,0)</f>
        <v>6944.0526942245015</v>
      </c>
      <c r="H609">
        <v>0.04</v>
      </c>
      <c r="I609" t="s">
        <v>244</v>
      </c>
      <c r="J609" s="5">
        <v>44693.594524409724</v>
      </c>
      <c r="K609" s="5">
        <v>44694.189048819448</v>
      </c>
      <c r="M609">
        <f t="shared" si="19"/>
        <v>10029727443</v>
      </c>
      <c r="N609">
        <f ca="1">IF(M609&lt;&gt;M608,INDEX(CustInfo!$A$2:$A$1001,RANDBETWEEN(1,1000)),N608)</f>
        <v>11860</v>
      </c>
      <c r="O609" t="s">
        <v>1003</v>
      </c>
      <c r="P609">
        <v>52936743</v>
      </c>
    </row>
    <row r="610" spans="1:16" x14ac:dyDescent="0.35">
      <c r="A610">
        <v>93827212213</v>
      </c>
      <c r="C610" s="2" t="s">
        <v>883</v>
      </c>
      <c r="D610">
        <v>2</v>
      </c>
      <c r="E610">
        <v>76891213549</v>
      </c>
      <c r="F610">
        <f t="shared" ca="1" si="18"/>
        <v>48</v>
      </c>
      <c r="G610">
        <f ca="1">VLOOKUP(E610,PurchItem!$A$2:$H$508,8,0)</f>
        <v>5727.7008118950862</v>
      </c>
      <c r="H610">
        <v>0.06</v>
      </c>
      <c r="I610" t="s">
        <v>244</v>
      </c>
      <c r="J610" s="5">
        <v>44659.594524409724</v>
      </c>
      <c r="K610" s="5">
        <v>44663.189048819448</v>
      </c>
      <c r="M610">
        <f t="shared" si="19"/>
        <v>10029727443</v>
      </c>
      <c r="N610">
        <f ca="1">IF(M610&lt;&gt;M609,INDEX(CustInfo!$A$2:$A$1001,RANDBETWEEN(1,1000)),N609)</f>
        <v>11860</v>
      </c>
      <c r="O610" t="s">
        <v>1003</v>
      </c>
      <c r="P610">
        <v>52936744</v>
      </c>
    </row>
    <row r="611" spans="1:16" x14ac:dyDescent="0.35">
      <c r="A611">
        <v>93827212213</v>
      </c>
      <c r="C611" s="2" t="s">
        <v>883</v>
      </c>
      <c r="D611">
        <v>3</v>
      </c>
      <c r="E611">
        <v>76891213305</v>
      </c>
      <c r="F611">
        <f t="shared" ca="1" si="18"/>
        <v>94</v>
      </c>
      <c r="G611">
        <f ca="1">VLOOKUP(E611,PurchItem!$A$2:$H$508,8,0)</f>
        <v>7454.0016740690317</v>
      </c>
      <c r="H611">
        <v>0.04</v>
      </c>
      <c r="I611" t="s">
        <v>244</v>
      </c>
      <c r="J611" s="5">
        <v>44668.594524409724</v>
      </c>
      <c r="K611" s="5">
        <v>44670.189048819448</v>
      </c>
      <c r="M611">
        <f t="shared" si="19"/>
        <v>10029727443</v>
      </c>
      <c r="N611">
        <f ca="1">IF(M611&lt;&gt;M610,INDEX(CustInfo!$A$2:$A$1001,RANDBETWEEN(1,1000)),N610)</f>
        <v>11860</v>
      </c>
      <c r="O611" t="s">
        <v>1003</v>
      </c>
      <c r="P611">
        <v>52936745</v>
      </c>
    </row>
    <row r="612" spans="1:16" x14ac:dyDescent="0.35">
      <c r="A612">
        <v>93827212214</v>
      </c>
      <c r="C612" s="2" t="s">
        <v>883</v>
      </c>
      <c r="D612">
        <v>1</v>
      </c>
      <c r="E612">
        <v>76891213538</v>
      </c>
      <c r="F612">
        <f t="shared" ca="1" si="18"/>
        <v>38</v>
      </c>
      <c r="G612">
        <f ca="1">VLOOKUP(E612,PurchItem!$A$2:$H$508,8,0)</f>
        <v>6616.0040221118334</v>
      </c>
      <c r="H612">
        <v>0.06</v>
      </c>
      <c r="I612" t="s">
        <v>244</v>
      </c>
      <c r="J612" s="5">
        <v>44841.594524409724</v>
      </c>
      <c r="K612" s="5">
        <v>44844.189048819448</v>
      </c>
      <c r="M612">
        <f t="shared" si="19"/>
        <v>10029727444</v>
      </c>
      <c r="N612">
        <f ca="1">IF(M612&lt;&gt;M611,INDEX(CustInfo!$A$2:$A$1001,RANDBETWEEN(1,1000)),N611)</f>
        <v>11551</v>
      </c>
      <c r="O612" t="s">
        <v>1001</v>
      </c>
      <c r="P612">
        <v>52936746</v>
      </c>
    </row>
    <row r="613" spans="1:16" x14ac:dyDescent="0.35">
      <c r="A613">
        <v>93827212214</v>
      </c>
      <c r="C613" s="2" t="s">
        <v>883</v>
      </c>
      <c r="D613">
        <v>2</v>
      </c>
      <c r="E613">
        <v>76891213639</v>
      </c>
      <c r="F613">
        <f t="shared" ca="1" si="18"/>
        <v>5</v>
      </c>
      <c r="G613">
        <f ca="1">VLOOKUP(E613,PurchItem!$A$2:$H$508,8,0)</f>
        <v>1848.476115085952</v>
      </c>
      <c r="H613">
        <v>0.04</v>
      </c>
      <c r="I613" t="s">
        <v>244</v>
      </c>
      <c r="J613" s="5">
        <v>45301.594524409724</v>
      </c>
      <c r="K613" s="5">
        <v>45302.189048819448</v>
      </c>
      <c r="M613">
        <f t="shared" si="19"/>
        <v>10029727444</v>
      </c>
      <c r="N613">
        <f ca="1">IF(M613&lt;&gt;M612,INDEX(CustInfo!$A$2:$A$1001,RANDBETWEEN(1,1000)),N612)</f>
        <v>11551</v>
      </c>
      <c r="O613" t="s">
        <v>1001</v>
      </c>
      <c r="P613">
        <v>52936747</v>
      </c>
    </row>
    <row r="614" spans="1:16" x14ac:dyDescent="0.35">
      <c r="A614">
        <v>93827212214</v>
      </c>
      <c r="C614" s="2" t="s">
        <v>883</v>
      </c>
      <c r="D614">
        <v>3</v>
      </c>
      <c r="E614">
        <v>76891213274</v>
      </c>
      <c r="F614">
        <f t="shared" ca="1" si="18"/>
        <v>41</v>
      </c>
      <c r="G614">
        <f ca="1">VLOOKUP(E614,PurchItem!$A$2:$H$508,8,0)</f>
        <v>6244.602607519897</v>
      </c>
      <c r="H614">
        <v>0.04</v>
      </c>
      <c r="I614" t="s">
        <v>244</v>
      </c>
      <c r="J614" s="5">
        <v>45255.594524409724</v>
      </c>
      <c r="K614" s="5">
        <v>45258.189048819448</v>
      </c>
      <c r="M614">
        <f t="shared" si="19"/>
        <v>10029727444</v>
      </c>
      <c r="N614">
        <f ca="1">IF(M614&lt;&gt;M613,INDEX(CustInfo!$A$2:$A$1001,RANDBETWEEN(1,1000)),N613)</f>
        <v>11551</v>
      </c>
      <c r="O614" t="s">
        <v>1001</v>
      </c>
      <c r="P614">
        <v>52936748</v>
      </c>
    </row>
    <row r="615" spans="1:16" x14ac:dyDescent="0.35">
      <c r="A615">
        <v>93827212215</v>
      </c>
      <c r="C615" s="2" t="s">
        <v>883</v>
      </c>
      <c r="D615">
        <v>1</v>
      </c>
      <c r="E615">
        <v>76891213465</v>
      </c>
      <c r="F615">
        <f t="shared" ca="1" si="18"/>
        <v>15</v>
      </c>
      <c r="G615">
        <f ca="1">VLOOKUP(E615,PurchItem!$A$2:$H$508,8,0)</f>
        <v>9342.670790746768</v>
      </c>
      <c r="H615">
        <v>0.06</v>
      </c>
      <c r="I615" t="s">
        <v>244</v>
      </c>
      <c r="J615" s="5">
        <v>44785.594524409724</v>
      </c>
      <c r="K615" s="5">
        <v>44789.189048819448</v>
      </c>
      <c r="M615">
        <f t="shared" si="19"/>
        <v>10029727445</v>
      </c>
      <c r="N615">
        <f ca="1">IF(M615&lt;&gt;M614,INDEX(CustInfo!$A$2:$A$1001,RANDBETWEEN(1,1000)),N614)</f>
        <v>11114</v>
      </c>
      <c r="O615" t="s">
        <v>1002</v>
      </c>
      <c r="P615">
        <v>52936749</v>
      </c>
    </row>
    <row r="616" spans="1:16" x14ac:dyDescent="0.35">
      <c r="A616">
        <v>93827212215</v>
      </c>
      <c r="C616" s="2" t="s">
        <v>883</v>
      </c>
      <c r="D616">
        <v>2</v>
      </c>
      <c r="E616">
        <v>76891213506</v>
      </c>
      <c r="F616">
        <f t="shared" ca="1" si="18"/>
        <v>43</v>
      </c>
      <c r="G616">
        <f ca="1">VLOOKUP(E616,PurchItem!$A$2:$H$508,8,0)</f>
        <v>6924.1684247755047</v>
      </c>
      <c r="H616">
        <v>0.06</v>
      </c>
      <c r="I616" t="s">
        <v>244</v>
      </c>
      <c r="J616" s="5">
        <v>44653.594524409724</v>
      </c>
      <c r="K616" s="5">
        <v>44654.189048819448</v>
      </c>
      <c r="M616">
        <f t="shared" si="19"/>
        <v>10029727445</v>
      </c>
      <c r="N616">
        <f ca="1">IF(M616&lt;&gt;M615,INDEX(CustInfo!$A$2:$A$1001,RANDBETWEEN(1,1000)),N615)</f>
        <v>11114</v>
      </c>
      <c r="O616" t="s">
        <v>1002</v>
      </c>
      <c r="P616">
        <v>52936750</v>
      </c>
    </row>
    <row r="617" spans="1:16" x14ac:dyDescent="0.35">
      <c r="A617">
        <v>93827212216</v>
      </c>
      <c r="C617" s="2" t="s">
        <v>883</v>
      </c>
      <c r="D617">
        <v>1</v>
      </c>
      <c r="E617">
        <v>76891213526</v>
      </c>
      <c r="F617">
        <f t="shared" ca="1" si="18"/>
        <v>55</v>
      </c>
      <c r="G617">
        <f ca="1">VLOOKUP(E617,PurchItem!$A$2:$H$508,8,0)</f>
        <v>8212.8049543445304</v>
      </c>
      <c r="H617">
        <v>0.05</v>
      </c>
      <c r="I617" t="s">
        <v>244</v>
      </c>
      <c r="J617" s="5">
        <v>45370.594524409724</v>
      </c>
      <c r="K617" s="5">
        <v>45374.189048819448</v>
      </c>
      <c r="M617">
        <f t="shared" si="19"/>
        <v>10029727446</v>
      </c>
      <c r="N617">
        <f ca="1">IF(M617&lt;&gt;M616,INDEX(CustInfo!$A$2:$A$1001,RANDBETWEEN(1,1000)),N616)</f>
        <v>11263</v>
      </c>
      <c r="O617" t="s">
        <v>1003</v>
      </c>
      <c r="P617">
        <v>52936751</v>
      </c>
    </row>
    <row r="618" spans="1:16" x14ac:dyDescent="0.35">
      <c r="A618">
        <v>93827212217</v>
      </c>
      <c r="C618" s="2" t="s">
        <v>883</v>
      </c>
      <c r="D618">
        <v>1</v>
      </c>
      <c r="E618">
        <v>76891213250</v>
      </c>
      <c r="F618">
        <f t="shared" ca="1" si="18"/>
        <v>32</v>
      </c>
      <c r="G618">
        <f ca="1">VLOOKUP(E618,PurchItem!$A$2:$H$508,8,0)</f>
        <v>9876.1119229636606</v>
      </c>
      <c r="H618">
        <v>0.06</v>
      </c>
      <c r="I618" t="s">
        <v>244</v>
      </c>
      <c r="J618" s="5">
        <v>45340.594524409724</v>
      </c>
      <c r="K618" s="5">
        <v>45344.189048819448</v>
      </c>
      <c r="M618">
        <f t="shared" si="19"/>
        <v>10029727447</v>
      </c>
      <c r="N618">
        <f ca="1">IF(M618&lt;&gt;M617,INDEX(CustInfo!$A$2:$A$1001,RANDBETWEEN(1,1000)),N617)</f>
        <v>11380</v>
      </c>
      <c r="O618" t="s">
        <v>1001</v>
      </c>
      <c r="P618">
        <v>52936752</v>
      </c>
    </row>
    <row r="619" spans="1:16" x14ac:dyDescent="0.35">
      <c r="A619">
        <v>93827212218</v>
      </c>
      <c r="C619" s="2" t="s">
        <v>883</v>
      </c>
      <c r="D619">
        <v>1</v>
      </c>
      <c r="E619">
        <v>76891213300</v>
      </c>
      <c r="F619">
        <f t="shared" ca="1" si="18"/>
        <v>57</v>
      </c>
      <c r="G619">
        <f ca="1">VLOOKUP(E619,PurchItem!$A$2:$H$508,8,0)</f>
        <v>7933.1351105062431</v>
      </c>
      <c r="H619">
        <v>0.04</v>
      </c>
      <c r="I619" t="s">
        <v>244</v>
      </c>
      <c r="J619" s="5">
        <v>45280.594524409724</v>
      </c>
      <c r="K619" s="5">
        <v>45284.189048819448</v>
      </c>
      <c r="M619">
        <f t="shared" si="19"/>
        <v>10029727448</v>
      </c>
      <c r="N619">
        <f ca="1">IF(M619&lt;&gt;M618,INDEX(CustInfo!$A$2:$A$1001,RANDBETWEEN(1,1000)),N618)</f>
        <v>11268</v>
      </c>
      <c r="O619" t="s">
        <v>1002</v>
      </c>
      <c r="P619">
        <v>52936753</v>
      </c>
    </row>
    <row r="620" spans="1:16" x14ac:dyDescent="0.35">
      <c r="A620">
        <v>93827212218</v>
      </c>
      <c r="C620" s="2" t="s">
        <v>883</v>
      </c>
      <c r="D620">
        <v>2</v>
      </c>
      <c r="E620">
        <v>76891213452</v>
      </c>
      <c r="F620">
        <f t="shared" ca="1" si="18"/>
        <v>66</v>
      </c>
      <c r="G620">
        <f ca="1">VLOOKUP(E620,PurchItem!$A$2:$H$508,8,0)</f>
        <v>6346.9434428168151</v>
      </c>
      <c r="H620">
        <v>0.06</v>
      </c>
      <c r="I620" t="s">
        <v>244</v>
      </c>
      <c r="J620" s="5">
        <v>44817.594524409724</v>
      </c>
      <c r="K620" s="5">
        <v>44820.189048819448</v>
      </c>
      <c r="M620">
        <f t="shared" si="19"/>
        <v>10029727448</v>
      </c>
      <c r="N620">
        <f ca="1">IF(M620&lt;&gt;M619,INDEX(CustInfo!$A$2:$A$1001,RANDBETWEEN(1,1000)),N619)</f>
        <v>11268</v>
      </c>
      <c r="O620" t="s">
        <v>1002</v>
      </c>
      <c r="P620">
        <v>52936754</v>
      </c>
    </row>
    <row r="621" spans="1:16" x14ac:dyDescent="0.35">
      <c r="A621">
        <v>93827212218</v>
      </c>
      <c r="C621" s="2" t="s">
        <v>883</v>
      </c>
      <c r="D621">
        <v>3</v>
      </c>
      <c r="E621">
        <v>76891213352</v>
      </c>
      <c r="F621">
        <f t="shared" ca="1" si="18"/>
        <v>57</v>
      </c>
      <c r="G621">
        <f ca="1">VLOOKUP(E621,PurchItem!$A$2:$H$508,8,0)</f>
        <v>4067.3934065622611</v>
      </c>
      <c r="H621">
        <v>0.05</v>
      </c>
      <c r="I621" t="s">
        <v>244</v>
      </c>
      <c r="J621" s="5">
        <v>45231.594524409724</v>
      </c>
      <c r="K621" s="5">
        <v>45235.189048819448</v>
      </c>
      <c r="M621">
        <f t="shared" si="19"/>
        <v>10029727448</v>
      </c>
      <c r="N621">
        <f ca="1">IF(M621&lt;&gt;M620,INDEX(CustInfo!$A$2:$A$1001,RANDBETWEEN(1,1000)),N620)</f>
        <v>11268</v>
      </c>
      <c r="O621" t="s">
        <v>1002</v>
      </c>
      <c r="P621">
        <v>52936755</v>
      </c>
    </row>
    <row r="622" spans="1:16" x14ac:dyDescent="0.35">
      <c r="A622">
        <v>93827212218</v>
      </c>
      <c r="C622" s="2" t="s">
        <v>883</v>
      </c>
      <c r="D622">
        <v>4</v>
      </c>
      <c r="E622">
        <v>76891213538</v>
      </c>
      <c r="F622">
        <f t="shared" ca="1" si="18"/>
        <v>5</v>
      </c>
      <c r="G622">
        <f ca="1">VLOOKUP(E622,PurchItem!$A$2:$H$508,8,0)</f>
        <v>6616.0040221118334</v>
      </c>
      <c r="H622">
        <v>0.05</v>
      </c>
      <c r="I622" t="s">
        <v>244</v>
      </c>
      <c r="J622" s="5">
        <v>44587.594524409724</v>
      </c>
      <c r="K622" s="5">
        <v>44588.189048819448</v>
      </c>
      <c r="M622">
        <f t="shared" si="19"/>
        <v>10029727448</v>
      </c>
      <c r="N622">
        <f ca="1">IF(M622&lt;&gt;M621,INDEX(CustInfo!$A$2:$A$1001,RANDBETWEEN(1,1000)),N621)</f>
        <v>11268</v>
      </c>
      <c r="O622" t="s">
        <v>1002</v>
      </c>
      <c r="P622">
        <v>52936756</v>
      </c>
    </row>
    <row r="623" spans="1:16" x14ac:dyDescent="0.35">
      <c r="A623">
        <v>93827212219</v>
      </c>
      <c r="C623" s="2" t="s">
        <v>883</v>
      </c>
      <c r="D623">
        <v>1</v>
      </c>
      <c r="E623">
        <v>76891213278</v>
      </c>
      <c r="F623">
        <f t="shared" ca="1" si="18"/>
        <v>61</v>
      </c>
      <c r="G623">
        <f ca="1">VLOOKUP(E623,PurchItem!$A$2:$H$508,8,0)</f>
        <v>5013.6146298172789</v>
      </c>
      <c r="H623">
        <v>0.06</v>
      </c>
      <c r="I623" t="s">
        <v>244</v>
      </c>
      <c r="J623" s="5">
        <v>44989.594524409724</v>
      </c>
      <c r="K623" s="5">
        <v>44991.189048819448</v>
      </c>
      <c r="M623">
        <f t="shared" si="19"/>
        <v>10029727449</v>
      </c>
      <c r="N623">
        <f ca="1">IF(M623&lt;&gt;M622,INDEX(CustInfo!$A$2:$A$1001,RANDBETWEEN(1,1000)),N622)</f>
        <v>11986</v>
      </c>
      <c r="O623" t="s">
        <v>1002</v>
      </c>
      <c r="P623">
        <v>52936757</v>
      </c>
    </row>
    <row r="624" spans="1:16" x14ac:dyDescent="0.35">
      <c r="A624">
        <v>93827212219</v>
      </c>
      <c r="C624" s="2" t="s">
        <v>883</v>
      </c>
      <c r="D624">
        <v>2</v>
      </c>
      <c r="E624">
        <v>76891213279</v>
      </c>
      <c r="F624">
        <f t="shared" ca="1" si="18"/>
        <v>81</v>
      </c>
      <c r="G624">
        <f ca="1">VLOOKUP(E624,PurchItem!$A$2:$H$508,8,0)</f>
        <v>4031.2930953409268</v>
      </c>
      <c r="H624">
        <v>0.06</v>
      </c>
      <c r="I624" t="s">
        <v>244</v>
      </c>
      <c r="J624" s="5">
        <v>45507.594524409724</v>
      </c>
      <c r="K624" s="5">
        <v>45509.189048819448</v>
      </c>
      <c r="M624">
        <f t="shared" si="19"/>
        <v>10029727449</v>
      </c>
      <c r="N624">
        <f ca="1">IF(M624&lt;&gt;M623,INDEX(CustInfo!$A$2:$A$1001,RANDBETWEEN(1,1000)),N623)</f>
        <v>11986</v>
      </c>
      <c r="O624" t="s">
        <v>1002</v>
      </c>
      <c r="P624">
        <v>52936758</v>
      </c>
    </row>
    <row r="625" spans="1:16" x14ac:dyDescent="0.35">
      <c r="A625">
        <v>93827212220</v>
      </c>
      <c r="C625" s="2" t="s">
        <v>883</v>
      </c>
      <c r="D625">
        <v>1</v>
      </c>
      <c r="E625">
        <v>76891213356</v>
      </c>
      <c r="F625">
        <f t="shared" ca="1" si="18"/>
        <v>69</v>
      </c>
      <c r="G625">
        <f ca="1">VLOOKUP(E625,PurchItem!$A$2:$H$508,8,0)</f>
        <v>6479.579212669245</v>
      </c>
      <c r="H625">
        <v>0.05</v>
      </c>
      <c r="I625" t="s">
        <v>244</v>
      </c>
      <c r="J625" s="5">
        <v>44649.594524409724</v>
      </c>
      <c r="K625" s="5">
        <v>44652.189048819448</v>
      </c>
      <c r="M625">
        <f t="shared" si="19"/>
        <v>10029727450</v>
      </c>
      <c r="N625">
        <f ca="1">IF(M625&lt;&gt;M624,INDEX(CustInfo!$A$2:$A$1001,RANDBETWEEN(1,1000)),N624)</f>
        <v>11619</v>
      </c>
      <c r="O625" t="s">
        <v>1003</v>
      </c>
      <c r="P625">
        <v>52936759</v>
      </c>
    </row>
    <row r="626" spans="1:16" x14ac:dyDescent="0.35">
      <c r="A626">
        <v>93827212220</v>
      </c>
      <c r="C626" s="2" t="s">
        <v>883</v>
      </c>
      <c r="D626">
        <v>2</v>
      </c>
      <c r="E626">
        <v>76891213187</v>
      </c>
      <c r="F626">
        <f t="shared" ca="1" si="18"/>
        <v>74</v>
      </c>
      <c r="G626">
        <f ca="1">VLOOKUP(E626,PurchItem!$A$2:$H$508,8,0)</f>
        <v>9230.4715911830135</v>
      </c>
      <c r="H626">
        <v>0.06</v>
      </c>
      <c r="I626" t="s">
        <v>244</v>
      </c>
      <c r="J626" s="5">
        <v>44960.594524409724</v>
      </c>
      <c r="K626" s="5">
        <v>44964.189048819448</v>
      </c>
      <c r="M626">
        <f t="shared" si="19"/>
        <v>10029727450</v>
      </c>
      <c r="N626">
        <f ca="1">IF(M626&lt;&gt;M625,INDEX(CustInfo!$A$2:$A$1001,RANDBETWEEN(1,1000)),N625)</f>
        <v>11619</v>
      </c>
      <c r="O626" t="s">
        <v>1003</v>
      </c>
      <c r="P626">
        <v>52936760</v>
      </c>
    </row>
    <row r="627" spans="1:16" x14ac:dyDescent="0.35">
      <c r="A627">
        <v>93827212220</v>
      </c>
      <c r="C627" s="2" t="s">
        <v>883</v>
      </c>
      <c r="D627">
        <v>3</v>
      </c>
      <c r="E627">
        <v>76891213593</v>
      </c>
      <c r="F627">
        <f t="shared" ca="1" si="18"/>
        <v>47</v>
      </c>
      <c r="G627">
        <f ca="1">VLOOKUP(E627,PurchItem!$A$2:$H$508,8,0)</f>
        <v>2737.5203426229455</v>
      </c>
      <c r="H627">
        <v>0.05</v>
      </c>
      <c r="I627" t="s">
        <v>244</v>
      </c>
      <c r="J627" s="5">
        <v>45236.594524409724</v>
      </c>
      <c r="K627" s="5">
        <v>45240.189048819448</v>
      </c>
      <c r="M627">
        <f t="shared" si="19"/>
        <v>10029727450</v>
      </c>
      <c r="N627">
        <f ca="1">IF(M627&lt;&gt;M626,INDEX(CustInfo!$A$2:$A$1001,RANDBETWEEN(1,1000)),N626)</f>
        <v>11619</v>
      </c>
      <c r="O627" t="s">
        <v>1003</v>
      </c>
      <c r="P627">
        <v>52936761</v>
      </c>
    </row>
    <row r="628" spans="1:16" x14ac:dyDescent="0.35">
      <c r="A628">
        <v>93827212220</v>
      </c>
      <c r="C628" s="2" t="s">
        <v>883</v>
      </c>
      <c r="D628">
        <v>4</v>
      </c>
      <c r="E628">
        <v>76891213296</v>
      </c>
      <c r="F628">
        <f t="shared" ca="1" si="18"/>
        <v>54</v>
      </c>
      <c r="G628">
        <f ca="1">VLOOKUP(E628,PurchItem!$A$2:$H$508,8,0)</f>
        <v>6799.4730385147304</v>
      </c>
      <c r="H628">
        <v>0.05</v>
      </c>
      <c r="I628" t="s">
        <v>244</v>
      </c>
      <c r="J628" s="5">
        <v>44867.594524409724</v>
      </c>
      <c r="K628" s="5">
        <v>44870.189048819448</v>
      </c>
      <c r="M628">
        <f t="shared" si="19"/>
        <v>10029727450</v>
      </c>
      <c r="N628">
        <f ca="1">IF(M628&lt;&gt;M627,INDEX(CustInfo!$A$2:$A$1001,RANDBETWEEN(1,1000)),N627)</f>
        <v>11619</v>
      </c>
      <c r="O628" t="s">
        <v>1003</v>
      </c>
      <c r="P628">
        <v>52936762</v>
      </c>
    </row>
    <row r="629" spans="1:16" x14ac:dyDescent="0.35">
      <c r="A629">
        <v>93827212221</v>
      </c>
      <c r="C629" s="2" t="s">
        <v>883</v>
      </c>
      <c r="D629">
        <v>1</v>
      </c>
      <c r="E629">
        <v>76891213527</v>
      </c>
      <c r="F629">
        <f t="shared" ca="1" si="18"/>
        <v>27</v>
      </c>
      <c r="G629">
        <f ca="1">VLOOKUP(E629,PurchItem!$A$2:$H$508,8,0)</f>
        <v>3326.8565914437954</v>
      </c>
      <c r="H629">
        <v>0.06</v>
      </c>
      <c r="I629" t="s">
        <v>244</v>
      </c>
      <c r="J629" s="5">
        <v>45233.594524409724</v>
      </c>
      <c r="K629" s="5">
        <v>45237.189048819448</v>
      </c>
      <c r="M629">
        <f t="shared" si="19"/>
        <v>10029727451</v>
      </c>
      <c r="N629">
        <f ca="1">IF(M629&lt;&gt;M628,INDEX(CustInfo!$A$2:$A$1001,RANDBETWEEN(1,1000)),N628)</f>
        <v>11180</v>
      </c>
      <c r="O629" t="s">
        <v>1003</v>
      </c>
      <c r="P629">
        <v>52936763</v>
      </c>
    </row>
    <row r="630" spans="1:16" x14ac:dyDescent="0.35">
      <c r="A630">
        <v>93827212221</v>
      </c>
      <c r="C630" s="2" t="s">
        <v>883</v>
      </c>
      <c r="D630">
        <v>2</v>
      </c>
      <c r="E630">
        <v>76891213426</v>
      </c>
      <c r="F630">
        <f t="shared" ca="1" si="18"/>
        <v>71</v>
      </c>
      <c r="G630">
        <f ca="1">VLOOKUP(E630,PurchItem!$A$2:$H$508,8,0)</f>
        <v>7367.2409730159643</v>
      </c>
      <c r="H630">
        <v>0.04</v>
      </c>
      <c r="I630" t="s">
        <v>244</v>
      </c>
      <c r="J630" s="5">
        <v>44626.594524409724</v>
      </c>
      <c r="K630" s="5">
        <v>44627.189048819448</v>
      </c>
      <c r="M630">
        <f t="shared" si="19"/>
        <v>10029727451</v>
      </c>
      <c r="N630">
        <f ca="1">IF(M630&lt;&gt;M629,INDEX(CustInfo!$A$2:$A$1001,RANDBETWEEN(1,1000)),N629)</f>
        <v>11180</v>
      </c>
      <c r="O630" t="s">
        <v>1003</v>
      </c>
      <c r="P630">
        <v>52936764</v>
      </c>
    </row>
    <row r="631" spans="1:16" x14ac:dyDescent="0.35">
      <c r="A631">
        <v>93827212221</v>
      </c>
      <c r="C631" s="2" t="s">
        <v>883</v>
      </c>
      <c r="D631">
        <v>3</v>
      </c>
      <c r="E631">
        <v>76891213159</v>
      </c>
      <c r="F631">
        <f t="shared" ca="1" si="18"/>
        <v>67</v>
      </c>
      <c r="G631">
        <f ca="1">VLOOKUP(E631,PurchItem!$A$2:$H$508,8,0)</f>
        <v>1020.1296091286805</v>
      </c>
      <c r="H631">
        <v>0.04</v>
      </c>
      <c r="I631" t="s">
        <v>244</v>
      </c>
      <c r="J631" s="5">
        <v>44718.594524409724</v>
      </c>
      <c r="K631" s="5">
        <v>44722.189048819448</v>
      </c>
      <c r="M631">
        <f t="shared" si="19"/>
        <v>10029727451</v>
      </c>
      <c r="N631">
        <f ca="1">IF(M631&lt;&gt;M630,INDEX(CustInfo!$A$2:$A$1001,RANDBETWEEN(1,1000)),N630)</f>
        <v>11180</v>
      </c>
      <c r="O631" t="s">
        <v>1003</v>
      </c>
      <c r="P631">
        <v>52936765</v>
      </c>
    </row>
    <row r="632" spans="1:16" x14ac:dyDescent="0.35">
      <c r="A632">
        <v>93827212221</v>
      </c>
      <c r="C632" s="2" t="s">
        <v>883</v>
      </c>
      <c r="D632">
        <v>4</v>
      </c>
      <c r="E632">
        <v>76891213486</v>
      </c>
      <c r="F632">
        <f t="shared" ca="1" si="18"/>
        <v>12</v>
      </c>
      <c r="G632">
        <f ca="1">VLOOKUP(E632,PurchItem!$A$2:$H$508,8,0)</f>
        <v>9918.4803802401257</v>
      </c>
      <c r="H632">
        <v>0.05</v>
      </c>
      <c r="I632" t="s">
        <v>244</v>
      </c>
      <c r="J632" s="5">
        <v>45352.594524409724</v>
      </c>
      <c r="K632" s="5">
        <v>45356.189048819448</v>
      </c>
      <c r="M632">
        <f t="shared" si="19"/>
        <v>10029727451</v>
      </c>
      <c r="N632">
        <f ca="1">IF(M632&lt;&gt;M631,INDEX(CustInfo!$A$2:$A$1001,RANDBETWEEN(1,1000)),N631)</f>
        <v>11180</v>
      </c>
      <c r="O632" t="s">
        <v>1003</v>
      </c>
      <c r="P632">
        <v>52936766</v>
      </c>
    </row>
    <row r="633" spans="1:16" x14ac:dyDescent="0.35">
      <c r="A633">
        <v>93827212222</v>
      </c>
      <c r="C633" s="2" t="s">
        <v>883</v>
      </c>
      <c r="D633">
        <v>1</v>
      </c>
      <c r="E633">
        <v>76891213259</v>
      </c>
      <c r="F633">
        <f t="shared" ca="1" si="18"/>
        <v>67</v>
      </c>
      <c r="G633">
        <f ca="1">VLOOKUP(E633,PurchItem!$A$2:$H$508,8,0)</f>
        <v>2690.2809923861096</v>
      </c>
      <c r="H633">
        <v>0.04</v>
      </c>
      <c r="I633" t="s">
        <v>244</v>
      </c>
      <c r="J633" s="5">
        <v>44737.594524409724</v>
      </c>
      <c r="K633" s="5">
        <v>44741.189048819448</v>
      </c>
      <c r="M633">
        <f t="shared" si="19"/>
        <v>10029727452</v>
      </c>
      <c r="N633">
        <f ca="1">IF(M633&lt;&gt;M632,INDEX(CustInfo!$A$2:$A$1001,RANDBETWEEN(1,1000)),N632)</f>
        <v>11633</v>
      </c>
      <c r="O633" t="s">
        <v>1001</v>
      </c>
      <c r="P633">
        <v>52936767</v>
      </c>
    </row>
    <row r="634" spans="1:16" x14ac:dyDescent="0.35">
      <c r="A634">
        <v>93827212222</v>
      </c>
      <c r="C634" s="2" t="s">
        <v>883</v>
      </c>
      <c r="D634">
        <v>2</v>
      </c>
      <c r="E634">
        <v>76891213446</v>
      </c>
      <c r="F634">
        <f t="shared" ca="1" si="18"/>
        <v>95</v>
      </c>
      <c r="G634">
        <f ca="1">VLOOKUP(E634,PurchItem!$A$2:$H$508,8,0)</f>
        <v>6461.6332530255731</v>
      </c>
      <c r="H634">
        <v>0.04</v>
      </c>
      <c r="I634" t="s">
        <v>244</v>
      </c>
      <c r="J634" s="5">
        <v>45169.594524409724</v>
      </c>
      <c r="K634" s="5">
        <v>45172.189048819448</v>
      </c>
      <c r="M634">
        <f t="shared" si="19"/>
        <v>10029727452</v>
      </c>
      <c r="N634">
        <f ca="1">IF(M634&lt;&gt;M633,INDEX(CustInfo!$A$2:$A$1001,RANDBETWEEN(1,1000)),N633)</f>
        <v>11633</v>
      </c>
      <c r="O634" t="s">
        <v>1001</v>
      </c>
      <c r="P634">
        <v>52936768</v>
      </c>
    </row>
    <row r="635" spans="1:16" x14ac:dyDescent="0.35">
      <c r="A635">
        <v>93827212222</v>
      </c>
      <c r="C635" s="2" t="s">
        <v>883</v>
      </c>
      <c r="D635">
        <v>3</v>
      </c>
      <c r="E635">
        <v>76891213341</v>
      </c>
      <c r="F635">
        <f t="shared" ca="1" si="18"/>
        <v>84</v>
      </c>
      <c r="G635">
        <f ca="1">VLOOKUP(E635,PurchItem!$A$2:$H$508,8,0)</f>
        <v>1046.3193598714477</v>
      </c>
      <c r="H635">
        <v>0.06</v>
      </c>
      <c r="I635" t="s">
        <v>244</v>
      </c>
      <c r="J635" s="5">
        <v>44634.594524409724</v>
      </c>
      <c r="K635" s="5">
        <v>44637.189048819448</v>
      </c>
      <c r="M635">
        <f t="shared" si="19"/>
        <v>10029727452</v>
      </c>
      <c r="N635">
        <f ca="1">IF(M635&lt;&gt;M634,INDEX(CustInfo!$A$2:$A$1001,RANDBETWEEN(1,1000)),N634)</f>
        <v>11633</v>
      </c>
      <c r="O635" t="s">
        <v>1001</v>
      </c>
      <c r="P635">
        <v>52936769</v>
      </c>
    </row>
    <row r="636" spans="1:16" x14ac:dyDescent="0.35">
      <c r="A636">
        <v>93827212222</v>
      </c>
      <c r="C636" s="2" t="s">
        <v>883</v>
      </c>
      <c r="D636">
        <v>4</v>
      </c>
      <c r="E636">
        <v>76891213176</v>
      </c>
      <c r="F636">
        <f t="shared" ca="1" si="18"/>
        <v>64</v>
      </c>
      <c r="G636">
        <f ca="1">VLOOKUP(E636,PurchItem!$A$2:$H$508,8,0)</f>
        <v>7307.4100843756351</v>
      </c>
      <c r="H636">
        <v>0.04</v>
      </c>
      <c r="I636" t="s">
        <v>244</v>
      </c>
      <c r="J636" s="5">
        <v>44738.594524409724</v>
      </c>
      <c r="K636" s="5">
        <v>44739.189048819448</v>
      </c>
      <c r="M636">
        <f t="shared" si="19"/>
        <v>10029727452</v>
      </c>
      <c r="N636">
        <f ca="1">IF(M636&lt;&gt;M635,INDEX(CustInfo!$A$2:$A$1001,RANDBETWEEN(1,1000)),N635)</f>
        <v>11633</v>
      </c>
      <c r="O636" t="s">
        <v>1001</v>
      </c>
      <c r="P636">
        <v>52936770</v>
      </c>
    </row>
    <row r="637" spans="1:16" x14ac:dyDescent="0.35">
      <c r="A637">
        <v>93827212223</v>
      </c>
      <c r="C637" s="2" t="s">
        <v>883</v>
      </c>
      <c r="D637">
        <v>1</v>
      </c>
      <c r="E637">
        <v>76891213456</v>
      </c>
      <c r="F637">
        <f t="shared" ca="1" si="18"/>
        <v>29</v>
      </c>
      <c r="G637">
        <f ca="1">VLOOKUP(E637,PurchItem!$A$2:$H$508,8,0)</f>
        <v>1609.4745237976038</v>
      </c>
      <c r="H637">
        <v>0.05</v>
      </c>
      <c r="I637" t="s">
        <v>244</v>
      </c>
      <c r="J637" s="5">
        <v>44588.594524409724</v>
      </c>
      <c r="K637" s="5">
        <v>44589.189048819448</v>
      </c>
      <c r="M637">
        <f t="shared" si="19"/>
        <v>10029727453</v>
      </c>
      <c r="N637">
        <f ca="1">IF(M637&lt;&gt;M636,INDEX(CustInfo!$A$2:$A$1001,RANDBETWEEN(1,1000)),N636)</f>
        <v>11672</v>
      </c>
      <c r="O637" t="s">
        <v>1001</v>
      </c>
      <c r="P637">
        <v>52936771</v>
      </c>
    </row>
    <row r="638" spans="1:16" x14ac:dyDescent="0.35">
      <c r="A638">
        <v>93827212224</v>
      </c>
      <c r="C638" s="2" t="s">
        <v>883</v>
      </c>
      <c r="D638">
        <v>1</v>
      </c>
      <c r="E638">
        <v>76891213484</v>
      </c>
      <c r="F638">
        <f t="shared" ca="1" si="18"/>
        <v>28</v>
      </c>
      <c r="G638">
        <f ca="1">VLOOKUP(E638,PurchItem!$A$2:$H$508,8,0)</f>
        <v>6278.4735130598492</v>
      </c>
      <c r="H638">
        <v>0.04</v>
      </c>
      <c r="I638" t="s">
        <v>244</v>
      </c>
      <c r="J638" s="5">
        <v>45276.594524409724</v>
      </c>
      <c r="K638" s="5">
        <v>45280.189048819448</v>
      </c>
      <c r="M638">
        <f t="shared" si="19"/>
        <v>10029727454</v>
      </c>
      <c r="N638">
        <f ca="1">IF(M638&lt;&gt;M637,INDEX(CustInfo!$A$2:$A$1001,RANDBETWEEN(1,1000)),N637)</f>
        <v>11339</v>
      </c>
      <c r="O638" t="s">
        <v>1002</v>
      </c>
      <c r="P638">
        <v>52936772</v>
      </c>
    </row>
    <row r="639" spans="1:16" x14ac:dyDescent="0.35">
      <c r="A639">
        <v>93827212224</v>
      </c>
      <c r="C639" s="2" t="s">
        <v>883</v>
      </c>
      <c r="D639">
        <v>2</v>
      </c>
      <c r="E639">
        <v>76891213230</v>
      </c>
      <c r="F639">
        <f t="shared" ca="1" si="18"/>
        <v>83</v>
      </c>
      <c r="G639">
        <f ca="1">VLOOKUP(E639,PurchItem!$A$2:$H$508,8,0)</f>
        <v>3755.1895040007321</v>
      </c>
      <c r="H639">
        <v>0.04</v>
      </c>
      <c r="I639" t="s">
        <v>244</v>
      </c>
      <c r="J639" s="5">
        <v>45399.594524409724</v>
      </c>
      <c r="K639" s="5">
        <v>45402.189048819448</v>
      </c>
      <c r="M639">
        <f t="shared" si="19"/>
        <v>10029727454</v>
      </c>
      <c r="N639">
        <f ca="1">IF(M639&lt;&gt;M638,INDEX(CustInfo!$A$2:$A$1001,RANDBETWEEN(1,1000)),N638)</f>
        <v>11339</v>
      </c>
      <c r="O639" t="s">
        <v>1002</v>
      </c>
      <c r="P639">
        <v>52936773</v>
      </c>
    </row>
    <row r="640" spans="1:16" x14ac:dyDescent="0.35">
      <c r="A640">
        <v>93827212224</v>
      </c>
      <c r="C640" s="2" t="s">
        <v>883</v>
      </c>
      <c r="D640">
        <v>3</v>
      </c>
      <c r="E640">
        <v>76891213155</v>
      </c>
      <c r="F640">
        <f t="shared" ca="1" si="18"/>
        <v>31</v>
      </c>
      <c r="G640">
        <f ca="1">VLOOKUP(E640,PurchItem!$A$2:$H$508,8,0)</f>
        <v>3627.1918809763515</v>
      </c>
      <c r="H640">
        <v>0.04</v>
      </c>
      <c r="I640" t="s">
        <v>244</v>
      </c>
      <c r="J640" s="5">
        <v>44610.594524409724</v>
      </c>
      <c r="K640" s="5">
        <v>44612.189048819448</v>
      </c>
      <c r="M640">
        <f t="shared" si="19"/>
        <v>10029727454</v>
      </c>
      <c r="N640">
        <f ca="1">IF(M640&lt;&gt;M639,INDEX(CustInfo!$A$2:$A$1001,RANDBETWEEN(1,1000)),N639)</f>
        <v>11339</v>
      </c>
      <c r="O640" t="s">
        <v>1002</v>
      </c>
      <c r="P640">
        <v>52936774</v>
      </c>
    </row>
    <row r="641" spans="1:16" x14ac:dyDescent="0.35">
      <c r="A641">
        <v>93827212224</v>
      </c>
      <c r="C641" s="2" t="s">
        <v>883</v>
      </c>
      <c r="D641">
        <v>4</v>
      </c>
      <c r="E641">
        <v>76891213501</v>
      </c>
      <c r="F641">
        <f t="shared" ca="1" si="18"/>
        <v>93</v>
      </c>
      <c r="G641">
        <f ca="1">VLOOKUP(E641,PurchItem!$A$2:$H$508,8,0)</f>
        <v>6077.9118845049607</v>
      </c>
      <c r="H641">
        <v>0.06</v>
      </c>
      <c r="I641" t="s">
        <v>244</v>
      </c>
      <c r="J641" s="5">
        <v>44977.594524409724</v>
      </c>
      <c r="K641" s="5">
        <v>44981.189048819448</v>
      </c>
      <c r="M641">
        <f t="shared" si="19"/>
        <v>10029727454</v>
      </c>
      <c r="N641">
        <f ca="1">IF(M641&lt;&gt;M640,INDEX(CustInfo!$A$2:$A$1001,RANDBETWEEN(1,1000)),N640)</f>
        <v>11339</v>
      </c>
      <c r="O641" t="s">
        <v>1002</v>
      </c>
      <c r="P641">
        <v>52936775</v>
      </c>
    </row>
    <row r="642" spans="1:16" x14ac:dyDescent="0.35">
      <c r="A642">
        <v>93827212225</v>
      </c>
      <c r="C642" s="2" t="s">
        <v>883</v>
      </c>
      <c r="D642">
        <v>1</v>
      </c>
      <c r="E642">
        <v>76891213433</v>
      </c>
      <c r="F642">
        <f t="shared" ca="1" si="18"/>
        <v>51</v>
      </c>
      <c r="G642">
        <f ca="1">VLOOKUP(E642,PurchItem!$A$2:$H$508,8,0)</f>
        <v>8137.8051344838841</v>
      </c>
      <c r="H642">
        <v>0.05</v>
      </c>
      <c r="I642" t="s">
        <v>244</v>
      </c>
      <c r="J642" s="5">
        <v>44705.594524409724</v>
      </c>
      <c r="K642" s="5">
        <v>44709.189048819448</v>
      </c>
      <c r="M642">
        <f t="shared" si="19"/>
        <v>10029727455</v>
      </c>
      <c r="N642">
        <f ca="1">IF(M642&lt;&gt;M641,INDEX(CustInfo!$A$2:$A$1001,RANDBETWEEN(1,1000)),N641)</f>
        <v>11072</v>
      </c>
      <c r="O642" t="s">
        <v>1001</v>
      </c>
      <c r="P642">
        <v>52936776</v>
      </c>
    </row>
    <row r="643" spans="1:16" x14ac:dyDescent="0.35">
      <c r="A643">
        <v>93827212226</v>
      </c>
      <c r="C643" s="2" t="s">
        <v>883</v>
      </c>
      <c r="D643">
        <v>1</v>
      </c>
      <c r="E643">
        <v>76891213325</v>
      </c>
      <c r="F643">
        <f t="shared" ref="F643:F706" ca="1" si="20">RANDBETWEEN(1,100)</f>
        <v>72</v>
      </c>
      <c r="G643">
        <f ca="1">VLOOKUP(E643,PurchItem!$A$2:$H$508,8,0)</f>
        <v>7717.8815474662742</v>
      </c>
      <c r="H643">
        <v>0.06</v>
      </c>
      <c r="I643" t="s">
        <v>244</v>
      </c>
      <c r="J643" s="5">
        <v>45270.594524409724</v>
      </c>
      <c r="K643" s="5">
        <v>45274.189048819448</v>
      </c>
      <c r="M643">
        <f t="shared" si="19"/>
        <v>10029727456</v>
      </c>
      <c r="N643">
        <f ca="1">IF(M643&lt;&gt;M642,INDEX(CustInfo!$A$2:$A$1001,RANDBETWEEN(1,1000)),N642)</f>
        <v>11846</v>
      </c>
      <c r="O643" t="s">
        <v>1003</v>
      </c>
      <c r="P643">
        <v>52936777</v>
      </c>
    </row>
    <row r="644" spans="1:16" x14ac:dyDescent="0.35">
      <c r="A644">
        <v>93827212226</v>
      </c>
      <c r="C644" s="2" t="s">
        <v>883</v>
      </c>
      <c r="D644">
        <v>2</v>
      </c>
      <c r="E644">
        <v>76891213402</v>
      </c>
      <c r="F644">
        <f t="shared" ca="1" si="20"/>
        <v>36</v>
      </c>
      <c r="G644">
        <f ca="1">VLOOKUP(E644,PurchItem!$A$2:$H$508,8,0)</f>
        <v>3719.6063338306585</v>
      </c>
      <c r="H644">
        <v>0.04</v>
      </c>
      <c r="I644" t="s">
        <v>244</v>
      </c>
      <c r="J644" s="5">
        <v>45026.594524409724</v>
      </c>
      <c r="K644" s="5">
        <v>45029.189048819448</v>
      </c>
      <c r="M644">
        <f t="shared" si="19"/>
        <v>10029727456</v>
      </c>
      <c r="N644">
        <f ca="1">IF(M644&lt;&gt;M643,INDEX(CustInfo!$A$2:$A$1001,RANDBETWEEN(1,1000)),N643)</f>
        <v>11846</v>
      </c>
      <c r="O644" t="s">
        <v>1003</v>
      </c>
      <c r="P644">
        <v>52936778</v>
      </c>
    </row>
    <row r="645" spans="1:16" x14ac:dyDescent="0.35">
      <c r="A645">
        <v>93827212227</v>
      </c>
      <c r="C645" s="2" t="s">
        <v>883</v>
      </c>
      <c r="D645">
        <v>1</v>
      </c>
      <c r="E645">
        <v>76891213387</v>
      </c>
      <c r="F645">
        <f t="shared" ca="1" si="20"/>
        <v>50</v>
      </c>
      <c r="G645">
        <f ca="1">VLOOKUP(E645,PurchItem!$A$2:$H$508,8,0)</f>
        <v>3103.5029175008126</v>
      </c>
      <c r="H645">
        <v>0.05</v>
      </c>
      <c r="I645" t="s">
        <v>244</v>
      </c>
      <c r="J645" s="5">
        <v>44882.594524409724</v>
      </c>
      <c r="K645" s="5">
        <v>44885.189048819448</v>
      </c>
      <c r="M645">
        <f t="shared" ref="M645:M708" si="21">IF(A645&lt;&gt;A644,M644+1,M644)</f>
        <v>10029727457</v>
      </c>
      <c r="N645">
        <f ca="1">IF(M645&lt;&gt;M644,INDEX(CustInfo!$A$2:$A$1001,RANDBETWEEN(1,1000)),N644)</f>
        <v>11491</v>
      </c>
      <c r="O645" t="s">
        <v>1002</v>
      </c>
      <c r="P645">
        <v>52936779</v>
      </c>
    </row>
    <row r="646" spans="1:16" x14ac:dyDescent="0.35">
      <c r="A646">
        <v>93827212228</v>
      </c>
      <c r="C646" s="2" t="s">
        <v>883</v>
      </c>
      <c r="D646">
        <v>1</v>
      </c>
      <c r="E646">
        <v>76891213241</v>
      </c>
      <c r="F646">
        <f t="shared" ca="1" si="20"/>
        <v>57</v>
      </c>
      <c r="G646">
        <f ca="1">VLOOKUP(E646,PurchItem!$A$2:$H$508,8,0)</f>
        <v>3049.755941552879</v>
      </c>
      <c r="H646">
        <v>0.05</v>
      </c>
      <c r="I646" t="s">
        <v>244</v>
      </c>
      <c r="J646" s="5">
        <v>45173.594524409724</v>
      </c>
      <c r="K646" s="5">
        <v>45174.189048819448</v>
      </c>
      <c r="M646">
        <f t="shared" si="21"/>
        <v>10029727458</v>
      </c>
      <c r="N646">
        <f ca="1">IF(M646&lt;&gt;M645,INDEX(CustInfo!$A$2:$A$1001,RANDBETWEEN(1,1000)),N645)</f>
        <v>11404</v>
      </c>
      <c r="O646" t="s">
        <v>1003</v>
      </c>
      <c r="P646">
        <v>52936780</v>
      </c>
    </row>
    <row r="647" spans="1:16" x14ac:dyDescent="0.35">
      <c r="A647">
        <v>93827212228</v>
      </c>
      <c r="C647" s="2" t="s">
        <v>883</v>
      </c>
      <c r="D647">
        <v>2</v>
      </c>
      <c r="E647">
        <v>76891213144</v>
      </c>
      <c r="F647">
        <f t="shared" ca="1" si="20"/>
        <v>97</v>
      </c>
      <c r="G647">
        <f ca="1">VLOOKUP(E647,PurchItem!$A$2:$H$508,8,0)</f>
        <v>4043.801529669609</v>
      </c>
      <c r="H647">
        <v>0.05</v>
      </c>
      <c r="I647" t="s">
        <v>244</v>
      </c>
      <c r="J647" s="5">
        <v>44976.594524409724</v>
      </c>
      <c r="K647" s="5">
        <v>44979.189048819448</v>
      </c>
      <c r="M647">
        <f t="shared" si="21"/>
        <v>10029727458</v>
      </c>
      <c r="N647">
        <f ca="1">IF(M647&lt;&gt;M646,INDEX(CustInfo!$A$2:$A$1001,RANDBETWEEN(1,1000)),N646)</f>
        <v>11404</v>
      </c>
      <c r="O647" t="s">
        <v>1003</v>
      </c>
      <c r="P647">
        <v>52936781</v>
      </c>
    </row>
    <row r="648" spans="1:16" x14ac:dyDescent="0.35">
      <c r="A648">
        <v>93827212229</v>
      </c>
      <c r="C648" s="2" t="s">
        <v>883</v>
      </c>
      <c r="D648">
        <v>1</v>
      </c>
      <c r="E648">
        <v>76891213175</v>
      </c>
      <c r="F648">
        <f t="shared" ca="1" si="20"/>
        <v>27</v>
      </c>
      <c r="G648">
        <f ca="1">VLOOKUP(E648,PurchItem!$A$2:$H$508,8,0)</f>
        <v>8239.6279667406998</v>
      </c>
      <c r="H648">
        <v>0.05</v>
      </c>
      <c r="I648" t="s">
        <v>244</v>
      </c>
      <c r="J648" s="5">
        <v>45461.594524409724</v>
      </c>
      <c r="K648" s="5">
        <v>45462.189048819448</v>
      </c>
      <c r="M648">
        <f t="shared" si="21"/>
        <v>10029727459</v>
      </c>
      <c r="N648">
        <f ca="1">IF(M648&lt;&gt;M647,INDEX(CustInfo!$A$2:$A$1001,RANDBETWEEN(1,1000)),N647)</f>
        <v>11306</v>
      </c>
      <c r="O648" t="s">
        <v>1001</v>
      </c>
      <c r="P648">
        <v>52936782</v>
      </c>
    </row>
    <row r="649" spans="1:16" x14ac:dyDescent="0.35">
      <c r="A649">
        <v>93827212230</v>
      </c>
      <c r="C649" s="2" t="s">
        <v>883</v>
      </c>
      <c r="D649">
        <v>1</v>
      </c>
      <c r="E649">
        <v>76891213513</v>
      </c>
      <c r="F649">
        <f t="shared" ca="1" si="20"/>
        <v>10</v>
      </c>
      <c r="G649">
        <f ca="1">VLOOKUP(E649,PurchItem!$A$2:$H$508,8,0)</f>
        <v>8751.058887926647</v>
      </c>
      <c r="H649">
        <v>0.05</v>
      </c>
      <c r="I649" t="s">
        <v>244</v>
      </c>
      <c r="J649" s="5">
        <v>45400.594524409724</v>
      </c>
      <c r="K649" s="5">
        <v>45403.189048819448</v>
      </c>
      <c r="M649">
        <f t="shared" si="21"/>
        <v>10029727460</v>
      </c>
      <c r="N649">
        <f ca="1">IF(M649&lt;&gt;M648,INDEX(CustInfo!$A$2:$A$1001,RANDBETWEEN(1,1000)),N648)</f>
        <v>11335</v>
      </c>
      <c r="O649" t="s">
        <v>1003</v>
      </c>
      <c r="P649">
        <v>52936783</v>
      </c>
    </row>
    <row r="650" spans="1:16" x14ac:dyDescent="0.35">
      <c r="A650">
        <v>93827212230</v>
      </c>
      <c r="C650" s="2" t="s">
        <v>883</v>
      </c>
      <c r="D650">
        <v>2</v>
      </c>
      <c r="E650">
        <v>76891213208</v>
      </c>
      <c r="F650">
        <f t="shared" ca="1" si="20"/>
        <v>57</v>
      </c>
      <c r="G650">
        <f ca="1">VLOOKUP(E650,PurchItem!$A$2:$H$508,8,0)</f>
        <v>657.49966460879534</v>
      </c>
      <c r="H650">
        <v>0.05</v>
      </c>
      <c r="I650" t="s">
        <v>244</v>
      </c>
      <c r="J650" s="5">
        <v>45567.594524409724</v>
      </c>
      <c r="K650" s="5">
        <v>45571.189048819448</v>
      </c>
      <c r="M650">
        <f t="shared" si="21"/>
        <v>10029727460</v>
      </c>
      <c r="N650">
        <f ca="1">IF(M650&lt;&gt;M649,INDEX(CustInfo!$A$2:$A$1001,RANDBETWEEN(1,1000)),N649)</f>
        <v>11335</v>
      </c>
      <c r="O650" t="s">
        <v>1003</v>
      </c>
      <c r="P650">
        <v>52936784</v>
      </c>
    </row>
    <row r="651" spans="1:16" x14ac:dyDescent="0.35">
      <c r="A651">
        <v>93827212231</v>
      </c>
      <c r="C651" s="2" t="s">
        <v>883</v>
      </c>
      <c r="D651">
        <v>1</v>
      </c>
      <c r="E651">
        <v>76891213398</v>
      </c>
      <c r="F651">
        <f t="shared" ca="1" si="20"/>
        <v>43</v>
      </c>
      <c r="G651">
        <f ca="1">VLOOKUP(E651,PurchItem!$A$2:$H$508,8,0)</f>
        <v>5671.349698118911</v>
      </c>
      <c r="H651">
        <v>0.05</v>
      </c>
      <c r="I651" t="s">
        <v>244</v>
      </c>
      <c r="J651" s="5">
        <v>45608.594524409724</v>
      </c>
      <c r="K651" s="5">
        <v>45609.189048819448</v>
      </c>
      <c r="M651">
        <f t="shared" si="21"/>
        <v>10029727461</v>
      </c>
      <c r="N651">
        <f ca="1">IF(M651&lt;&gt;M650,INDEX(CustInfo!$A$2:$A$1001,RANDBETWEEN(1,1000)),N650)</f>
        <v>11834</v>
      </c>
      <c r="O651" t="s">
        <v>1002</v>
      </c>
      <c r="P651">
        <v>52936785</v>
      </c>
    </row>
    <row r="652" spans="1:16" x14ac:dyDescent="0.35">
      <c r="A652">
        <v>93827212231</v>
      </c>
      <c r="C652" s="2" t="s">
        <v>883</v>
      </c>
      <c r="D652">
        <v>2</v>
      </c>
      <c r="E652">
        <v>76891213545</v>
      </c>
      <c r="F652">
        <f t="shared" ca="1" si="20"/>
        <v>71</v>
      </c>
      <c r="G652">
        <f ca="1">VLOOKUP(E652,PurchItem!$A$2:$H$508,8,0)</f>
        <v>4354.6425016633602</v>
      </c>
      <c r="H652">
        <v>0.06</v>
      </c>
      <c r="I652" t="s">
        <v>244</v>
      </c>
      <c r="J652" s="5">
        <v>45128.594524409724</v>
      </c>
      <c r="K652" s="5">
        <v>45129.189048819448</v>
      </c>
      <c r="M652">
        <f t="shared" si="21"/>
        <v>10029727461</v>
      </c>
      <c r="N652">
        <f ca="1">IF(M652&lt;&gt;M651,INDEX(CustInfo!$A$2:$A$1001,RANDBETWEEN(1,1000)),N651)</f>
        <v>11834</v>
      </c>
      <c r="O652" t="s">
        <v>1002</v>
      </c>
      <c r="P652">
        <v>52936786</v>
      </c>
    </row>
    <row r="653" spans="1:16" x14ac:dyDescent="0.35">
      <c r="A653">
        <v>93827212231</v>
      </c>
      <c r="C653" s="2" t="s">
        <v>883</v>
      </c>
      <c r="D653">
        <v>3</v>
      </c>
      <c r="E653">
        <v>76891213446</v>
      </c>
      <c r="F653">
        <f t="shared" ca="1" si="20"/>
        <v>37</v>
      </c>
      <c r="G653">
        <f ca="1">VLOOKUP(E653,PurchItem!$A$2:$H$508,8,0)</f>
        <v>6461.6332530255731</v>
      </c>
      <c r="H653">
        <v>0.05</v>
      </c>
      <c r="I653" t="s">
        <v>244</v>
      </c>
      <c r="J653" s="5">
        <v>45079.594524409724</v>
      </c>
      <c r="K653" s="5">
        <v>45081.189048819448</v>
      </c>
      <c r="M653">
        <f t="shared" si="21"/>
        <v>10029727461</v>
      </c>
      <c r="N653">
        <f ca="1">IF(M653&lt;&gt;M652,INDEX(CustInfo!$A$2:$A$1001,RANDBETWEEN(1,1000)),N652)</f>
        <v>11834</v>
      </c>
      <c r="O653" t="s">
        <v>1002</v>
      </c>
      <c r="P653">
        <v>52936787</v>
      </c>
    </row>
    <row r="654" spans="1:16" x14ac:dyDescent="0.35">
      <c r="A654">
        <v>93827212231</v>
      </c>
      <c r="C654" s="2" t="s">
        <v>883</v>
      </c>
      <c r="D654">
        <v>4</v>
      </c>
      <c r="E654">
        <v>76891213372</v>
      </c>
      <c r="F654">
        <f t="shared" ca="1" si="20"/>
        <v>34</v>
      </c>
      <c r="G654">
        <f ca="1">VLOOKUP(E654,PurchItem!$A$2:$H$508,8,0)</f>
        <v>6535.386894947068</v>
      </c>
      <c r="H654">
        <v>0.05</v>
      </c>
      <c r="I654" t="s">
        <v>244</v>
      </c>
      <c r="J654" s="5">
        <v>44757.594524409724</v>
      </c>
      <c r="K654" s="5">
        <v>44759.189048819448</v>
      </c>
      <c r="M654">
        <f t="shared" si="21"/>
        <v>10029727461</v>
      </c>
      <c r="N654">
        <f ca="1">IF(M654&lt;&gt;M653,INDEX(CustInfo!$A$2:$A$1001,RANDBETWEEN(1,1000)),N653)</f>
        <v>11834</v>
      </c>
      <c r="O654" t="s">
        <v>1002</v>
      </c>
      <c r="P654">
        <v>52936788</v>
      </c>
    </row>
    <row r="655" spans="1:16" x14ac:dyDescent="0.35">
      <c r="A655">
        <v>93827212232</v>
      </c>
      <c r="C655" s="2" t="s">
        <v>883</v>
      </c>
      <c r="D655">
        <v>1</v>
      </c>
      <c r="E655">
        <v>76891213212</v>
      </c>
      <c r="F655">
        <f t="shared" ca="1" si="20"/>
        <v>23</v>
      </c>
      <c r="G655">
        <f ca="1">VLOOKUP(E655,PurchItem!$A$2:$H$508,8,0)</f>
        <v>2083.2723648365518</v>
      </c>
      <c r="H655">
        <v>0.06</v>
      </c>
      <c r="I655" t="s">
        <v>244</v>
      </c>
      <c r="J655" s="5">
        <v>45023.594524409724</v>
      </c>
      <c r="K655" s="5">
        <v>45024.189048819448</v>
      </c>
      <c r="M655">
        <f t="shared" si="21"/>
        <v>10029727462</v>
      </c>
      <c r="N655">
        <f ca="1">IF(M655&lt;&gt;M654,INDEX(CustInfo!$A$2:$A$1001,RANDBETWEEN(1,1000)),N654)</f>
        <v>11031</v>
      </c>
      <c r="O655" t="s">
        <v>1003</v>
      </c>
      <c r="P655">
        <v>52936789</v>
      </c>
    </row>
    <row r="656" spans="1:16" x14ac:dyDescent="0.35">
      <c r="A656">
        <v>93827212233</v>
      </c>
      <c r="C656" s="2" t="s">
        <v>883</v>
      </c>
      <c r="D656">
        <v>1</v>
      </c>
      <c r="E656">
        <v>76891213446</v>
      </c>
      <c r="F656">
        <f t="shared" ca="1" si="20"/>
        <v>9</v>
      </c>
      <c r="G656">
        <f ca="1">VLOOKUP(E656,PurchItem!$A$2:$H$508,8,0)</f>
        <v>6461.6332530255731</v>
      </c>
      <c r="H656">
        <v>0.06</v>
      </c>
      <c r="I656" t="s">
        <v>244</v>
      </c>
      <c r="J656" s="5">
        <v>45028.594524409724</v>
      </c>
      <c r="K656" s="5">
        <v>45032.189048819448</v>
      </c>
      <c r="M656">
        <f t="shared" si="21"/>
        <v>10029727463</v>
      </c>
      <c r="N656">
        <f ca="1">IF(M656&lt;&gt;M655,INDEX(CustInfo!$A$2:$A$1001,RANDBETWEEN(1,1000)),N655)</f>
        <v>11649</v>
      </c>
      <c r="O656" t="s">
        <v>1003</v>
      </c>
      <c r="P656">
        <v>52936790</v>
      </c>
    </row>
    <row r="657" spans="1:16" x14ac:dyDescent="0.35">
      <c r="A657">
        <v>93827212234</v>
      </c>
      <c r="C657" s="2" t="s">
        <v>883</v>
      </c>
      <c r="D657">
        <v>1</v>
      </c>
      <c r="E657">
        <v>76891213459</v>
      </c>
      <c r="F657">
        <f t="shared" ca="1" si="20"/>
        <v>61</v>
      </c>
      <c r="G657">
        <f ca="1">VLOOKUP(E657,PurchItem!$A$2:$H$508,8,0)</f>
        <v>7764.6378819601523</v>
      </c>
      <c r="H657">
        <v>0.05</v>
      </c>
      <c r="I657" t="s">
        <v>244</v>
      </c>
      <c r="J657" s="5">
        <v>44971.594524409724</v>
      </c>
      <c r="K657" s="5">
        <v>44975.189048819448</v>
      </c>
      <c r="M657">
        <f t="shared" si="21"/>
        <v>10029727464</v>
      </c>
      <c r="N657">
        <f ca="1">IF(M657&lt;&gt;M656,INDEX(CustInfo!$A$2:$A$1001,RANDBETWEEN(1,1000)),N656)</f>
        <v>11806</v>
      </c>
      <c r="O657" t="s">
        <v>1003</v>
      </c>
      <c r="P657">
        <v>52936791</v>
      </c>
    </row>
    <row r="658" spans="1:16" x14ac:dyDescent="0.35">
      <c r="A658">
        <v>93827212234</v>
      </c>
      <c r="C658" s="2" t="s">
        <v>883</v>
      </c>
      <c r="D658">
        <v>2</v>
      </c>
      <c r="E658">
        <v>76891213538</v>
      </c>
      <c r="F658">
        <f t="shared" ca="1" si="20"/>
        <v>51</v>
      </c>
      <c r="G658">
        <f ca="1">VLOOKUP(E658,PurchItem!$A$2:$H$508,8,0)</f>
        <v>6616.0040221118334</v>
      </c>
      <c r="H658">
        <v>0.05</v>
      </c>
      <c r="I658" t="s">
        <v>244</v>
      </c>
      <c r="J658" s="5">
        <v>45005.594524409724</v>
      </c>
      <c r="K658" s="5">
        <v>45007.189048819448</v>
      </c>
      <c r="M658">
        <f t="shared" si="21"/>
        <v>10029727464</v>
      </c>
      <c r="N658">
        <f ca="1">IF(M658&lt;&gt;M657,INDEX(CustInfo!$A$2:$A$1001,RANDBETWEEN(1,1000)),N657)</f>
        <v>11806</v>
      </c>
      <c r="O658" t="s">
        <v>1003</v>
      </c>
      <c r="P658">
        <v>52936792</v>
      </c>
    </row>
    <row r="659" spans="1:16" x14ac:dyDescent="0.35">
      <c r="A659">
        <v>93827212234</v>
      </c>
      <c r="C659" s="2" t="s">
        <v>883</v>
      </c>
      <c r="D659">
        <v>3</v>
      </c>
      <c r="E659">
        <v>76891213604</v>
      </c>
      <c r="F659">
        <f t="shared" ca="1" si="20"/>
        <v>44</v>
      </c>
      <c r="G659">
        <f ca="1">VLOOKUP(E659,PurchItem!$A$2:$H$508,8,0)</f>
        <v>6398.1672211601835</v>
      </c>
      <c r="H659">
        <v>0.04</v>
      </c>
      <c r="I659" t="s">
        <v>244</v>
      </c>
      <c r="J659" s="5">
        <v>44693.594524409724</v>
      </c>
      <c r="K659" s="5">
        <v>44694.189048819448</v>
      </c>
      <c r="M659">
        <f t="shared" si="21"/>
        <v>10029727464</v>
      </c>
      <c r="N659">
        <f ca="1">IF(M659&lt;&gt;M658,INDEX(CustInfo!$A$2:$A$1001,RANDBETWEEN(1,1000)),N658)</f>
        <v>11806</v>
      </c>
      <c r="O659" t="s">
        <v>1003</v>
      </c>
      <c r="P659">
        <v>52936793</v>
      </c>
    </row>
    <row r="660" spans="1:16" x14ac:dyDescent="0.35">
      <c r="A660">
        <v>93827212235</v>
      </c>
      <c r="C660" s="2" t="s">
        <v>883</v>
      </c>
      <c r="D660">
        <v>1</v>
      </c>
      <c r="E660">
        <v>76891213417</v>
      </c>
      <c r="F660">
        <f t="shared" ca="1" si="20"/>
        <v>99</v>
      </c>
      <c r="G660">
        <f ca="1">VLOOKUP(E660,PurchItem!$A$2:$H$508,8,0)</f>
        <v>2722.8501831766084</v>
      </c>
      <c r="H660">
        <v>0.06</v>
      </c>
      <c r="I660" t="s">
        <v>244</v>
      </c>
      <c r="J660" s="5">
        <v>44575.594524409724</v>
      </c>
      <c r="K660" s="5">
        <v>44576.189048819448</v>
      </c>
      <c r="M660">
        <f t="shared" si="21"/>
        <v>10029727465</v>
      </c>
      <c r="N660">
        <f ca="1">IF(M660&lt;&gt;M659,INDEX(CustInfo!$A$2:$A$1001,RANDBETWEEN(1,1000)),N659)</f>
        <v>11410</v>
      </c>
      <c r="O660" t="s">
        <v>1002</v>
      </c>
      <c r="P660">
        <v>52936794</v>
      </c>
    </row>
    <row r="661" spans="1:16" x14ac:dyDescent="0.35">
      <c r="A661">
        <v>93827212235</v>
      </c>
      <c r="C661" s="2" t="s">
        <v>883</v>
      </c>
      <c r="D661">
        <v>2</v>
      </c>
      <c r="E661">
        <v>76891213495</v>
      </c>
      <c r="F661">
        <f t="shared" ca="1" si="20"/>
        <v>50</v>
      </c>
      <c r="G661">
        <f ca="1">VLOOKUP(E661,PurchItem!$A$2:$H$508,8,0)</f>
        <v>585.8593523174676</v>
      </c>
      <c r="H661">
        <v>0.06</v>
      </c>
      <c r="I661" t="s">
        <v>244</v>
      </c>
      <c r="J661" s="5">
        <v>44916.594524409724</v>
      </c>
      <c r="K661" s="5">
        <v>44918.189048819448</v>
      </c>
      <c r="M661">
        <f t="shared" si="21"/>
        <v>10029727465</v>
      </c>
      <c r="N661">
        <f ca="1">IF(M661&lt;&gt;M660,INDEX(CustInfo!$A$2:$A$1001,RANDBETWEEN(1,1000)),N660)</f>
        <v>11410</v>
      </c>
      <c r="O661" t="s">
        <v>1002</v>
      </c>
      <c r="P661">
        <v>52936795</v>
      </c>
    </row>
    <row r="662" spans="1:16" x14ac:dyDescent="0.35">
      <c r="A662">
        <v>93827212236</v>
      </c>
      <c r="C662" s="2" t="s">
        <v>883</v>
      </c>
      <c r="D662">
        <v>1</v>
      </c>
      <c r="E662">
        <v>76891213433</v>
      </c>
      <c r="F662">
        <f t="shared" ca="1" si="20"/>
        <v>12</v>
      </c>
      <c r="G662">
        <f ca="1">VLOOKUP(E662,PurchItem!$A$2:$H$508,8,0)</f>
        <v>8137.8051344838841</v>
      </c>
      <c r="H662">
        <v>0.04</v>
      </c>
      <c r="I662" t="s">
        <v>244</v>
      </c>
      <c r="J662" s="5">
        <v>45182.594524409724</v>
      </c>
      <c r="K662" s="5">
        <v>45184.189048819448</v>
      </c>
      <c r="M662">
        <f t="shared" si="21"/>
        <v>10029727466</v>
      </c>
      <c r="N662">
        <f ca="1">IF(M662&lt;&gt;M661,INDEX(CustInfo!$A$2:$A$1001,RANDBETWEEN(1,1000)),N661)</f>
        <v>11541</v>
      </c>
      <c r="O662" t="s">
        <v>1002</v>
      </c>
      <c r="P662">
        <v>52936796</v>
      </c>
    </row>
    <row r="663" spans="1:16" x14ac:dyDescent="0.35">
      <c r="A663">
        <v>93827212236</v>
      </c>
      <c r="C663" s="2" t="s">
        <v>883</v>
      </c>
      <c r="D663">
        <v>2</v>
      </c>
      <c r="E663">
        <v>76891213459</v>
      </c>
      <c r="F663">
        <f t="shared" ca="1" si="20"/>
        <v>26</v>
      </c>
      <c r="G663">
        <f ca="1">VLOOKUP(E663,PurchItem!$A$2:$H$508,8,0)</f>
        <v>7764.6378819601523</v>
      </c>
      <c r="H663">
        <v>0.04</v>
      </c>
      <c r="I663" t="s">
        <v>244</v>
      </c>
      <c r="J663" s="5">
        <v>44592.594524409724</v>
      </c>
      <c r="K663" s="5">
        <v>44593.189048819448</v>
      </c>
      <c r="M663">
        <f t="shared" si="21"/>
        <v>10029727466</v>
      </c>
      <c r="N663">
        <f ca="1">IF(M663&lt;&gt;M662,INDEX(CustInfo!$A$2:$A$1001,RANDBETWEEN(1,1000)),N662)</f>
        <v>11541</v>
      </c>
      <c r="O663" t="s">
        <v>1002</v>
      </c>
      <c r="P663">
        <v>52936797</v>
      </c>
    </row>
    <row r="664" spans="1:16" x14ac:dyDescent="0.35">
      <c r="A664">
        <v>93827212237</v>
      </c>
      <c r="C664" s="2" t="s">
        <v>883</v>
      </c>
      <c r="D664">
        <v>1</v>
      </c>
      <c r="E664">
        <v>76891213627</v>
      </c>
      <c r="F664">
        <f t="shared" ca="1" si="20"/>
        <v>85</v>
      </c>
      <c r="G664">
        <f ca="1">VLOOKUP(E664,PurchItem!$A$2:$H$508,8,0)</f>
        <v>7533.0368434425118</v>
      </c>
      <c r="H664">
        <v>0.05</v>
      </c>
      <c r="I664" t="s">
        <v>244</v>
      </c>
      <c r="J664" s="5">
        <v>45381.594524409724</v>
      </c>
      <c r="K664" s="5">
        <v>45383.189048819448</v>
      </c>
      <c r="M664">
        <f t="shared" si="21"/>
        <v>10029727467</v>
      </c>
      <c r="N664">
        <f ca="1">IF(M664&lt;&gt;M663,INDEX(CustInfo!$A$2:$A$1001,RANDBETWEEN(1,1000)),N663)</f>
        <v>11392</v>
      </c>
      <c r="O664" t="s">
        <v>1001</v>
      </c>
      <c r="P664">
        <v>52936798</v>
      </c>
    </row>
    <row r="665" spans="1:16" x14ac:dyDescent="0.35">
      <c r="A665">
        <v>93827212237</v>
      </c>
      <c r="C665" s="2" t="s">
        <v>883</v>
      </c>
      <c r="D665">
        <v>2</v>
      </c>
      <c r="E665">
        <v>76891213174</v>
      </c>
      <c r="F665">
        <f t="shared" ca="1" si="20"/>
        <v>21</v>
      </c>
      <c r="G665">
        <f ca="1">VLOOKUP(E665,PurchItem!$A$2:$H$508,8,0)</f>
        <v>3971.755790241577</v>
      </c>
      <c r="H665">
        <v>0.06</v>
      </c>
      <c r="I665" t="s">
        <v>244</v>
      </c>
      <c r="J665" s="5">
        <v>45399.594524409724</v>
      </c>
      <c r="K665" s="5">
        <v>45400.189048819448</v>
      </c>
      <c r="M665">
        <f t="shared" si="21"/>
        <v>10029727467</v>
      </c>
      <c r="N665">
        <f ca="1">IF(M665&lt;&gt;M664,INDEX(CustInfo!$A$2:$A$1001,RANDBETWEEN(1,1000)),N664)</f>
        <v>11392</v>
      </c>
      <c r="O665" t="s">
        <v>1001</v>
      </c>
      <c r="P665">
        <v>52936799</v>
      </c>
    </row>
    <row r="666" spans="1:16" x14ac:dyDescent="0.35">
      <c r="A666">
        <v>93827212237</v>
      </c>
      <c r="C666" s="2" t="s">
        <v>883</v>
      </c>
      <c r="D666">
        <v>3</v>
      </c>
      <c r="E666">
        <v>76891213349</v>
      </c>
      <c r="F666">
        <f t="shared" ca="1" si="20"/>
        <v>6</v>
      </c>
      <c r="G666">
        <f ca="1">VLOOKUP(E666,PurchItem!$A$2:$H$508,8,0)</f>
        <v>5182.697525429865</v>
      </c>
      <c r="H666">
        <v>0.06</v>
      </c>
      <c r="I666" t="s">
        <v>244</v>
      </c>
      <c r="J666" s="5">
        <v>44831.594524409724</v>
      </c>
      <c r="K666" s="5">
        <v>44832.189048819448</v>
      </c>
      <c r="M666">
        <f t="shared" si="21"/>
        <v>10029727467</v>
      </c>
      <c r="N666">
        <f ca="1">IF(M666&lt;&gt;M665,INDEX(CustInfo!$A$2:$A$1001,RANDBETWEEN(1,1000)),N665)</f>
        <v>11392</v>
      </c>
      <c r="O666" t="s">
        <v>1001</v>
      </c>
      <c r="P666">
        <v>52936800</v>
      </c>
    </row>
    <row r="667" spans="1:16" x14ac:dyDescent="0.35">
      <c r="A667">
        <v>93827212238</v>
      </c>
      <c r="C667" s="2" t="s">
        <v>883</v>
      </c>
      <c r="D667">
        <v>1</v>
      </c>
      <c r="E667">
        <v>76891213491</v>
      </c>
      <c r="F667">
        <f t="shared" ca="1" si="20"/>
        <v>80</v>
      </c>
      <c r="G667">
        <f ca="1">VLOOKUP(E667,PurchItem!$A$2:$H$508,8,0)</f>
        <v>2320.7084044474691</v>
      </c>
      <c r="H667">
        <v>0.04</v>
      </c>
      <c r="I667" t="s">
        <v>244</v>
      </c>
      <c r="J667" s="5">
        <v>44896.594524409724</v>
      </c>
      <c r="K667" s="5">
        <v>44899.189048819448</v>
      </c>
      <c r="M667">
        <f t="shared" si="21"/>
        <v>10029727468</v>
      </c>
      <c r="N667">
        <f ca="1">IF(M667&lt;&gt;M666,INDEX(CustInfo!$A$2:$A$1001,RANDBETWEEN(1,1000)),N666)</f>
        <v>11846</v>
      </c>
      <c r="O667" t="s">
        <v>1002</v>
      </c>
      <c r="P667">
        <v>52936801</v>
      </c>
    </row>
    <row r="668" spans="1:16" x14ac:dyDescent="0.35">
      <c r="A668">
        <v>93827212238</v>
      </c>
      <c r="C668" s="2" t="s">
        <v>883</v>
      </c>
      <c r="D668">
        <v>2</v>
      </c>
      <c r="E668">
        <v>76891213266</v>
      </c>
      <c r="F668">
        <f t="shared" ca="1" si="20"/>
        <v>34</v>
      </c>
      <c r="G668">
        <f ca="1">VLOOKUP(E668,PurchItem!$A$2:$H$508,8,0)</f>
        <v>1275.2501267518942</v>
      </c>
      <c r="H668">
        <v>0.05</v>
      </c>
      <c r="I668" t="s">
        <v>244</v>
      </c>
      <c r="J668" s="5">
        <v>44721.594524409724</v>
      </c>
      <c r="K668" s="5">
        <v>44724.189048819448</v>
      </c>
      <c r="M668">
        <f t="shared" si="21"/>
        <v>10029727468</v>
      </c>
      <c r="N668">
        <f ca="1">IF(M668&lt;&gt;M667,INDEX(CustInfo!$A$2:$A$1001,RANDBETWEEN(1,1000)),N667)</f>
        <v>11846</v>
      </c>
      <c r="O668" t="s">
        <v>1002</v>
      </c>
      <c r="P668">
        <v>52936802</v>
      </c>
    </row>
    <row r="669" spans="1:16" x14ac:dyDescent="0.35">
      <c r="A669">
        <v>93827212238</v>
      </c>
      <c r="C669" s="2" t="s">
        <v>883</v>
      </c>
      <c r="D669">
        <v>3</v>
      </c>
      <c r="E669">
        <v>76891213457</v>
      </c>
      <c r="F669">
        <f t="shared" ca="1" si="20"/>
        <v>100</v>
      </c>
      <c r="G669">
        <f ca="1">VLOOKUP(E669,PurchItem!$A$2:$H$508,8,0)</f>
        <v>6617.5399033341891</v>
      </c>
      <c r="H669">
        <v>0.04</v>
      </c>
      <c r="I669" t="s">
        <v>244</v>
      </c>
      <c r="J669" s="5">
        <v>44971.594524409724</v>
      </c>
      <c r="K669" s="5">
        <v>44975.189048819448</v>
      </c>
      <c r="M669">
        <f t="shared" si="21"/>
        <v>10029727468</v>
      </c>
      <c r="N669">
        <f ca="1">IF(M669&lt;&gt;M668,INDEX(CustInfo!$A$2:$A$1001,RANDBETWEEN(1,1000)),N668)</f>
        <v>11846</v>
      </c>
      <c r="O669" t="s">
        <v>1002</v>
      </c>
      <c r="P669">
        <v>52936803</v>
      </c>
    </row>
    <row r="670" spans="1:16" x14ac:dyDescent="0.35">
      <c r="A670">
        <v>93827212238</v>
      </c>
      <c r="C670" s="2" t="s">
        <v>883</v>
      </c>
      <c r="D670">
        <v>4</v>
      </c>
      <c r="E670">
        <v>76891213604</v>
      </c>
      <c r="F670">
        <f t="shared" ca="1" si="20"/>
        <v>72</v>
      </c>
      <c r="G670">
        <f ca="1">VLOOKUP(E670,PurchItem!$A$2:$H$508,8,0)</f>
        <v>6398.1672211601835</v>
      </c>
      <c r="H670">
        <v>0.06</v>
      </c>
      <c r="I670" t="s">
        <v>244</v>
      </c>
      <c r="J670" s="5">
        <v>45236.594524409724</v>
      </c>
      <c r="K670" s="5">
        <v>45238.189048819448</v>
      </c>
      <c r="M670">
        <f t="shared" si="21"/>
        <v>10029727468</v>
      </c>
      <c r="N670">
        <f ca="1">IF(M670&lt;&gt;M669,INDEX(CustInfo!$A$2:$A$1001,RANDBETWEEN(1,1000)),N669)</f>
        <v>11846</v>
      </c>
      <c r="O670" t="s">
        <v>1002</v>
      </c>
      <c r="P670">
        <v>52936804</v>
      </c>
    </row>
    <row r="671" spans="1:16" x14ac:dyDescent="0.35">
      <c r="A671">
        <v>93827212239</v>
      </c>
      <c r="C671" s="2" t="s">
        <v>883</v>
      </c>
      <c r="D671">
        <v>1</v>
      </c>
      <c r="E671">
        <v>76891213521</v>
      </c>
      <c r="F671">
        <f t="shared" ca="1" si="20"/>
        <v>91</v>
      </c>
      <c r="G671">
        <f ca="1">VLOOKUP(E671,PurchItem!$A$2:$H$508,8,0)</f>
        <v>8650.5364272388215</v>
      </c>
      <c r="H671">
        <v>0.06</v>
      </c>
      <c r="I671" t="s">
        <v>244</v>
      </c>
      <c r="J671" s="5">
        <v>44867.594524409724</v>
      </c>
      <c r="K671" s="5">
        <v>44870.189048819448</v>
      </c>
      <c r="M671">
        <f t="shared" si="21"/>
        <v>10029727469</v>
      </c>
      <c r="N671">
        <f ca="1">IF(M671&lt;&gt;M670,INDEX(CustInfo!$A$2:$A$1001,RANDBETWEEN(1,1000)),N670)</f>
        <v>11115</v>
      </c>
      <c r="O671" t="s">
        <v>1002</v>
      </c>
      <c r="P671">
        <v>52936805</v>
      </c>
    </row>
    <row r="672" spans="1:16" x14ac:dyDescent="0.35">
      <c r="A672">
        <v>93827212239</v>
      </c>
      <c r="C672" s="2" t="s">
        <v>883</v>
      </c>
      <c r="D672">
        <v>2</v>
      </c>
      <c r="E672">
        <v>76891213293</v>
      </c>
      <c r="F672">
        <f t="shared" ca="1" si="20"/>
        <v>19</v>
      </c>
      <c r="G672">
        <f ca="1">VLOOKUP(E672,PurchItem!$A$2:$H$508,8,0)</f>
        <v>1389.1874106181256</v>
      </c>
      <c r="H672">
        <v>0.04</v>
      </c>
      <c r="I672" t="s">
        <v>244</v>
      </c>
      <c r="J672" s="5">
        <v>44831.594524409724</v>
      </c>
      <c r="K672" s="5">
        <v>44833.189048819448</v>
      </c>
      <c r="M672">
        <f t="shared" si="21"/>
        <v>10029727469</v>
      </c>
      <c r="N672">
        <f ca="1">IF(M672&lt;&gt;M671,INDEX(CustInfo!$A$2:$A$1001,RANDBETWEEN(1,1000)),N671)</f>
        <v>11115</v>
      </c>
      <c r="O672" t="s">
        <v>1002</v>
      </c>
      <c r="P672">
        <v>52936806</v>
      </c>
    </row>
    <row r="673" spans="1:16" x14ac:dyDescent="0.35">
      <c r="A673">
        <v>93827212239</v>
      </c>
      <c r="C673" s="2" t="s">
        <v>883</v>
      </c>
      <c r="D673">
        <v>3</v>
      </c>
      <c r="E673">
        <v>76891213631</v>
      </c>
      <c r="F673">
        <f t="shared" ca="1" si="20"/>
        <v>70</v>
      </c>
      <c r="G673">
        <f ca="1">VLOOKUP(E673,PurchItem!$A$2:$H$508,8,0)</f>
        <v>7502.4606119206692</v>
      </c>
      <c r="H673">
        <v>0.04</v>
      </c>
      <c r="I673" t="s">
        <v>244</v>
      </c>
      <c r="J673" s="5">
        <v>44871.594524409724</v>
      </c>
      <c r="K673" s="5">
        <v>44875.189048819448</v>
      </c>
      <c r="M673">
        <f t="shared" si="21"/>
        <v>10029727469</v>
      </c>
      <c r="N673">
        <f ca="1">IF(M673&lt;&gt;M672,INDEX(CustInfo!$A$2:$A$1001,RANDBETWEEN(1,1000)),N672)</f>
        <v>11115</v>
      </c>
      <c r="O673" t="s">
        <v>1002</v>
      </c>
      <c r="P673">
        <v>52936807</v>
      </c>
    </row>
    <row r="674" spans="1:16" x14ac:dyDescent="0.35">
      <c r="A674">
        <v>93827212239</v>
      </c>
      <c r="C674" s="2" t="s">
        <v>883</v>
      </c>
      <c r="D674">
        <v>4</v>
      </c>
      <c r="E674">
        <v>76891213479</v>
      </c>
      <c r="F674">
        <f t="shared" ca="1" si="20"/>
        <v>12</v>
      </c>
      <c r="G674">
        <f ca="1">VLOOKUP(E674,PurchItem!$A$2:$H$508,8,0)</f>
        <v>6220.9089937272938</v>
      </c>
      <c r="H674">
        <v>0.04</v>
      </c>
      <c r="I674" t="s">
        <v>244</v>
      </c>
      <c r="J674" s="5">
        <v>45318.594524409724</v>
      </c>
      <c r="K674" s="5">
        <v>45321.189048819448</v>
      </c>
      <c r="M674">
        <f t="shared" si="21"/>
        <v>10029727469</v>
      </c>
      <c r="N674">
        <f ca="1">IF(M674&lt;&gt;M673,INDEX(CustInfo!$A$2:$A$1001,RANDBETWEEN(1,1000)),N673)</f>
        <v>11115</v>
      </c>
      <c r="O674" t="s">
        <v>1002</v>
      </c>
      <c r="P674">
        <v>52936808</v>
      </c>
    </row>
    <row r="675" spans="1:16" x14ac:dyDescent="0.35">
      <c r="A675">
        <v>93827212240</v>
      </c>
      <c r="C675" s="2" t="s">
        <v>883</v>
      </c>
      <c r="D675">
        <v>1</v>
      </c>
      <c r="E675">
        <v>76891213155</v>
      </c>
      <c r="F675">
        <f t="shared" ca="1" si="20"/>
        <v>75</v>
      </c>
      <c r="G675">
        <f ca="1">VLOOKUP(E675,PurchItem!$A$2:$H$508,8,0)</f>
        <v>3627.1918809763515</v>
      </c>
      <c r="H675">
        <v>0.05</v>
      </c>
      <c r="I675" t="s">
        <v>244</v>
      </c>
      <c r="J675" s="5">
        <v>45061.594524409724</v>
      </c>
      <c r="K675" s="5">
        <v>45065.189048819448</v>
      </c>
      <c r="M675">
        <f t="shared" si="21"/>
        <v>10029727470</v>
      </c>
      <c r="N675">
        <f ca="1">IF(M675&lt;&gt;M674,INDEX(CustInfo!$A$2:$A$1001,RANDBETWEEN(1,1000)),N674)</f>
        <v>11739</v>
      </c>
      <c r="O675" t="s">
        <v>1003</v>
      </c>
      <c r="P675">
        <v>52936809</v>
      </c>
    </row>
    <row r="676" spans="1:16" x14ac:dyDescent="0.35">
      <c r="A676">
        <v>93827212240</v>
      </c>
      <c r="C676" s="2" t="s">
        <v>883</v>
      </c>
      <c r="D676">
        <v>2</v>
      </c>
      <c r="E676">
        <v>76891213277</v>
      </c>
      <c r="F676">
        <f t="shared" ca="1" si="20"/>
        <v>3</v>
      </c>
      <c r="G676">
        <f ca="1">VLOOKUP(E676,PurchItem!$A$2:$H$508,8,0)</f>
        <v>424.15138544256627</v>
      </c>
      <c r="H676">
        <v>0.05</v>
      </c>
      <c r="I676" t="s">
        <v>244</v>
      </c>
      <c r="J676" s="5">
        <v>45298.594524409724</v>
      </c>
      <c r="K676" s="5">
        <v>45302.189048819448</v>
      </c>
      <c r="M676">
        <f t="shared" si="21"/>
        <v>10029727470</v>
      </c>
      <c r="N676">
        <f ca="1">IF(M676&lt;&gt;M675,INDEX(CustInfo!$A$2:$A$1001,RANDBETWEEN(1,1000)),N675)</f>
        <v>11739</v>
      </c>
      <c r="O676" t="s">
        <v>1003</v>
      </c>
      <c r="P676">
        <v>52936810</v>
      </c>
    </row>
    <row r="677" spans="1:16" x14ac:dyDescent="0.35">
      <c r="A677">
        <v>93827212240</v>
      </c>
      <c r="C677" s="2" t="s">
        <v>883</v>
      </c>
      <c r="D677">
        <v>3</v>
      </c>
      <c r="E677">
        <v>76891213314</v>
      </c>
      <c r="F677">
        <f t="shared" ca="1" si="20"/>
        <v>82</v>
      </c>
      <c r="G677">
        <f ca="1">VLOOKUP(E677,PurchItem!$A$2:$H$508,8,0)</f>
        <v>8987.665477288343</v>
      </c>
      <c r="H677">
        <v>0.05</v>
      </c>
      <c r="I677" t="s">
        <v>244</v>
      </c>
      <c r="J677" s="5">
        <v>44647.594524409724</v>
      </c>
      <c r="K677" s="5">
        <v>44651.189048819448</v>
      </c>
      <c r="M677">
        <f t="shared" si="21"/>
        <v>10029727470</v>
      </c>
      <c r="N677">
        <f ca="1">IF(M677&lt;&gt;M676,INDEX(CustInfo!$A$2:$A$1001,RANDBETWEEN(1,1000)),N676)</f>
        <v>11739</v>
      </c>
      <c r="O677" t="s">
        <v>1003</v>
      </c>
      <c r="P677">
        <v>52936811</v>
      </c>
    </row>
    <row r="678" spans="1:16" x14ac:dyDescent="0.35">
      <c r="A678">
        <v>93827212241</v>
      </c>
      <c r="C678" s="2" t="s">
        <v>883</v>
      </c>
      <c r="D678">
        <v>1</v>
      </c>
      <c r="E678">
        <v>76891213279</v>
      </c>
      <c r="F678">
        <f t="shared" ca="1" si="20"/>
        <v>85</v>
      </c>
      <c r="G678">
        <f ca="1">VLOOKUP(E678,PurchItem!$A$2:$H$508,8,0)</f>
        <v>4031.2930953409268</v>
      </c>
      <c r="H678">
        <v>0.04</v>
      </c>
      <c r="I678" t="s">
        <v>244</v>
      </c>
      <c r="J678" s="5">
        <v>44618.594524409724</v>
      </c>
      <c r="K678" s="5">
        <v>44622.189048819448</v>
      </c>
      <c r="M678">
        <f t="shared" si="21"/>
        <v>10029727471</v>
      </c>
      <c r="N678">
        <f ca="1">IF(M678&lt;&gt;M677,INDEX(CustInfo!$A$2:$A$1001,RANDBETWEEN(1,1000)),N677)</f>
        <v>11356</v>
      </c>
      <c r="O678" t="s">
        <v>1002</v>
      </c>
      <c r="P678">
        <v>52936812</v>
      </c>
    </row>
    <row r="679" spans="1:16" x14ac:dyDescent="0.35">
      <c r="A679">
        <v>93827212241</v>
      </c>
      <c r="C679" s="2" t="s">
        <v>883</v>
      </c>
      <c r="D679">
        <v>2</v>
      </c>
      <c r="E679">
        <v>76891213262</v>
      </c>
      <c r="F679">
        <f t="shared" ca="1" si="20"/>
        <v>15</v>
      </c>
      <c r="G679">
        <f ca="1">VLOOKUP(E679,PurchItem!$A$2:$H$508,8,0)</f>
        <v>3130.141280264294</v>
      </c>
      <c r="H679">
        <v>0.06</v>
      </c>
      <c r="I679" t="s">
        <v>244</v>
      </c>
      <c r="J679" s="5">
        <v>45492.594524409724</v>
      </c>
      <c r="K679" s="5">
        <v>45495.189048819448</v>
      </c>
      <c r="M679">
        <f t="shared" si="21"/>
        <v>10029727471</v>
      </c>
      <c r="N679">
        <f ca="1">IF(M679&lt;&gt;M678,INDEX(CustInfo!$A$2:$A$1001,RANDBETWEEN(1,1000)),N678)</f>
        <v>11356</v>
      </c>
      <c r="O679" t="s">
        <v>1002</v>
      </c>
      <c r="P679">
        <v>52936813</v>
      </c>
    </row>
    <row r="680" spans="1:16" x14ac:dyDescent="0.35">
      <c r="A680">
        <v>93827212242</v>
      </c>
      <c r="C680" s="2" t="s">
        <v>883</v>
      </c>
      <c r="D680">
        <v>1</v>
      </c>
      <c r="E680">
        <v>76891213348</v>
      </c>
      <c r="F680">
        <f t="shared" ca="1" si="20"/>
        <v>16</v>
      </c>
      <c r="G680">
        <f ca="1">VLOOKUP(E680,PurchItem!$A$2:$H$508,8,0)</f>
        <v>6169.9839706707698</v>
      </c>
      <c r="H680">
        <v>0.05</v>
      </c>
      <c r="I680" t="s">
        <v>244</v>
      </c>
      <c r="J680" s="5">
        <v>45345.594524409724</v>
      </c>
      <c r="K680" s="5">
        <v>45347.189048819448</v>
      </c>
      <c r="M680">
        <f t="shared" si="21"/>
        <v>10029727472</v>
      </c>
      <c r="N680">
        <f ca="1">IF(M680&lt;&gt;M679,INDEX(CustInfo!$A$2:$A$1001,RANDBETWEEN(1,1000)),N679)</f>
        <v>11263</v>
      </c>
      <c r="O680" t="s">
        <v>1002</v>
      </c>
      <c r="P680">
        <v>52936814</v>
      </c>
    </row>
    <row r="681" spans="1:16" x14ac:dyDescent="0.35">
      <c r="A681">
        <v>93827212242</v>
      </c>
      <c r="C681" s="2" t="s">
        <v>883</v>
      </c>
      <c r="D681">
        <v>2</v>
      </c>
      <c r="E681">
        <v>76891213576</v>
      </c>
      <c r="F681">
        <f t="shared" ca="1" si="20"/>
        <v>73</v>
      </c>
      <c r="G681">
        <f ca="1">VLOOKUP(E681,PurchItem!$A$2:$H$508,8,0)</f>
        <v>8640.0306177993825</v>
      </c>
      <c r="H681">
        <v>0.05</v>
      </c>
      <c r="I681" t="s">
        <v>244</v>
      </c>
      <c r="J681" s="5">
        <v>45276.594524409724</v>
      </c>
      <c r="K681" s="5">
        <v>45280.189048819448</v>
      </c>
      <c r="M681">
        <f t="shared" si="21"/>
        <v>10029727472</v>
      </c>
      <c r="N681">
        <f ca="1">IF(M681&lt;&gt;M680,INDEX(CustInfo!$A$2:$A$1001,RANDBETWEEN(1,1000)),N680)</f>
        <v>11263</v>
      </c>
      <c r="O681" t="s">
        <v>1002</v>
      </c>
      <c r="P681">
        <v>52936815</v>
      </c>
    </row>
    <row r="682" spans="1:16" x14ac:dyDescent="0.35">
      <c r="A682">
        <v>93827212242</v>
      </c>
      <c r="C682" s="2" t="s">
        <v>883</v>
      </c>
      <c r="D682">
        <v>3</v>
      </c>
      <c r="E682">
        <v>76891213391</v>
      </c>
      <c r="F682">
        <f t="shared" ca="1" si="20"/>
        <v>36</v>
      </c>
      <c r="G682">
        <f ca="1">VLOOKUP(E682,PurchItem!$A$2:$H$508,8,0)</f>
        <v>3029.6020190014342</v>
      </c>
      <c r="H682">
        <v>0.04</v>
      </c>
      <c r="I682" t="s">
        <v>244</v>
      </c>
      <c r="J682" s="5">
        <v>45482.594524409724</v>
      </c>
      <c r="K682" s="5">
        <v>45485.189048819448</v>
      </c>
      <c r="M682">
        <f t="shared" si="21"/>
        <v>10029727472</v>
      </c>
      <c r="N682">
        <f ca="1">IF(M682&lt;&gt;M681,INDEX(CustInfo!$A$2:$A$1001,RANDBETWEEN(1,1000)),N681)</f>
        <v>11263</v>
      </c>
      <c r="O682" t="s">
        <v>1002</v>
      </c>
      <c r="P682">
        <v>52936816</v>
      </c>
    </row>
    <row r="683" spans="1:16" x14ac:dyDescent="0.35">
      <c r="A683">
        <v>93827212243</v>
      </c>
      <c r="C683" s="2" t="s">
        <v>883</v>
      </c>
      <c r="D683">
        <v>1</v>
      </c>
      <c r="E683">
        <v>76891213334</v>
      </c>
      <c r="F683">
        <f t="shared" ca="1" si="20"/>
        <v>89</v>
      </c>
      <c r="G683">
        <f ca="1">VLOOKUP(E683,PurchItem!$A$2:$H$508,8,0)</f>
        <v>8701.4873817400676</v>
      </c>
      <c r="H683">
        <v>0.06</v>
      </c>
      <c r="I683" t="s">
        <v>244</v>
      </c>
      <c r="J683" s="5">
        <v>45157.594524409724</v>
      </c>
      <c r="K683" s="5">
        <v>45160.189048819448</v>
      </c>
      <c r="M683">
        <f t="shared" si="21"/>
        <v>10029727473</v>
      </c>
      <c r="N683">
        <f ca="1">IF(M683&lt;&gt;M682,INDEX(CustInfo!$A$2:$A$1001,RANDBETWEEN(1,1000)),N682)</f>
        <v>11641</v>
      </c>
      <c r="O683" t="s">
        <v>1001</v>
      </c>
      <c r="P683">
        <v>52936817</v>
      </c>
    </row>
    <row r="684" spans="1:16" x14ac:dyDescent="0.35">
      <c r="A684">
        <v>93827212243</v>
      </c>
      <c r="C684" s="2" t="s">
        <v>883</v>
      </c>
      <c r="D684">
        <v>2</v>
      </c>
      <c r="E684">
        <v>76891213517</v>
      </c>
      <c r="F684">
        <f t="shared" ca="1" si="20"/>
        <v>11</v>
      </c>
      <c r="G684">
        <f ca="1">VLOOKUP(E684,PurchItem!$A$2:$H$508,8,0)</f>
        <v>9112.1517814969393</v>
      </c>
      <c r="H684">
        <v>0.05</v>
      </c>
      <c r="I684" t="s">
        <v>244</v>
      </c>
      <c r="J684" s="5">
        <v>45272.594524409724</v>
      </c>
      <c r="K684" s="5">
        <v>45274.189048819448</v>
      </c>
      <c r="M684">
        <f t="shared" si="21"/>
        <v>10029727473</v>
      </c>
      <c r="N684">
        <f ca="1">IF(M684&lt;&gt;M683,INDEX(CustInfo!$A$2:$A$1001,RANDBETWEEN(1,1000)),N683)</f>
        <v>11641</v>
      </c>
      <c r="O684" t="s">
        <v>1001</v>
      </c>
      <c r="P684">
        <v>52936818</v>
      </c>
    </row>
    <row r="685" spans="1:16" x14ac:dyDescent="0.35">
      <c r="A685">
        <v>93827212243</v>
      </c>
      <c r="C685" s="2" t="s">
        <v>883</v>
      </c>
      <c r="D685">
        <v>3</v>
      </c>
      <c r="E685">
        <v>76891213386</v>
      </c>
      <c r="F685">
        <f t="shared" ca="1" si="20"/>
        <v>83</v>
      </c>
      <c r="G685">
        <f ca="1">VLOOKUP(E685,PurchItem!$A$2:$H$508,8,0)</f>
        <v>8452.4982732375174</v>
      </c>
      <c r="H685">
        <v>0.06</v>
      </c>
      <c r="I685" t="s">
        <v>244</v>
      </c>
      <c r="J685" s="5">
        <v>44826.594524409724</v>
      </c>
      <c r="K685" s="5">
        <v>44828.189048819448</v>
      </c>
      <c r="M685">
        <f t="shared" si="21"/>
        <v>10029727473</v>
      </c>
      <c r="N685">
        <f ca="1">IF(M685&lt;&gt;M684,INDEX(CustInfo!$A$2:$A$1001,RANDBETWEEN(1,1000)),N684)</f>
        <v>11641</v>
      </c>
      <c r="O685" t="s">
        <v>1001</v>
      </c>
      <c r="P685">
        <v>52936819</v>
      </c>
    </row>
    <row r="686" spans="1:16" x14ac:dyDescent="0.35">
      <c r="A686">
        <v>93827212243</v>
      </c>
      <c r="C686" s="2" t="s">
        <v>883</v>
      </c>
      <c r="D686">
        <v>4</v>
      </c>
      <c r="E686">
        <v>76891213478</v>
      </c>
      <c r="F686">
        <f t="shared" ca="1" si="20"/>
        <v>76</v>
      </c>
      <c r="G686">
        <f ca="1">VLOOKUP(E686,PurchItem!$A$2:$H$508,8,0)</f>
        <v>7391.2836595204599</v>
      </c>
      <c r="H686">
        <v>0.06</v>
      </c>
      <c r="I686" t="s">
        <v>244</v>
      </c>
      <c r="J686" s="5">
        <v>45469.594524409724</v>
      </c>
      <c r="K686" s="5">
        <v>45470.189048819448</v>
      </c>
      <c r="M686">
        <f t="shared" si="21"/>
        <v>10029727473</v>
      </c>
      <c r="N686">
        <f ca="1">IF(M686&lt;&gt;M685,INDEX(CustInfo!$A$2:$A$1001,RANDBETWEEN(1,1000)),N685)</f>
        <v>11641</v>
      </c>
      <c r="O686" t="s">
        <v>1001</v>
      </c>
      <c r="P686">
        <v>52936820</v>
      </c>
    </row>
    <row r="687" spans="1:16" x14ac:dyDescent="0.35">
      <c r="A687">
        <v>93827212244</v>
      </c>
      <c r="C687" s="2" t="s">
        <v>883</v>
      </c>
      <c r="D687">
        <v>1</v>
      </c>
      <c r="E687">
        <v>76891213148</v>
      </c>
      <c r="F687">
        <f t="shared" ca="1" si="20"/>
        <v>28</v>
      </c>
      <c r="G687">
        <f ca="1">VLOOKUP(E687,PurchItem!$A$2:$H$508,8,0)</f>
        <v>1059.7105318061322</v>
      </c>
      <c r="H687">
        <v>0.06</v>
      </c>
      <c r="I687" t="s">
        <v>244</v>
      </c>
      <c r="J687" s="5">
        <v>45028.594524409724</v>
      </c>
      <c r="K687" s="5">
        <v>45030.189048819448</v>
      </c>
      <c r="M687">
        <f t="shared" si="21"/>
        <v>10029727474</v>
      </c>
      <c r="N687">
        <f ca="1">IF(M687&lt;&gt;M686,INDEX(CustInfo!$A$2:$A$1001,RANDBETWEEN(1,1000)),N686)</f>
        <v>11808</v>
      </c>
      <c r="O687" t="s">
        <v>1002</v>
      </c>
      <c r="P687">
        <v>52936821</v>
      </c>
    </row>
    <row r="688" spans="1:16" x14ac:dyDescent="0.35">
      <c r="A688">
        <v>93827212244</v>
      </c>
      <c r="C688" s="2" t="s">
        <v>883</v>
      </c>
      <c r="D688">
        <v>2</v>
      </c>
      <c r="E688">
        <v>76891213524</v>
      </c>
      <c r="F688">
        <f t="shared" ca="1" si="20"/>
        <v>61</v>
      </c>
      <c r="G688">
        <f ca="1">VLOOKUP(E688,PurchItem!$A$2:$H$508,8,0)</f>
        <v>2987.1429372726939</v>
      </c>
      <c r="H688">
        <v>0.04</v>
      </c>
      <c r="I688" t="s">
        <v>244</v>
      </c>
      <c r="J688" s="5">
        <v>44576.594524409724</v>
      </c>
      <c r="K688" s="5">
        <v>44579.189048819448</v>
      </c>
      <c r="M688">
        <f t="shared" si="21"/>
        <v>10029727474</v>
      </c>
      <c r="N688">
        <f ca="1">IF(M688&lt;&gt;M687,INDEX(CustInfo!$A$2:$A$1001,RANDBETWEEN(1,1000)),N687)</f>
        <v>11808</v>
      </c>
      <c r="O688" t="s">
        <v>1002</v>
      </c>
      <c r="P688">
        <v>52936822</v>
      </c>
    </row>
    <row r="689" spans="1:16" x14ac:dyDescent="0.35">
      <c r="A689">
        <v>93827212244</v>
      </c>
      <c r="C689" s="2" t="s">
        <v>883</v>
      </c>
      <c r="D689">
        <v>3</v>
      </c>
      <c r="E689">
        <v>76891213460</v>
      </c>
      <c r="F689">
        <f t="shared" ca="1" si="20"/>
        <v>53</v>
      </c>
      <c r="G689">
        <f ca="1">VLOOKUP(E689,PurchItem!$A$2:$H$508,8,0)</f>
        <v>6992.4051616071765</v>
      </c>
      <c r="H689">
        <v>0.04</v>
      </c>
      <c r="I689" t="s">
        <v>244</v>
      </c>
      <c r="J689" s="5">
        <v>44745.594524409724</v>
      </c>
      <c r="K689" s="5">
        <v>44749.189048819448</v>
      </c>
      <c r="M689">
        <f t="shared" si="21"/>
        <v>10029727474</v>
      </c>
      <c r="N689">
        <f ca="1">IF(M689&lt;&gt;M688,INDEX(CustInfo!$A$2:$A$1001,RANDBETWEEN(1,1000)),N688)</f>
        <v>11808</v>
      </c>
      <c r="O689" t="s">
        <v>1002</v>
      </c>
      <c r="P689">
        <v>52936823</v>
      </c>
    </row>
    <row r="690" spans="1:16" x14ac:dyDescent="0.35">
      <c r="A690">
        <v>93827212245</v>
      </c>
      <c r="C690" s="2" t="s">
        <v>883</v>
      </c>
      <c r="D690">
        <v>1</v>
      </c>
      <c r="E690">
        <v>76891213183</v>
      </c>
      <c r="F690">
        <f t="shared" ca="1" si="20"/>
        <v>68</v>
      </c>
      <c r="G690">
        <f ca="1">VLOOKUP(E690,PurchItem!$A$2:$H$508,8,0)</f>
        <v>4515.1780100847882</v>
      </c>
      <c r="H690">
        <v>0.05</v>
      </c>
      <c r="I690" t="s">
        <v>244</v>
      </c>
      <c r="J690" s="5">
        <v>44902.594524409724</v>
      </c>
      <c r="K690" s="5">
        <v>44903.189048819448</v>
      </c>
      <c r="M690">
        <f t="shared" si="21"/>
        <v>10029727475</v>
      </c>
      <c r="N690">
        <f ca="1">IF(M690&lt;&gt;M689,INDEX(CustInfo!$A$2:$A$1001,RANDBETWEEN(1,1000)),N689)</f>
        <v>11644</v>
      </c>
      <c r="O690" t="s">
        <v>1001</v>
      </c>
      <c r="P690">
        <v>52936824</v>
      </c>
    </row>
    <row r="691" spans="1:16" x14ac:dyDescent="0.35">
      <c r="A691">
        <v>93827212245</v>
      </c>
      <c r="C691" s="2" t="s">
        <v>883</v>
      </c>
      <c r="D691">
        <v>2</v>
      </c>
      <c r="E691">
        <v>76891213587</v>
      </c>
      <c r="F691">
        <f t="shared" ca="1" si="20"/>
        <v>80</v>
      </c>
      <c r="G691">
        <f ca="1">VLOOKUP(E691,PurchItem!$A$2:$H$508,8,0)</f>
        <v>402.21981378530177</v>
      </c>
      <c r="H691">
        <v>0.06</v>
      </c>
      <c r="I691" t="s">
        <v>244</v>
      </c>
      <c r="J691" s="5">
        <v>45140.594524409724</v>
      </c>
      <c r="K691" s="5">
        <v>45141.189048819448</v>
      </c>
      <c r="M691">
        <f t="shared" si="21"/>
        <v>10029727475</v>
      </c>
      <c r="N691">
        <f ca="1">IF(M691&lt;&gt;M690,INDEX(CustInfo!$A$2:$A$1001,RANDBETWEEN(1,1000)),N690)</f>
        <v>11644</v>
      </c>
      <c r="O691" t="s">
        <v>1001</v>
      </c>
      <c r="P691">
        <v>52936825</v>
      </c>
    </row>
    <row r="692" spans="1:16" x14ac:dyDescent="0.35">
      <c r="A692">
        <v>93827212245</v>
      </c>
      <c r="C692" s="2" t="s">
        <v>883</v>
      </c>
      <c r="D692">
        <v>3</v>
      </c>
      <c r="E692">
        <v>76891213558</v>
      </c>
      <c r="F692">
        <f t="shared" ca="1" si="20"/>
        <v>50</v>
      </c>
      <c r="G692">
        <f ca="1">VLOOKUP(E692,PurchItem!$A$2:$H$508,8,0)</f>
        <v>2703.1304184049623</v>
      </c>
      <c r="H692">
        <v>0.04</v>
      </c>
      <c r="I692" t="s">
        <v>244</v>
      </c>
      <c r="J692" s="5">
        <v>44567.594524409724</v>
      </c>
      <c r="K692" s="5">
        <v>44571.189048819448</v>
      </c>
      <c r="M692">
        <f t="shared" si="21"/>
        <v>10029727475</v>
      </c>
      <c r="N692">
        <f ca="1">IF(M692&lt;&gt;M691,INDEX(CustInfo!$A$2:$A$1001,RANDBETWEEN(1,1000)),N691)</f>
        <v>11644</v>
      </c>
      <c r="O692" t="s">
        <v>1001</v>
      </c>
      <c r="P692">
        <v>52936826</v>
      </c>
    </row>
    <row r="693" spans="1:16" x14ac:dyDescent="0.35">
      <c r="A693">
        <v>93827212246</v>
      </c>
      <c r="C693" s="2" t="s">
        <v>883</v>
      </c>
      <c r="D693">
        <v>1</v>
      </c>
      <c r="E693">
        <v>76891213206</v>
      </c>
      <c r="F693">
        <f t="shared" ca="1" si="20"/>
        <v>74</v>
      </c>
      <c r="G693">
        <f ca="1">VLOOKUP(E693,PurchItem!$A$2:$H$508,8,0)</f>
        <v>9040.8644747112157</v>
      </c>
      <c r="H693">
        <v>0.05</v>
      </c>
      <c r="I693" t="s">
        <v>244</v>
      </c>
      <c r="J693" s="5">
        <v>45321.594524409724</v>
      </c>
      <c r="K693" s="5">
        <v>45325.189048819448</v>
      </c>
      <c r="M693">
        <f t="shared" si="21"/>
        <v>10029727476</v>
      </c>
      <c r="N693">
        <f ca="1">IF(M693&lt;&gt;M692,INDEX(CustInfo!$A$2:$A$1001,RANDBETWEEN(1,1000)),N692)</f>
        <v>11921</v>
      </c>
      <c r="O693" t="s">
        <v>1003</v>
      </c>
      <c r="P693">
        <v>52936827</v>
      </c>
    </row>
    <row r="694" spans="1:16" x14ac:dyDescent="0.35">
      <c r="A694">
        <v>93827212246</v>
      </c>
      <c r="C694" s="2" t="s">
        <v>883</v>
      </c>
      <c r="D694">
        <v>2</v>
      </c>
      <c r="E694">
        <v>76891213262</v>
      </c>
      <c r="F694">
        <f t="shared" ca="1" si="20"/>
        <v>24</v>
      </c>
      <c r="G694">
        <f ca="1">VLOOKUP(E694,PurchItem!$A$2:$H$508,8,0)</f>
        <v>3130.141280264294</v>
      </c>
      <c r="H694">
        <v>0.06</v>
      </c>
      <c r="I694" t="s">
        <v>244</v>
      </c>
      <c r="J694" s="5">
        <v>45058.594524409724</v>
      </c>
      <c r="K694" s="5">
        <v>45062.189048819448</v>
      </c>
      <c r="M694">
        <f t="shared" si="21"/>
        <v>10029727476</v>
      </c>
      <c r="N694">
        <f ca="1">IF(M694&lt;&gt;M693,INDEX(CustInfo!$A$2:$A$1001,RANDBETWEEN(1,1000)),N693)</f>
        <v>11921</v>
      </c>
      <c r="O694" t="s">
        <v>1003</v>
      </c>
      <c r="P694">
        <v>52936828</v>
      </c>
    </row>
    <row r="695" spans="1:16" x14ac:dyDescent="0.35">
      <c r="A695">
        <v>93827212246</v>
      </c>
      <c r="C695" s="2" t="s">
        <v>883</v>
      </c>
      <c r="D695">
        <v>3</v>
      </c>
      <c r="E695">
        <v>76891213335</v>
      </c>
      <c r="F695">
        <f t="shared" ca="1" si="20"/>
        <v>11</v>
      </c>
      <c r="G695">
        <f ca="1">VLOOKUP(E695,PurchItem!$A$2:$H$508,8,0)</f>
        <v>7424.307874485602</v>
      </c>
      <c r="H695">
        <v>0.06</v>
      </c>
      <c r="I695" t="s">
        <v>244</v>
      </c>
      <c r="J695" s="5">
        <v>45542.594524409724</v>
      </c>
      <c r="K695" s="5">
        <v>45543.189048819448</v>
      </c>
      <c r="M695">
        <f t="shared" si="21"/>
        <v>10029727476</v>
      </c>
      <c r="N695">
        <f ca="1">IF(M695&lt;&gt;M694,INDEX(CustInfo!$A$2:$A$1001,RANDBETWEEN(1,1000)),N694)</f>
        <v>11921</v>
      </c>
      <c r="O695" t="s">
        <v>1003</v>
      </c>
      <c r="P695">
        <v>52936829</v>
      </c>
    </row>
    <row r="696" spans="1:16" x14ac:dyDescent="0.35">
      <c r="A696">
        <v>93827212246</v>
      </c>
      <c r="C696" s="2" t="s">
        <v>883</v>
      </c>
      <c r="D696">
        <v>4</v>
      </c>
      <c r="E696">
        <v>76891213404</v>
      </c>
      <c r="F696">
        <f t="shared" ca="1" si="20"/>
        <v>69</v>
      </c>
      <c r="G696">
        <f ca="1">VLOOKUP(E696,PurchItem!$A$2:$H$508,8,0)</f>
        <v>5161.7096589652265</v>
      </c>
      <c r="H696">
        <v>0.04</v>
      </c>
      <c r="I696" t="s">
        <v>244</v>
      </c>
      <c r="J696" s="5">
        <v>45195.594524409724</v>
      </c>
      <c r="K696" s="5">
        <v>45199.189048819448</v>
      </c>
      <c r="M696">
        <f t="shared" si="21"/>
        <v>10029727476</v>
      </c>
      <c r="N696">
        <f ca="1">IF(M696&lt;&gt;M695,INDEX(CustInfo!$A$2:$A$1001,RANDBETWEEN(1,1000)),N695)</f>
        <v>11921</v>
      </c>
      <c r="O696" t="s">
        <v>1003</v>
      </c>
      <c r="P696">
        <v>52936830</v>
      </c>
    </row>
    <row r="697" spans="1:16" x14ac:dyDescent="0.35">
      <c r="A697">
        <v>93827212247</v>
      </c>
      <c r="C697" s="2" t="s">
        <v>883</v>
      </c>
      <c r="D697">
        <v>1</v>
      </c>
      <c r="E697">
        <v>76891213257</v>
      </c>
      <c r="F697">
        <f t="shared" ca="1" si="20"/>
        <v>58</v>
      </c>
      <c r="G697">
        <f ca="1">VLOOKUP(E697,PurchItem!$A$2:$H$508,8,0)</f>
        <v>4673.0581351845212</v>
      </c>
      <c r="H697">
        <v>0.06</v>
      </c>
      <c r="I697" t="s">
        <v>244</v>
      </c>
      <c r="J697" s="5">
        <v>45236.594524409724</v>
      </c>
      <c r="K697" s="5">
        <v>45238.189048819448</v>
      </c>
      <c r="M697">
        <f t="shared" si="21"/>
        <v>10029727477</v>
      </c>
      <c r="N697">
        <f ca="1">IF(M697&lt;&gt;M696,INDEX(CustInfo!$A$2:$A$1001,RANDBETWEEN(1,1000)),N696)</f>
        <v>11185</v>
      </c>
      <c r="O697" t="s">
        <v>1003</v>
      </c>
      <c r="P697">
        <v>52936831</v>
      </c>
    </row>
    <row r="698" spans="1:16" x14ac:dyDescent="0.35">
      <c r="A698">
        <v>93827212247</v>
      </c>
      <c r="C698" s="2" t="s">
        <v>883</v>
      </c>
      <c r="D698">
        <v>2</v>
      </c>
      <c r="E698">
        <v>76891213420</v>
      </c>
      <c r="F698">
        <f t="shared" ca="1" si="20"/>
        <v>71</v>
      </c>
      <c r="G698">
        <f ca="1">VLOOKUP(E698,PurchItem!$A$2:$H$508,8,0)</f>
        <v>705.92088426041653</v>
      </c>
      <c r="H698">
        <v>0.04</v>
      </c>
      <c r="I698" t="s">
        <v>244</v>
      </c>
      <c r="J698" s="5">
        <v>44724.594524409724</v>
      </c>
      <c r="K698" s="5">
        <v>44727.189048819448</v>
      </c>
      <c r="M698">
        <f t="shared" si="21"/>
        <v>10029727477</v>
      </c>
      <c r="N698">
        <f ca="1">IF(M698&lt;&gt;M697,INDEX(CustInfo!$A$2:$A$1001,RANDBETWEEN(1,1000)),N697)</f>
        <v>11185</v>
      </c>
      <c r="O698" t="s">
        <v>1003</v>
      </c>
      <c r="P698">
        <v>52936832</v>
      </c>
    </row>
    <row r="699" spans="1:16" x14ac:dyDescent="0.35">
      <c r="A699">
        <v>93827212247</v>
      </c>
      <c r="C699" s="2" t="s">
        <v>883</v>
      </c>
      <c r="D699">
        <v>3</v>
      </c>
      <c r="E699">
        <v>76891213441</v>
      </c>
      <c r="F699">
        <f t="shared" ca="1" si="20"/>
        <v>12</v>
      </c>
      <c r="G699">
        <f ca="1">VLOOKUP(E699,PurchItem!$A$2:$H$508,8,0)</f>
        <v>244.74714031396113</v>
      </c>
      <c r="H699">
        <v>0.04</v>
      </c>
      <c r="I699" t="s">
        <v>244</v>
      </c>
      <c r="J699" s="5">
        <v>45100.594524409724</v>
      </c>
      <c r="K699" s="5">
        <v>45102.189048819448</v>
      </c>
      <c r="M699">
        <f t="shared" si="21"/>
        <v>10029727477</v>
      </c>
      <c r="N699">
        <f ca="1">IF(M699&lt;&gt;M698,INDEX(CustInfo!$A$2:$A$1001,RANDBETWEEN(1,1000)),N698)</f>
        <v>11185</v>
      </c>
      <c r="O699" t="s">
        <v>1003</v>
      </c>
      <c r="P699">
        <v>52936833</v>
      </c>
    </row>
    <row r="700" spans="1:16" x14ac:dyDescent="0.35">
      <c r="A700">
        <v>93827212248</v>
      </c>
      <c r="C700" s="2" t="s">
        <v>883</v>
      </c>
      <c r="D700">
        <v>1</v>
      </c>
      <c r="E700">
        <v>76891213564</v>
      </c>
      <c r="F700">
        <f t="shared" ca="1" si="20"/>
        <v>53</v>
      </c>
      <c r="G700">
        <f ca="1">VLOOKUP(E700,PurchItem!$A$2:$H$508,8,0)</f>
        <v>2954.3426312069478</v>
      </c>
      <c r="H700">
        <v>0.04</v>
      </c>
      <c r="I700" t="s">
        <v>244</v>
      </c>
      <c r="J700" s="5">
        <v>45167.594524409724</v>
      </c>
      <c r="K700" s="5">
        <v>45168.189048819448</v>
      </c>
      <c r="M700">
        <f t="shared" si="21"/>
        <v>10029727478</v>
      </c>
      <c r="N700">
        <f ca="1">IF(M700&lt;&gt;M699,INDEX(CustInfo!$A$2:$A$1001,RANDBETWEEN(1,1000)),N699)</f>
        <v>11280</v>
      </c>
      <c r="O700" t="s">
        <v>1003</v>
      </c>
      <c r="P700">
        <v>52936834</v>
      </c>
    </row>
    <row r="701" spans="1:16" x14ac:dyDescent="0.35">
      <c r="A701">
        <v>93827212248</v>
      </c>
      <c r="C701" s="2" t="s">
        <v>883</v>
      </c>
      <c r="D701">
        <v>2</v>
      </c>
      <c r="E701">
        <v>76891213587</v>
      </c>
      <c r="F701">
        <f t="shared" ca="1" si="20"/>
        <v>1</v>
      </c>
      <c r="G701">
        <f ca="1">VLOOKUP(E701,PurchItem!$A$2:$H$508,8,0)</f>
        <v>402.21981378530177</v>
      </c>
      <c r="H701">
        <v>0.05</v>
      </c>
      <c r="I701" t="s">
        <v>244</v>
      </c>
      <c r="J701" s="5">
        <v>44650.594524409724</v>
      </c>
      <c r="K701" s="5">
        <v>44654.189048819448</v>
      </c>
      <c r="M701">
        <f t="shared" si="21"/>
        <v>10029727478</v>
      </c>
      <c r="N701">
        <f ca="1">IF(M701&lt;&gt;M700,INDEX(CustInfo!$A$2:$A$1001,RANDBETWEEN(1,1000)),N700)</f>
        <v>11280</v>
      </c>
      <c r="O701" t="s">
        <v>1003</v>
      </c>
      <c r="P701">
        <v>52936835</v>
      </c>
    </row>
    <row r="702" spans="1:16" x14ac:dyDescent="0.35">
      <c r="A702">
        <v>93827212248</v>
      </c>
      <c r="C702" s="2" t="s">
        <v>883</v>
      </c>
      <c r="D702">
        <v>3</v>
      </c>
      <c r="E702">
        <v>76891213213</v>
      </c>
      <c r="F702">
        <f t="shared" ca="1" si="20"/>
        <v>30</v>
      </c>
      <c r="G702">
        <f ca="1">VLOOKUP(E702,PurchItem!$A$2:$H$508,8,0)</f>
        <v>1235.2952885490945</v>
      </c>
      <c r="H702">
        <v>0.04</v>
      </c>
      <c r="I702" t="s">
        <v>244</v>
      </c>
      <c r="J702" s="5">
        <v>44846.594524409724</v>
      </c>
      <c r="K702" s="5">
        <v>44848.189048819448</v>
      </c>
      <c r="M702">
        <f t="shared" si="21"/>
        <v>10029727478</v>
      </c>
      <c r="N702">
        <f ca="1">IF(M702&lt;&gt;M701,INDEX(CustInfo!$A$2:$A$1001,RANDBETWEEN(1,1000)),N701)</f>
        <v>11280</v>
      </c>
      <c r="O702" t="s">
        <v>1003</v>
      </c>
      <c r="P702">
        <v>52936836</v>
      </c>
    </row>
    <row r="703" spans="1:16" x14ac:dyDescent="0.35">
      <c r="A703">
        <v>93827212249</v>
      </c>
      <c r="C703" s="2" t="s">
        <v>883</v>
      </c>
      <c r="D703">
        <v>1</v>
      </c>
      <c r="E703">
        <v>76891213357</v>
      </c>
      <c r="F703">
        <f t="shared" ca="1" si="20"/>
        <v>82</v>
      </c>
      <c r="G703">
        <f ca="1">VLOOKUP(E703,PurchItem!$A$2:$H$508,8,0)</f>
        <v>1960.0877314762088</v>
      </c>
      <c r="H703">
        <v>0.05</v>
      </c>
      <c r="I703" t="s">
        <v>244</v>
      </c>
      <c r="J703" s="5">
        <v>45408.594524409724</v>
      </c>
      <c r="K703" s="5">
        <v>45412.189048819448</v>
      </c>
      <c r="M703">
        <f t="shared" si="21"/>
        <v>10029727479</v>
      </c>
      <c r="N703">
        <f ca="1">IF(M703&lt;&gt;M702,INDEX(CustInfo!$A$2:$A$1001,RANDBETWEEN(1,1000)),N702)</f>
        <v>11404</v>
      </c>
      <c r="O703" t="s">
        <v>1001</v>
      </c>
      <c r="P703">
        <v>52936837</v>
      </c>
    </row>
    <row r="704" spans="1:16" x14ac:dyDescent="0.35">
      <c r="A704">
        <v>93827212249</v>
      </c>
      <c r="C704" s="2" t="s">
        <v>883</v>
      </c>
      <c r="D704">
        <v>2</v>
      </c>
      <c r="E704">
        <v>76891213613</v>
      </c>
      <c r="F704">
        <f t="shared" ca="1" si="20"/>
        <v>27</v>
      </c>
      <c r="G704">
        <f ca="1">VLOOKUP(E704,PurchItem!$A$2:$H$508,8,0)</f>
        <v>6056.8631163138916</v>
      </c>
      <c r="H704">
        <v>0.05</v>
      </c>
      <c r="I704" t="s">
        <v>244</v>
      </c>
      <c r="J704" s="5">
        <v>45171.594524409724</v>
      </c>
      <c r="K704" s="5">
        <v>45172.189048819448</v>
      </c>
      <c r="M704">
        <f t="shared" si="21"/>
        <v>10029727479</v>
      </c>
      <c r="N704">
        <f ca="1">IF(M704&lt;&gt;M703,INDEX(CustInfo!$A$2:$A$1001,RANDBETWEEN(1,1000)),N703)</f>
        <v>11404</v>
      </c>
      <c r="O704" t="s">
        <v>1001</v>
      </c>
      <c r="P704">
        <v>52936838</v>
      </c>
    </row>
    <row r="705" spans="1:16" x14ac:dyDescent="0.35">
      <c r="A705">
        <v>93827212249</v>
      </c>
      <c r="C705" s="2" t="s">
        <v>883</v>
      </c>
      <c r="D705">
        <v>3</v>
      </c>
      <c r="E705">
        <v>76891213347</v>
      </c>
      <c r="F705">
        <f t="shared" ca="1" si="20"/>
        <v>97</v>
      </c>
      <c r="G705">
        <f ca="1">VLOOKUP(E705,PurchItem!$A$2:$H$508,8,0)</f>
        <v>9140.0810974149535</v>
      </c>
      <c r="H705">
        <v>0.05</v>
      </c>
      <c r="I705" t="s">
        <v>244</v>
      </c>
      <c r="J705" s="5">
        <v>45288.594524409724</v>
      </c>
      <c r="K705" s="5">
        <v>45292.189048819448</v>
      </c>
      <c r="M705">
        <f t="shared" si="21"/>
        <v>10029727479</v>
      </c>
      <c r="N705">
        <f ca="1">IF(M705&lt;&gt;M704,INDEX(CustInfo!$A$2:$A$1001,RANDBETWEEN(1,1000)),N704)</f>
        <v>11404</v>
      </c>
      <c r="O705" t="s">
        <v>1001</v>
      </c>
      <c r="P705">
        <v>52936839</v>
      </c>
    </row>
    <row r="706" spans="1:16" x14ac:dyDescent="0.35">
      <c r="A706">
        <v>93827212249</v>
      </c>
      <c r="C706" s="2" t="s">
        <v>883</v>
      </c>
      <c r="D706">
        <v>4</v>
      </c>
      <c r="E706">
        <v>76891213470</v>
      </c>
      <c r="F706">
        <f t="shared" ca="1" si="20"/>
        <v>32</v>
      </c>
      <c r="G706">
        <f ca="1">VLOOKUP(E706,PurchItem!$A$2:$H$508,8,0)</f>
        <v>2084.2612195739525</v>
      </c>
      <c r="H706">
        <v>0.05</v>
      </c>
      <c r="I706" t="s">
        <v>244</v>
      </c>
      <c r="J706" s="5">
        <v>45431.594524409724</v>
      </c>
      <c r="K706" s="5">
        <v>45434.189048819448</v>
      </c>
      <c r="M706">
        <f t="shared" si="21"/>
        <v>10029727479</v>
      </c>
      <c r="N706">
        <f ca="1">IF(M706&lt;&gt;M705,INDEX(CustInfo!$A$2:$A$1001,RANDBETWEEN(1,1000)),N705)</f>
        <v>11404</v>
      </c>
      <c r="O706" t="s">
        <v>1001</v>
      </c>
      <c r="P706">
        <v>52936840</v>
      </c>
    </row>
    <row r="707" spans="1:16" x14ac:dyDescent="0.35">
      <c r="A707">
        <v>93827212250</v>
      </c>
      <c r="C707" s="2" t="s">
        <v>883</v>
      </c>
      <c r="D707">
        <v>1</v>
      </c>
      <c r="E707">
        <v>76891213597</v>
      </c>
      <c r="F707">
        <f t="shared" ref="F707:F770" ca="1" si="22">RANDBETWEEN(1,100)</f>
        <v>27</v>
      </c>
      <c r="G707">
        <f ca="1">VLOOKUP(E707,PurchItem!$A$2:$H$508,8,0)</f>
        <v>6407.6591066993278</v>
      </c>
      <c r="H707">
        <v>0.04</v>
      </c>
      <c r="I707" t="s">
        <v>244</v>
      </c>
      <c r="J707" s="5">
        <v>45409.594524409724</v>
      </c>
      <c r="K707" s="5">
        <v>45412.189048819448</v>
      </c>
      <c r="M707">
        <f t="shared" si="21"/>
        <v>10029727480</v>
      </c>
      <c r="N707">
        <f ca="1">IF(M707&lt;&gt;M706,INDEX(CustInfo!$A$2:$A$1001,RANDBETWEEN(1,1000)),N706)</f>
        <v>11565</v>
      </c>
      <c r="O707" t="s">
        <v>1003</v>
      </c>
      <c r="P707">
        <v>52936841</v>
      </c>
    </row>
    <row r="708" spans="1:16" x14ac:dyDescent="0.35">
      <c r="A708">
        <v>93827212250</v>
      </c>
      <c r="C708" s="2" t="s">
        <v>883</v>
      </c>
      <c r="D708">
        <v>2</v>
      </c>
      <c r="E708">
        <v>76891213253</v>
      </c>
      <c r="F708">
        <f t="shared" ca="1" si="22"/>
        <v>61</v>
      </c>
      <c r="G708">
        <f ca="1">VLOOKUP(E708,PurchItem!$A$2:$H$508,8,0)</f>
        <v>2205.8632252448356</v>
      </c>
      <c r="H708">
        <v>0.05</v>
      </c>
      <c r="I708" t="s">
        <v>244</v>
      </c>
      <c r="J708" s="5">
        <f ca="1">RANDBETWEEN(DATE(2022,1,1),TODAY()-30)+$U$2</f>
        <v>44767</v>
      </c>
      <c r="K708" s="5">
        <f ca="1">J708+RANDBETWEEN(0,3)+$U$2</f>
        <v>44770</v>
      </c>
      <c r="M708">
        <f t="shared" si="21"/>
        <v>10029727480</v>
      </c>
      <c r="N708">
        <f ca="1">IF(M708&lt;&gt;M707,INDEX(CustInfo!$A$2:$A$1001,RANDBETWEEN(1,1000)),N707)</f>
        <v>11565</v>
      </c>
      <c r="O708" t="s">
        <v>1003</v>
      </c>
      <c r="P708">
        <v>52936842</v>
      </c>
    </row>
    <row r="709" spans="1:16" x14ac:dyDescent="0.35">
      <c r="A709">
        <v>93827212251</v>
      </c>
      <c r="C709" s="2" t="s">
        <v>883</v>
      </c>
      <c r="D709">
        <v>1</v>
      </c>
      <c r="E709">
        <v>76891213182</v>
      </c>
      <c r="F709">
        <f t="shared" ca="1" si="22"/>
        <v>27</v>
      </c>
      <c r="G709">
        <f ca="1">VLOOKUP(E709,PurchItem!$A$2:$H$508,8,0)</f>
        <v>6993.4676440309404</v>
      </c>
      <c r="H709">
        <v>0.04</v>
      </c>
      <c r="I709" t="s">
        <v>244</v>
      </c>
      <c r="J709" s="5">
        <v>44774.594524409724</v>
      </c>
      <c r="K709" s="5">
        <v>44776.189048819448</v>
      </c>
      <c r="M709">
        <f t="shared" ref="M709:M772" si="23">IF(A709&lt;&gt;A708,M708+1,M708)</f>
        <v>10029727481</v>
      </c>
      <c r="N709">
        <f ca="1">IF(M709&lt;&gt;M708,INDEX(CustInfo!$A$2:$A$1001,RANDBETWEEN(1,1000)),N708)</f>
        <v>11043</v>
      </c>
      <c r="O709" t="s">
        <v>1003</v>
      </c>
      <c r="P709">
        <v>52936843</v>
      </c>
    </row>
    <row r="710" spans="1:16" x14ac:dyDescent="0.35">
      <c r="A710">
        <v>93827212251</v>
      </c>
      <c r="C710" s="2" t="s">
        <v>883</v>
      </c>
      <c r="D710">
        <v>2</v>
      </c>
      <c r="E710">
        <v>76891213278</v>
      </c>
      <c r="F710">
        <f t="shared" ca="1" si="22"/>
        <v>14</v>
      </c>
      <c r="G710">
        <f ca="1">VLOOKUP(E710,PurchItem!$A$2:$H$508,8,0)</f>
        <v>5013.6146298172789</v>
      </c>
      <c r="H710">
        <v>0.04</v>
      </c>
      <c r="I710" t="s">
        <v>244</v>
      </c>
      <c r="J710" s="5">
        <v>45569.594524409724</v>
      </c>
      <c r="K710" s="5">
        <v>45571.189048819448</v>
      </c>
      <c r="M710">
        <f t="shared" si="23"/>
        <v>10029727481</v>
      </c>
      <c r="N710">
        <f ca="1">IF(M710&lt;&gt;M709,INDEX(CustInfo!$A$2:$A$1001,RANDBETWEEN(1,1000)),N709)</f>
        <v>11043</v>
      </c>
      <c r="O710" t="s">
        <v>1003</v>
      </c>
      <c r="P710">
        <v>52936844</v>
      </c>
    </row>
    <row r="711" spans="1:16" x14ac:dyDescent="0.35">
      <c r="A711">
        <v>93827212251</v>
      </c>
      <c r="C711" s="2" t="s">
        <v>883</v>
      </c>
      <c r="D711">
        <v>3</v>
      </c>
      <c r="E711">
        <v>76891213491</v>
      </c>
      <c r="F711">
        <f t="shared" ca="1" si="22"/>
        <v>45</v>
      </c>
      <c r="G711">
        <f ca="1">VLOOKUP(E711,PurchItem!$A$2:$H$508,8,0)</f>
        <v>2320.7084044474691</v>
      </c>
      <c r="H711">
        <v>0.04</v>
      </c>
      <c r="I711" t="s">
        <v>244</v>
      </c>
      <c r="J711" s="5">
        <v>44605.594524409724</v>
      </c>
      <c r="K711" s="5">
        <v>44609.189048819448</v>
      </c>
      <c r="M711">
        <f t="shared" si="23"/>
        <v>10029727481</v>
      </c>
      <c r="N711">
        <f ca="1">IF(M711&lt;&gt;M710,INDEX(CustInfo!$A$2:$A$1001,RANDBETWEEN(1,1000)),N710)</f>
        <v>11043</v>
      </c>
      <c r="O711" t="s">
        <v>1003</v>
      </c>
      <c r="P711">
        <v>52936845</v>
      </c>
    </row>
    <row r="712" spans="1:16" x14ac:dyDescent="0.35">
      <c r="A712">
        <v>93827212251</v>
      </c>
      <c r="C712" s="2" t="s">
        <v>883</v>
      </c>
      <c r="D712">
        <v>4</v>
      </c>
      <c r="E712">
        <v>76891213165</v>
      </c>
      <c r="F712">
        <f t="shared" ca="1" si="22"/>
        <v>50</v>
      </c>
      <c r="G712">
        <f ca="1">VLOOKUP(E712,PurchItem!$A$2:$H$508,8,0)</f>
        <v>782.28839874338189</v>
      </c>
      <c r="H712">
        <v>0.06</v>
      </c>
      <c r="I712" t="s">
        <v>244</v>
      </c>
      <c r="J712" s="5">
        <v>45491.594524409724</v>
      </c>
      <c r="K712" s="5">
        <v>45493.189048819448</v>
      </c>
      <c r="M712">
        <f t="shared" si="23"/>
        <v>10029727481</v>
      </c>
      <c r="N712">
        <f ca="1">IF(M712&lt;&gt;M711,INDEX(CustInfo!$A$2:$A$1001,RANDBETWEEN(1,1000)),N711)</f>
        <v>11043</v>
      </c>
      <c r="O712" t="s">
        <v>1003</v>
      </c>
      <c r="P712">
        <v>52936846</v>
      </c>
    </row>
    <row r="713" spans="1:16" x14ac:dyDescent="0.35">
      <c r="A713">
        <v>93827212252</v>
      </c>
      <c r="C713" s="2" t="s">
        <v>883</v>
      </c>
      <c r="D713">
        <v>1</v>
      </c>
      <c r="E713">
        <v>76891213626</v>
      </c>
      <c r="F713">
        <f t="shared" ca="1" si="22"/>
        <v>93</v>
      </c>
      <c r="G713">
        <f ca="1">VLOOKUP(E713,PurchItem!$A$2:$H$508,8,0)</f>
        <v>5785.3222518353095</v>
      </c>
      <c r="H713">
        <v>0.06</v>
      </c>
      <c r="I713" t="s">
        <v>244</v>
      </c>
      <c r="J713" s="5">
        <v>45521.594524409724</v>
      </c>
      <c r="K713" s="5">
        <v>45523.189048819448</v>
      </c>
      <c r="M713">
        <f t="shared" si="23"/>
        <v>10029727482</v>
      </c>
      <c r="N713">
        <f ca="1">IF(M713&lt;&gt;M712,INDEX(CustInfo!$A$2:$A$1001,RANDBETWEEN(1,1000)),N712)</f>
        <v>11852</v>
      </c>
      <c r="O713" t="s">
        <v>1002</v>
      </c>
      <c r="P713">
        <v>52936847</v>
      </c>
    </row>
    <row r="714" spans="1:16" x14ac:dyDescent="0.35">
      <c r="A714">
        <v>93827212252</v>
      </c>
      <c r="C714" s="2" t="s">
        <v>883</v>
      </c>
      <c r="D714">
        <v>2</v>
      </c>
      <c r="E714">
        <v>76891213169</v>
      </c>
      <c r="F714">
        <f t="shared" ca="1" si="22"/>
        <v>35</v>
      </c>
      <c r="G714">
        <f ca="1">VLOOKUP(E714,PurchItem!$A$2:$H$508,8,0)</f>
        <v>1750.9223085517885</v>
      </c>
      <c r="H714">
        <v>0.04</v>
      </c>
      <c r="I714" t="s">
        <v>244</v>
      </c>
      <c r="J714" s="5">
        <v>45590.594524409724</v>
      </c>
      <c r="K714" s="5">
        <v>45593.189048819448</v>
      </c>
      <c r="M714">
        <f t="shared" si="23"/>
        <v>10029727482</v>
      </c>
      <c r="N714">
        <f ca="1">IF(M714&lt;&gt;M713,INDEX(CustInfo!$A$2:$A$1001,RANDBETWEEN(1,1000)),N713)</f>
        <v>11852</v>
      </c>
      <c r="O714" t="s">
        <v>1002</v>
      </c>
      <c r="P714">
        <v>52936848</v>
      </c>
    </row>
    <row r="715" spans="1:16" x14ac:dyDescent="0.35">
      <c r="A715">
        <v>93827212252</v>
      </c>
      <c r="C715" s="2" t="s">
        <v>883</v>
      </c>
      <c r="D715">
        <v>3</v>
      </c>
      <c r="E715">
        <v>76891213376</v>
      </c>
      <c r="F715">
        <f t="shared" ca="1" si="22"/>
        <v>88</v>
      </c>
      <c r="G715">
        <f ca="1">VLOOKUP(E715,PurchItem!$A$2:$H$508,8,0)</f>
        <v>7089.7517680320707</v>
      </c>
      <c r="H715">
        <v>0.05</v>
      </c>
      <c r="I715" t="s">
        <v>244</v>
      </c>
      <c r="J715" s="5">
        <v>45408.594524409724</v>
      </c>
      <c r="K715" s="5">
        <v>45411.189048819448</v>
      </c>
      <c r="M715">
        <f t="shared" si="23"/>
        <v>10029727482</v>
      </c>
      <c r="N715">
        <f ca="1">IF(M715&lt;&gt;M714,INDEX(CustInfo!$A$2:$A$1001,RANDBETWEEN(1,1000)),N714)</f>
        <v>11852</v>
      </c>
      <c r="O715" t="s">
        <v>1002</v>
      </c>
      <c r="P715">
        <v>52936849</v>
      </c>
    </row>
    <row r="716" spans="1:16" x14ac:dyDescent="0.35">
      <c r="A716">
        <v>93827212253</v>
      </c>
      <c r="C716" s="2" t="s">
        <v>883</v>
      </c>
      <c r="D716">
        <v>1</v>
      </c>
      <c r="E716">
        <v>76891213445</v>
      </c>
      <c r="F716">
        <f t="shared" ca="1" si="22"/>
        <v>42</v>
      </c>
      <c r="G716">
        <f ca="1">VLOOKUP(E716,PurchItem!$A$2:$H$508,8,0)</f>
        <v>4377.3477781707288</v>
      </c>
      <c r="H716">
        <v>0.04</v>
      </c>
      <c r="I716" t="s">
        <v>244</v>
      </c>
      <c r="J716" s="5">
        <v>45202.594524409724</v>
      </c>
      <c r="K716" s="5">
        <v>45205.189048819448</v>
      </c>
      <c r="M716">
        <f t="shared" si="23"/>
        <v>10029727483</v>
      </c>
      <c r="N716">
        <f ca="1">IF(M716&lt;&gt;M715,INDEX(CustInfo!$A$2:$A$1001,RANDBETWEEN(1,1000)),N715)</f>
        <v>11704</v>
      </c>
      <c r="O716" t="s">
        <v>1003</v>
      </c>
      <c r="P716">
        <v>52936850</v>
      </c>
    </row>
    <row r="717" spans="1:16" x14ac:dyDescent="0.35">
      <c r="A717">
        <v>93827212253</v>
      </c>
      <c r="C717" s="2" t="s">
        <v>883</v>
      </c>
      <c r="D717">
        <v>2</v>
      </c>
      <c r="E717">
        <v>76891213484</v>
      </c>
      <c r="F717">
        <f t="shared" ca="1" si="22"/>
        <v>94</v>
      </c>
      <c r="G717">
        <f ca="1">VLOOKUP(E717,PurchItem!$A$2:$H$508,8,0)</f>
        <v>6278.4735130598492</v>
      </c>
      <c r="H717">
        <v>0.06</v>
      </c>
      <c r="I717" t="s">
        <v>244</v>
      </c>
      <c r="J717" s="5">
        <v>45002.594524409724</v>
      </c>
      <c r="K717" s="5">
        <v>45004.189048819448</v>
      </c>
      <c r="M717">
        <f t="shared" si="23"/>
        <v>10029727483</v>
      </c>
      <c r="N717">
        <f ca="1">IF(M717&lt;&gt;M716,INDEX(CustInfo!$A$2:$A$1001,RANDBETWEEN(1,1000)),N716)</f>
        <v>11704</v>
      </c>
      <c r="O717" t="s">
        <v>1003</v>
      </c>
      <c r="P717">
        <v>52936851</v>
      </c>
    </row>
    <row r="718" spans="1:16" x14ac:dyDescent="0.35">
      <c r="A718">
        <v>93827212254</v>
      </c>
      <c r="C718" s="2" t="s">
        <v>883</v>
      </c>
      <c r="D718">
        <v>1</v>
      </c>
      <c r="E718">
        <v>76891213274</v>
      </c>
      <c r="F718">
        <f t="shared" ca="1" si="22"/>
        <v>69</v>
      </c>
      <c r="G718">
        <f ca="1">VLOOKUP(E718,PurchItem!$A$2:$H$508,8,0)</f>
        <v>6244.602607519897</v>
      </c>
      <c r="H718">
        <v>0.06</v>
      </c>
      <c r="I718" t="s">
        <v>244</v>
      </c>
      <c r="J718" s="5">
        <v>45250.594524409724</v>
      </c>
      <c r="K718" s="5">
        <v>45251.189048819448</v>
      </c>
      <c r="M718">
        <f t="shared" si="23"/>
        <v>10029727484</v>
      </c>
      <c r="N718">
        <f ca="1">IF(M718&lt;&gt;M717,INDEX(CustInfo!$A$2:$A$1001,RANDBETWEEN(1,1000)),N717)</f>
        <v>11272</v>
      </c>
      <c r="O718" t="s">
        <v>1003</v>
      </c>
      <c r="P718">
        <v>52936852</v>
      </c>
    </row>
    <row r="719" spans="1:16" x14ac:dyDescent="0.35">
      <c r="A719">
        <v>93827212255</v>
      </c>
      <c r="C719" s="2" t="s">
        <v>883</v>
      </c>
      <c r="D719">
        <v>1</v>
      </c>
      <c r="E719">
        <v>76891213260</v>
      </c>
      <c r="F719">
        <f t="shared" ca="1" si="22"/>
        <v>59</v>
      </c>
      <c r="G719">
        <f ca="1">VLOOKUP(E719,PurchItem!$A$2:$H$508,8,0)</f>
        <v>6861.119743288933</v>
      </c>
      <c r="H719">
        <v>0.05</v>
      </c>
      <c r="I719" t="s">
        <v>244</v>
      </c>
      <c r="J719" s="5">
        <v>45401.594524409724</v>
      </c>
      <c r="K719" s="5">
        <v>45403.189048819448</v>
      </c>
      <c r="M719">
        <f t="shared" si="23"/>
        <v>10029727485</v>
      </c>
      <c r="N719">
        <f ca="1">IF(M719&lt;&gt;M718,INDEX(CustInfo!$A$2:$A$1001,RANDBETWEEN(1,1000)),N718)</f>
        <v>11636</v>
      </c>
      <c r="O719" t="s">
        <v>1003</v>
      </c>
      <c r="P719">
        <v>52936853</v>
      </c>
    </row>
    <row r="720" spans="1:16" x14ac:dyDescent="0.35">
      <c r="A720">
        <v>93827212255</v>
      </c>
      <c r="C720" s="2" t="s">
        <v>883</v>
      </c>
      <c r="D720">
        <v>2</v>
      </c>
      <c r="E720">
        <v>76891213627</v>
      </c>
      <c r="F720">
        <f t="shared" ca="1" si="22"/>
        <v>9</v>
      </c>
      <c r="G720">
        <f ca="1">VLOOKUP(E720,PurchItem!$A$2:$H$508,8,0)</f>
        <v>7533.0368434425118</v>
      </c>
      <c r="H720">
        <v>0.06</v>
      </c>
      <c r="I720" t="s">
        <v>244</v>
      </c>
      <c r="J720" s="5">
        <v>45421.594524409724</v>
      </c>
      <c r="K720" s="5">
        <v>45422.189048819448</v>
      </c>
      <c r="M720">
        <f t="shared" si="23"/>
        <v>10029727485</v>
      </c>
      <c r="N720">
        <f ca="1">IF(M720&lt;&gt;M719,INDEX(CustInfo!$A$2:$A$1001,RANDBETWEEN(1,1000)),N719)</f>
        <v>11636</v>
      </c>
      <c r="O720" t="s">
        <v>1003</v>
      </c>
      <c r="P720">
        <v>52936854</v>
      </c>
    </row>
    <row r="721" spans="1:16" x14ac:dyDescent="0.35">
      <c r="A721">
        <v>93827212256</v>
      </c>
      <c r="C721" s="2" t="s">
        <v>883</v>
      </c>
      <c r="D721">
        <v>1</v>
      </c>
      <c r="E721">
        <v>76891213201</v>
      </c>
      <c r="F721">
        <f t="shared" ca="1" si="22"/>
        <v>41</v>
      </c>
      <c r="G721">
        <f ca="1">VLOOKUP(E721,PurchItem!$A$2:$H$508,8,0)</f>
        <v>6682.2142517924858</v>
      </c>
      <c r="H721">
        <v>0.06</v>
      </c>
      <c r="I721" t="s">
        <v>244</v>
      </c>
      <c r="J721" s="5">
        <v>44696.594524409724</v>
      </c>
      <c r="K721" s="5">
        <v>44697.189048819448</v>
      </c>
      <c r="M721">
        <f t="shared" si="23"/>
        <v>10029727486</v>
      </c>
      <c r="N721">
        <f ca="1">IF(M721&lt;&gt;M720,INDEX(CustInfo!$A$2:$A$1001,RANDBETWEEN(1,1000)),N720)</f>
        <v>11630</v>
      </c>
      <c r="O721" t="s">
        <v>1001</v>
      </c>
      <c r="P721">
        <v>52936855</v>
      </c>
    </row>
    <row r="722" spans="1:16" x14ac:dyDescent="0.35">
      <c r="A722">
        <v>93827212256</v>
      </c>
      <c r="C722" s="2" t="s">
        <v>883</v>
      </c>
      <c r="D722">
        <v>2</v>
      </c>
      <c r="E722">
        <v>76891213567</v>
      </c>
      <c r="F722">
        <f t="shared" ca="1" si="22"/>
        <v>78</v>
      </c>
      <c r="G722">
        <f ca="1">VLOOKUP(E722,PurchItem!$A$2:$H$508,8,0)</f>
        <v>8161.6186808956736</v>
      </c>
      <c r="H722">
        <v>0.04</v>
      </c>
      <c r="I722" t="s">
        <v>244</v>
      </c>
      <c r="J722" s="5">
        <v>45399.594524409724</v>
      </c>
      <c r="K722" s="5">
        <v>45403.189048819448</v>
      </c>
      <c r="M722">
        <f t="shared" si="23"/>
        <v>10029727486</v>
      </c>
      <c r="N722">
        <f ca="1">IF(M722&lt;&gt;M721,INDEX(CustInfo!$A$2:$A$1001,RANDBETWEEN(1,1000)),N721)</f>
        <v>11630</v>
      </c>
      <c r="O722" t="s">
        <v>1001</v>
      </c>
      <c r="P722">
        <v>52936856</v>
      </c>
    </row>
    <row r="723" spans="1:16" x14ac:dyDescent="0.35">
      <c r="A723">
        <v>93827212257</v>
      </c>
      <c r="C723" s="2" t="s">
        <v>883</v>
      </c>
      <c r="D723">
        <v>1</v>
      </c>
      <c r="E723">
        <v>76891213513</v>
      </c>
      <c r="F723">
        <f t="shared" ca="1" si="22"/>
        <v>10</v>
      </c>
      <c r="G723">
        <f ca="1">VLOOKUP(E723,PurchItem!$A$2:$H$508,8,0)</f>
        <v>8751.058887926647</v>
      </c>
      <c r="H723">
        <v>0.06</v>
      </c>
      <c r="I723" t="s">
        <v>244</v>
      </c>
      <c r="J723" s="5">
        <v>44797.594524409724</v>
      </c>
      <c r="K723" s="5">
        <v>44798.189048819448</v>
      </c>
      <c r="M723">
        <f t="shared" si="23"/>
        <v>10029727487</v>
      </c>
      <c r="N723">
        <f ca="1">IF(M723&lt;&gt;M722,INDEX(CustInfo!$A$2:$A$1001,RANDBETWEEN(1,1000)),N722)</f>
        <v>11307</v>
      </c>
      <c r="O723" t="s">
        <v>1002</v>
      </c>
      <c r="P723">
        <v>52936857</v>
      </c>
    </row>
    <row r="724" spans="1:16" x14ac:dyDescent="0.35">
      <c r="A724">
        <v>93827212258</v>
      </c>
      <c r="C724" s="2" t="s">
        <v>883</v>
      </c>
      <c r="D724">
        <v>1</v>
      </c>
      <c r="E724">
        <v>76891213449</v>
      </c>
      <c r="F724">
        <f t="shared" ca="1" si="22"/>
        <v>80</v>
      </c>
      <c r="G724">
        <f ca="1">VLOOKUP(E724,PurchItem!$A$2:$H$508,8,0)</f>
        <v>8466.7708817939128</v>
      </c>
      <c r="H724">
        <v>0.05</v>
      </c>
      <c r="I724" t="s">
        <v>244</v>
      </c>
      <c r="J724" s="5">
        <v>44996.594524409724</v>
      </c>
      <c r="K724" s="5">
        <v>44997.189048819448</v>
      </c>
      <c r="M724">
        <f t="shared" si="23"/>
        <v>10029727488</v>
      </c>
      <c r="N724">
        <f ca="1">IF(M724&lt;&gt;M723,INDEX(CustInfo!$A$2:$A$1001,RANDBETWEEN(1,1000)),N723)</f>
        <v>11467</v>
      </c>
      <c r="O724" t="s">
        <v>1002</v>
      </c>
      <c r="P724">
        <v>52936858</v>
      </c>
    </row>
    <row r="725" spans="1:16" x14ac:dyDescent="0.35">
      <c r="A725">
        <v>93827212258</v>
      </c>
      <c r="C725" s="2" t="s">
        <v>883</v>
      </c>
      <c r="D725">
        <v>2</v>
      </c>
      <c r="E725">
        <v>76891213540</v>
      </c>
      <c r="F725">
        <f t="shared" ca="1" si="22"/>
        <v>60</v>
      </c>
      <c r="G725">
        <f ca="1">VLOOKUP(E725,PurchItem!$A$2:$H$508,8,0)</f>
        <v>4363.4287015373038</v>
      </c>
      <c r="H725">
        <v>0.06</v>
      </c>
      <c r="I725" t="s">
        <v>244</v>
      </c>
      <c r="J725" s="5">
        <v>45566.594524409724</v>
      </c>
      <c r="K725" s="5">
        <v>45568.189048819448</v>
      </c>
      <c r="M725">
        <f t="shared" si="23"/>
        <v>10029727488</v>
      </c>
      <c r="N725">
        <f ca="1">IF(M725&lt;&gt;M724,INDEX(CustInfo!$A$2:$A$1001,RANDBETWEEN(1,1000)),N724)</f>
        <v>11467</v>
      </c>
      <c r="O725" t="s">
        <v>1002</v>
      </c>
      <c r="P725">
        <v>52936859</v>
      </c>
    </row>
    <row r="726" spans="1:16" x14ac:dyDescent="0.35">
      <c r="A726">
        <v>93827212258</v>
      </c>
      <c r="C726" s="2" t="s">
        <v>883</v>
      </c>
      <c r="D726">
        <v>3</v>
      </c>
      <c r="E726">
        <v>76891213230</v>
      </c>
      <c r="F726">
        <f t="shared" ca="1" si="22"/>
        <v>87</v>
      </c>
      <c r="G726">
        <f ca="1">VLOOKUP(E726,PurchItem!$A$2:$H$508,8,0)</f>
        <v>3755.1895040007321</v>
      </c>
      <c r="H726">
        <v>0.04</v>
      </c>
      <c r="I726" t="s">
        <v>244</v>
      </c>
      <c r="J726" s="5">
        <v>44870.594524409724</v>
      </c>
      <c r="K726" s="5">
        <v>44872.189048819448</v>
      </c>
      <c r="M726">
        <f t="shared" si="23"/>
        <v>10029727488</v>
      </c>
      <c r="N726">
        <f ca="1">IF(M726&lt;&gt;M725,INDEX(CustInfo!$A$2:$A$1001,RANDBETWEEN(1,1000)),N725)</f>
        <v>11467</v>
      </c>
      <c r="O726" t="s">
        <v>1002</v>
      </c>
      <c r="P726">
        <v>52936860</v>
      </c>
    </row>
    <row r="727" spans="1:16" x14ac:dyDescent="0.35">
      <c r="A727">
        <v>93827212258</v>
      </c>
      <c r="C727" s="2" t="s">
        <v>883</v>
      </c>
      <c r="D727">
        <v>4</v>
      </c>
      <c r="E727">
        <v>76891213443</v>
      </c>
      <c r="F727">
        <f t="shared" ca="1" si="22"/>
        <v>8</v>
      </c>
      <c r="G727">
        <f ca="1">VLOOKUP(E727,PurchItem!$A$2:$H$508,8,0)</f>
        <v>1705.6198545169896</v>
      </c>
      <c r="H727">
        <v>0.05</v>
      </c>
      <c r="I727" t="s">
        <v>244</v>
      </c>
      <c r="J727" s="5">
        <v>45483.594524409724</v>
      </c>
      <c r="K727" s="5">
        <v>45486.189048819448</v>
      </c>
      <c r="M727">
        <f t="shared" si="23"/>
        <v>10029727488</v>
      </c>
      <c r="N727">
        <f ca="1">IF(M727&lt;&gt;M726,INDEX(CustInfo!$A$2:$A$1001,RANDBETWEEN(1,1000)),N726)</f>
        <v>11467</v>
      </c>
      <c r="O727" t="s">
        <v>1002</v>
      </c>
      <c r="P727">
        <v>52936861</v>
      </c>
    </row>
    <row r="728" spans="1:16" x14ac:dyDescent="0.35">
      <c r="A728">
        <v>93827212259</v>
      </c>
      <c r="C728" s="2" t="s">
        <v>883</v>
      </c>
      <c r="D728">
        <v>1</v>
      </c>
      <c r="E728">
        <v>76891213389</v>
      </c>
      <c r="F728">
        <f t="shared" ca="1" si="22"/>
        <v>74</v>
      </c>
      <c r="G728">
        <f ca="1">VLOOKUP(E728,PurchItem!$A$2:$H$508,8,0)</f>
        <v>4480.705223680392</v>
      </c>
      <c r="H728">
        <v>0.05</v>
      </c>
      <c r="I728" t="s">
        <v>244</v>
      </c>
      <c r="J728" s="5">
        <v>44572.594524409724</v>
      </c>
      <c r="K728" s="5">
        <v>44573.189048819448</v>
      </c>
      <c r="M728">
        <f t="shared" si="23"/>
        <v>10029727489</v>
      </c>
      <c r="N728">
        <f ca="1">IF(M728&lt;&gt;M727,INDEX(CustInfo!$A$2:$A$1001,RANDBETWEEN(1,1000)),N727)</f>
        <v>11033</v>
      </c>
      <c r="O728" t="s">
        <v>1002</v>
      </c>
      <c r="P728">
        <v>52936862</v>
      </c>
    </row>
    <row r="729" spans="1:16" x14ac:dyDescent="0.35">
      <c r="A729">
        <v>93827212259</v>
      </c>
      <c r="C729" s="2" t="s">
        <v>883</v>
      </c>
      <c r="D729">
        <v>2</v>
      </c>
      <c r="E729">
        <v>76891213518</v>
      </c>
      <c r="F729">
        <f t="shared" ca="1" si="22"/>
        <v>81</v>
      </c>
      <c r="G729">
        <f ca="1">VLOOKUP(E729,PurchItem!$A$2:$H$508,8,0)</f>
        <v>898.7544784261562</v>
      </c>
      <c r="H729">
        <v>0.06</v>
      </c>
      <c r="I729" t="s">
        <v>244</v>
      </c>
      <c r="J729" s="5">
        <v>44801.594524409724</v>
      </c>
      <c r="K729" s="5">
        <v>44805.189048819448</v>
      </c>
      <c r="M729">
        <f t="shared" si="23"/>
        <v>10029727489</v>
      </c>
      <c r="N729">
        <f ca="1">IF(M729&lt;&gt;M728,INDEX(CustInfo!$A$2:$A$1001,RANDBETWEEN(1,1000)),N728)</f>
        <v>11033</v>
      </c>
      <c r="O729" t="s">
        <v>1002</v>
      </c>
      <c r="P729">
        <v>52936863</v>
      </c>
    </row>
    <row r="730" spans="1:16" x14ac:dyDescent="0.35">
      <c r="A730">
        <v>93827212259</v>
      </c>
      <c r="C730" s="2" t="s">
        <v>883</v>
      </c>
      <c r="D730">
        <v>3</v>
      </c>
      <c r="E730">
        <v>76891213386</v>
      </c>
      <c r="F730">
        <f t="shared" ca="1" si="22"/>
        <v>36</v>
      </c>
      <c r="G730">
        <f ca="1">VLOOKUP(E730,PurchItem!$A$2:$H$508,8,0)</f>
        <v>8452.4982732375174</v>
      </c>
      <c r="H730">
        <v>0.06</v>
      </c>
      <c r="I730" t="s">
        <v>244</v>
      </c>
      <c r="J730" s="5">
        <v>44747.594524409724</v>
      </c>
      <c r="K730" s="5">
        <v>44749.189048819448</v>
      </c>
      <c r="M730">
        <f t="shared" si="23"/>
        <v>10029727489</v>
      </c>
      <c r="N730">
        <f ca="1">IF(M730&lt;&gt;M729,INDEX(CustInfo!$A$2:$A$1001,RANDBETWEEN(1,1000)),N729)</f>
        <v>11033</v>
      </c>
      <c r="O730" t="s">
        <v>1002</v>
      </c>
      <c r="P730">
        <v>52936864</v>
      </c>
    </row>
    <row r="731" spans="1:16" x14ac:dyDescent="0.35">
      <c r="A731">
        <v>93827212260</v>
      </c>
      <c r="C731" s="2" t="s">
        <v>883</v>
      </c>
      <c r="D731">
        <v>1</v>
      </c>
      <c r="E731">
        <v>76891213230</v>
      </c>
      <c r="F731">
        <f t="shared" ca="1" si="22"/>
        <v>4</v>
      </c>
      <c r="G731">
        <f ca="1">VLOOKUP(E731,PurchItem!$A$2:$H$508,8,0)</f>
        <v>3755.1895040007321</v>
      </c>
      <c r="H731">
        <v>0.06</v>
      </c>
      <c r="I731" t="s">
        <v>244</v>
      </c>
      <c r="J731" s="5">
        <v>44717.594524409724</v>
      </c>
      <c r="K731" s="5">
        <v>44719.189048819448</v>
      </c>
      <c r="M731">
        <f t="shared" si="23"/>
        <v>10029727490</v>
      </c>
      <c r="N731">
        <f ca="1">IF(M731&lt;&gt;M730,INDEX(CustInfo!$A$2:$A$1001,RANDBETWEEN(1,1000)),N730)</f>
        <v>11986</v>
      </c>
      <c r="O731" t="s">
        <v>1003</v>
      </c>
      <c r="P731">
        <v>52936865</v>
      </c>
    </row>
    <row r="732" spans="1:16" x14ac:dyDescent="0.35">
      <c r="A732">
        <v>93827212260</v>
      </c>
      <c r="C732" s="2" t="s">
        <v>883</v>
      </c>
      <c r="D732">
        <v>2</v>
      </c>
      <c r="E732">
        <v>76891213502</v>
      </c>
      <c r="F732">
        <f t="shared" ca="1" si="22"/>
        <v>68</v>
      </c>
      <c r="G732">
        <f ca="1">VLOOKUP(E732,PurchItem!$A$2:$H$508,8,0)</f>
        <v>7081.1969266698825</v>
      </c>
      <c r="H732">
        <v>0.06</v>
      </c>
      <c r="I732" t="s">
        <v>244</v>
      </c>
      <c r="J732" s="5">
        <v>45397.594524409724</v>
      </c>
      <c r="K732" s="5">
        <v>45399.189048819448</v>
      </c>
      <c r="M732">
        <f t="shared" si="23"/>
        <v>10029727490</v>
      </c>
      <c r="N732">
        <f ca="1">IF(M732&lt;&gt;M731,INDEX(CustInfo!$A$2:$A$1001,RANDBETWEEN(1,1000)),N731)</f>
        <v>11986</v>
      </c>
      <c r="O732" t="s">
        <v>1003</v>
      </c>
      <c r="P732">
        <v>52936866</v>
      </c>
    </row>
    <row r="733" spans="1:16" x14ac:dyDescent="0.35">
      <c r="A733">
        <v>93827212261</v>
      </c>
      <c r="C733" s="2" t="s">
        <v>883</v>
      </c>
      <c r="D733">
        <v>1</v>
      </c>
      <c r="E733">
        <v>76891213343</v>
      </c>
      <c r="F733">
        <f t="shared" ca="1" si="22"/>
        <v>70</v>
      </c>
      <c r="G733">
        <f ca="1">VLOOKUP(E733,PurchItem!$A$2:$H$508,8,0)</f>
        <v>425.5712480842156</v>
      </c>
      <c r="H733">
        <v>0.05</v>
      </c>
      <c r="I733" t="s">
        <v>244</v>
      </c>
      <c r="J733" s="5">
        <v>45307.594524409724</v>
      </c>
      <c r="K733" s="5">
        <v>45311.189048819448</v>
      </c>
      <c r="M733">
        <f t="shared" si="23"/>
        <v>10029727491</v>
      </c>
      <c r="N733">
        <f ca="1">IF(M733&lt;&gt;M732,INDEX(CustInfo!$A$2:$A$1001,RANDBETWEEN(1,1000)),N732)</f>
        <v>11638</v>
      </c>
      <c r="O733" t="s">
        <v>1001</v>
      </c>
      <c r="P733">
        <v>52936867</v>
      </c>
    </row>
    <row r="734" spans="1:16" x14ac:dyDescent="0.35">
      <c r="A734">
        <v>93827212261</v>
      </c>
      <c r="C734" s="2" t="s">
        <v>883</v>
      </c>
      <c r="D734">
        <v>2</v>
      </c>
      <c r="E734">
        <v>76891213462</v>
      </c>
      <c r="F734">
        <f t="shared" ca="1" si="22"/>
        <v>50</v>
      </c>
      <c r="G734">
        <f ca="1">VLOOKUP(E734,PurchItem!$A$2:$H$508,8,0)</f>
        <v>2503.8974047317301</v>
      </c>
      <c r="H734">
        <v>0.06</v>
      </c>
      <c r="I734" t="s">
        <v>244</v>
      </c>
      <c r="J734" s="5">
        <v>45305.594524409724</v>
      </c>
      <c r="K734" s="5">
        <v>45309.189048819448</v>
      </c>
      <c r="M734">
        <f t="shared" si="23"/>
        <v>10029727491</v>
      </c>
      <c r="N734">
        <f ca="1">IF(M734&lt;&gt;M733,INDEX(CustInfo!$A$2:$A$1001,RANDBETWEEN(1,1000)),N733)</f>
        <v>11638</v>
      </c>
      <c r="O734" t="s">
        <v>1001</v>
      </c>
      <c r="P734">
        <v>52936868</v>
      </c>
    </row>
    <row r="735" spans="1:16" x14ac:dyDescent="0.35">
      <c r="A735">
        <v>93827212261</v>
      </c>
      <c r="C735" s="2" t="s">
        <v>883</v>
      </c>
      <c r="D735">
        <v>3</v>
      </c>
      <c r="E735">
        <v>76891213472</v>
      </c>
      <c r="F735">
        <f t="shared" ca="1" si="22"/>
        <v>19</v>
      </c>
      <c r="G735">
        <f ca="1">VLOOKUP(E735,PurchItem!$A$2:$H$508,8,0)</f>
        <v>5247.8340757931537</v>
      </c>
      <c r="H735">
        <v>0.04</v>
      </c>
      <c r="I735" t="s">
        <v>244</v>
      </c>
      <c r="J735" s="5">
        <v>45132.594524409724</v>
      </c>
      <c r="K735" s="5">
        <v>45134.189048819448</v>
      </c>
      <c r="M735">
        <f t="shared" si="23"/>
        <v>10029727491</v>
      </c>
      <c r="N735">
        <f ca="1">IF(M735&lt;&gt;M734,INDEX(CustInfo!$A$2:$A$1001,RANDBETWEEN(1,1000)),N734)</f>
        <v>11638</v>
      </c>
      <c r="O735" t="s">
        <v>1001</v>
      </c>
      <c r="P735">
        <v>52936869</v>
      </c>
    </row>
    <row r="736" spans="1:16" x14ac:dyDescent="0.35">
      <c r="A736">
        <v>93827212261</v>
      </c>
      <c r="C736" s="2" t="s">
        <v>883</v>
      </c>
      <c r="D736">
        <v>4</v>
      </c>
      <c r="E736">
        <v>76891213142</v>
      </c>
      <c r="F736">
        <f t="shared" ca="1" si="22"/>
        <v>62</v>
      </c>
      <c r="G736">
        <f ca="1">VLOOKUP(E736,PurchItem!$A$2:$H$508,8,0)</f>
        <v>5034.8662105835983</v>
      </c>
      <c r="H736">
        <v>0.05</v>
      </c>
      <c r="I736" t="s">
        <v>244</v>
      </c>
      <c r="J736" s="5">
        <v>45428.594524409724</v>
      </c>
      <c r="K736" s="5">
        <v>45431.189048819448</v>
      </c>
      <c r="M736">
        <f t="shared" si="23"/>
        <v>10029727491</v>
      </c>
      <c r="N736">
        <f ca="1">IF(M736&lt;&gt;M735,INDEX(CustInfo!$A$2:$A$1001,RANDBETWEEN(1,1000)),N735)</f>
        <v>11638</v>
      </c>
      <c r="O736" t="s">
        <v>1001</v>
      </c>
      <c r="P736">
        <v>52936870</v>
      </c>
    </row>
    <row r="737" spans="1:16" x14ac:dyDescent="0.35">
      <c r="A737">
        <v>93827212262</v>
      </c>
      <c r="C737" s="2" t="s">
        <v>883</v>
      </c>
      <c r="D737">
        <v>1</v>
      </c>
      <c r="E737">
        <v>76891213424</v>
      </c>
      <c r="F737">
        <f t="shared" ca="1" si="22"/>
        <v>32</v>
      </c>
      <c r="G737">
        <f ca="1">VLOOKUP(E737,PurchItem!$A$2:$H$508,8,0)</f>
        <v>7376.2580680938527</v>
      </c>
      <c r="H737">
        <v>0.04</v>
      </c>
      <c r="I737" t="s">
        <v>244</v>
      </c>
      <c r="J737" s="5">
        <v>44831.594524409724</v>
      </c>
      <c r="K737" s="5">
        <v>44833.189048819448</v>
      </c>
      <c r="M737">
        <f t="shared" si="23"/>
        <v>10029727492</v>
      </c>
      <c r="N737">
        <f ca="1">IF(M737&lt;&gt;M736,INDEX(CustInfo!$A$2:$A$1001,RANDBETWEEN(1,1000)),N736)</f>
        <v>11744</v>
      </c>
      <c r="O737" t="s">
        <v>1002</v>
      </c>
      <c r="P737">
        <v>52936871</v>
      </c>
    </row>
    <row r="738" spans="1:16" x14ac:dyDescent="0.35">
      <c r="A738">
        <v>93827212263</v>
      </c>
      <c r="C738" s="2" t="s">
        <v>883</v>
      </c>
      <c r="D738">
        <v>1</v>
      </c>
      <c r="E738">
        <v>76891213451</v>
      </c>
      <c r="F738">
        <f t="shared" ca="1" si="22"/>
        <v>35</v>
      </c>
      <c r="G738">
        <f ca="1">VLOOKUP(E738,PurchItem!$A$2:$H$508,8,0)</f>
        <v>5920.8667622686389</v>
      </c>
      <c r="H738">
        <v>0.05</v>
      </c>
      <c r="I738" t="s">
        <v>244</v>
      </c>
      <c r="J738" s="5">
        <v>44859.594524409724</v>
      </c>
      <c r="K738" s="5">
        <v>44862.189048819448</v>
      </c>
      <c r="M738">
        <f t="shared" si="23"/>
        <v>10029727493</v>
      </c>
      <c r="N738">
        <f ca="1">IF(M738&lt;&gt;M737,INDEX(CustInfo!$A$2:$A$1001,RANDBETWEEN(1,1000)),N737)</f>
        <v>11044</v>
      </c>
      <c r="O738" t="s">
        <v>1001</v>
      </c>
      <c r="P738">
        <v>52936872</v>
      </c>
    </row>
    <row r="739" spans="1:16" x14ac:dyDescent="0.35">
      <c r="A739">
        <v>93827212263</v>
      </c>
      <c r="C739" s="2" t="s">
        <v>883</v>
      </c>
      <c r="D739">
        <v>2</v>
      </c>
      <c r="E739">
        <v>76891213451</v>
      </c>
      <c r="F739">
        <f t="shared" ca="1" si="22"/>
        <v>72</v>
      </c>
      <c r="G739">
        <f ca="1">VLOOKUP(E739,PurchItem!$A$2:$H$508,8,0)</f>
        <v>5920.8667622686389</v>
      </c>
      <c r="H739">
        <v>0.06</v>
      </c>
      <c r="I739" t="s">
        <v>244</v>
      </c>
      <c r="J739" s="5">
        <v>45579.594524409724</v>
      </c>
      <c r="K739" s="5">
        <v>45581.189048819448</v>
      </c>
      <c r="M739">
        <f t="shared" si="23"/>
        <v>10029727493</v>
      </c>
      <c r="N739">
        <f ca="1">IF(M739&lt;&gt;M738,INDEX(CustInfo!$A$2:$A$1001,RANDBETWEEN(1,1000)),N738)</f>
        <v>11044</v>
      </c>
      <c r="O739" t="s">
        <v>1001</v>
      </c>
      <c r="P739">
        <v>52936873</v>
      </c>
    </row>
    <row r="740" spans="1:16" x14ac:dyDescent="0.35">
      <c r="A740">
        <v>93827212263</v>
      </c>
      <c r="C740" s="2" t="s">
        <v>883</v>
      </c>
      <c r="D740">
        <v>3</v>
      </c>
      <c r="E740">
        <v>76891213196</v>
      </c>
      <c r="F740">
        <f t="shared" ca="1" si="22"/>
        <v>68</v>
      </c>
      <c r="G740">
        <f ca="1">VLOOKUP(E740,PurchItem!$A$2:$H$508,8,0)</f>
        <v>7032.7904576117289</v>
      </c>
      <c r="H740">
        <v>0.04</v>
      </c>
      <c r="I740" t="s">
        <v>244</v>
      </c>
      <c r="J740" s="5">
        <v>45572.594524409724</v>
      </c>
      <c r="K740" s="5">
        <v>45576.189048819448</v>
      </c>
      <c r="M740">
        <f t="shared" si="23"/>
        <v>10029727493</v>
      </c>
      <c r="N740">
        <f ca="1">IF(M740&lt;&gt;M739,INDEX(CustInfo!$A$2:$A$1001,RANDBETWEEN(1,1000)),N739)</f>
        <v>11044</v>
      </c>
      <c r="O740" t="s">
        <v>1001</v>
      </c>
      <c r="P740">
        <v>52936874</v>
      </c>
    </row>
    <row r="741" spans="1:16" x14ac:dyDescent="0.35">
      <c r="A741">
        <v>93827212263</v>
      </c>
      <c r="C741" s="2" t="s">
        <v>883</v>
      </c>
      <c r="D741">
        <v>4</v>
      </c>
      <c r="E741">
        <v>76891213383</v>
      </c>
      <c r="F741">
        <f t="shared" ca="1" si="22"/>
        <v>95</v>
      </c>
      <c r="G741">
        <f ca="1">VLOOKUP(E741,PurchItem!$A$2:$H$508,8,0)</f>
        <v>7867.2325628845992</v>
      </c>
      <c r="H741">
        <v>0.05</v>
      </c>
      <c r="I741" t="s">
        <v>244</v>
      </c>
      <c r="J741" s="5">
        <v>44912.594524409724</v>
      </c>
      <c r="K741" s="5">
        <v>44913.189048819448</v>
      </c>
      <c r="M741">
        <f t="shared" si="23"/>
        <v>10029727493</v>
      </c>
      <c r="N741">
        <f ca="1">IF(M741&lt;&gt;M740,INDEX(CustInfo!$A$2:$A$1001,RANDBETWEEN(1,1000)),N740)</f>
        <v>11044</v>
      </c>
      <c r="O741" t="s">
        <v>1001</v>
      </c>
      <c r="P741">
        <v>52936875</v>
      </c>
    </row>
    <row r="742" spans="1:16" x14ac:dyDescent="0.35">
      <c r="A742">
        <v>93827212264</v>
      </c>
      <c r="C742" s="2" t="s">
        <v>883</v>
      </c>
      <c r="D742">
        <v>1</v>
      </c>
      <c r="E742">
        <v>76891213407</v>
      </c>
      <c r="F742">
        <f t="shared" ca="1" si="22"/>
        <v>5</v>
      </c>
      <c r="G742">
        <f ca="1">VLOOKUP(E742,PurchItem!$A$2:$H$508,8,0)</f>
        <v>2479.2746542139621</v>
      </c>
      <c r="H742">
        <v>0.06</v>
      </c>
      <c r="I742" t="s">
        <v>244</v>
      </c>
      <c r="J742" s="5">
        <v>44717.594524409724</v>
      </c>
      <c r="K742" s="5">
        <v>44719.189048819448</v>
      </c>
      <c r="M742">
        <f t="shared" si="23"/>
        <v>10029727494</v>
      </c>
      <c r="N742">
        <f ca="1">IF(M742&lt;&gt;M741,INDEX(CustInfo!$A$2:$A$1001,RANDBETWEEN(1,1000)),N741)</f>
        <v>11890</v>
      </c>
      <c r="O742" t="s">
        <v>1001</v>
      </c>
      <c r="P742">
        <v>52936876</v>
      </c>
    </row>
    <row r="743" spans="1:16" x14ac:dyDescent="0.35">
      <c r="A743">
        <v>93827212265</v>
      </c>
      <c r="C743" s="2" t="s">
        <v>883</v>
      </c>
      <c r="D743">
        <v>1</v>
      </c>
      <c r="E743">
        <v>76891213353</v>
      </c>
      <c r="F743">
        <f t="shared" ca="1" si="22"/>
        <v>30</v>
      </c>
      <c r="G743">
        <f ca="1">VLOOKUP(E743,PurchItem!$A$2:$H$508,8,0)</f>
        <v>2138.4293662084629</v>
      </c>
      <c r="H743">
        <v>0.06</v>
      </c>
      <c r="I743" t="s">
        <v>244</v>
      </c>
      <c r="J743" s="5">
        <v>45150.594524409724</v>
      </c>
      <c r="K743" s="5">
        <v>45152.189048819448</v>
      </c>
      <c r="M743">
        <f t="shared" si="23"/>
        <v>10029727495</v>
      </c>
      <c r="N743">
        <f ca="1">IF(M743&lt;&gt;M742,INDEX(CustInfo!$A$2:$A$1001,RANDBETWEEN(1,1000)),N742)</f>
        <v>11847</v>
      </c>
      <c r="O743" t="s">
        <v>1002</v>
      </c>
      <c r="P743">
        <v>52936877</v>
      </c>
    </row>
    <row r="744" spans="1:16" x14ac:dyDescent="0.35">
      <c r="A744">
        <v>93827212265</v>
      </c>
      <c r="C744" s="2" t="s">
        <v>883</v>
      </c>
      <c r="D744">
        <v>2</v>
      </c>
      <c r="E744">
        <v>76891213234</v>
      </c>
      <c r="F744">
        <f t="shared" ca="1" si="22"/>
        <v>45</v>
      </c>
      <c r="G744">
        <f ca="1">VLOOKUP(E744,PurchItem!$A$2:$H$508,8,0)</f>
        <v>9195.4232848562242</v>
      </c>
      <c r="H744">
        <v>0.04</v>
      </c>
      <c r="I744" t="s">
        <v>244</v>
      </c>
      <c r="J744" s="5">
        <v>45470.594524409724</v>
      </c>
      <c r="K744" s="5">
        <v>45473.189048819448</v>
      </c>
      <c r="M744">
        <f t="shared" si="23"/>
        <v>10029727495</v>
      </c>
      <c r="N744">
        <f ca="1">IF(M744&lt;&gt;M743,INDEX(CustInfo!$A$2:$A$1001,RANDBETWEEN(1,1000)),N743)</f>
        <v>11847</v>
      </c>
      <c r="O744" t="s">
        <v>1002</v>
      </c>
      <c r="P744">
        <v>52936878</v>
      </c>
    </row>
    <row r="745" spans="1:16" x14ac:dyDescent="0.35">
      <c r="A745">
        <v>93827212266</v>
      </c>
      <c r="C745" s="2" t="s">
        <v>883</v>
      </c>
      <c r="D745">
        <v>1</v>
      </c>
      <c r="E745">
        <v>76891213541</v>
      </c>
      <c r="F745">
        <f t="shared" ca="1" si="22"/>
        <v>69</v>
      </c>
      <c r="G745">
        <f ca="1">VLOOKUP(E745,PurchItem!$A$2:$H$508,8,0)</f>
        <v>8670.1313382850785</v>
      </c>
      <c r="H745">
        <v>0.04</v>
      </c>
      <c r="I745" t="s">
        <v>244</v>
      </c>
      <c r="J745" s="5">
        <v>45098.594524409724</v>
      </c>
      <c r="K745" s="5">
        <v>45099.189048819448</v>
      </c>
      <c r="M745">
        <f t="shared" si="23"/>
        <v>10029727496</v>
      </c>
      <c r="N745">
        <f ca="1">IF(M745&lt;&gt;M744,INDEX(CustInfo!$A$2:$A$1001,RANDBETWEEN(1,1000)),N744)</f>
        <v>11707</v>
      </c>
      <c r="O745" t="s">
        <v>1002</v>
      </c>
      <c r="P745">
        <v>52936879</v>
      </c>
    </row>
    <row r="746" spans="1:16" x14ac:dyDescent="0.35">
      <c r="A746">
        <v>93827212267</v>
      </c>
      <c r="C746" s="2" t="s">
        <v>883</v>
      </c>
      <c r="D746">
        <v>1</v>
      </c>
      <c r="E746">
        <v>76891213484</v>
      </c>
      <c r="F746">
        <f t="shared" ca="1" si="22"/>
        <v>99</v>
      </c>
      <c r="G746">
        <f ca="1">VLOOKUP(E746,PurchItem!$A$2:$H$508,8,0)</f>
        <v>6278.4735130598492</v>
      </c>
      <c r="H746">
        <v>0.06</v>
      </c>
      <c r="I746" t="s">
        <v>244</v>
      </c>
      <c r="J746" s="5">
        <v>44589.594524409724</v>
      </c>
      <c r="K746" s="5">
        <v>44590.189048819448</v>
      </c>
      <c r="M746">
        <f t="shared" si="23"/>
        <v>10029727497</v>
      </c>
      <c r="N746">
        <f ca="1">IF(M746&lt;&gt;M745,INDEX(CustInfo!$A$2:$A$1001,RANDBETWEEN(1,1000)),N745)</f>
        <v>11652</v>
      </c>
      <c r="O746" t="s">
        <v>1001</v>
      </c>
      <c r="P746">
        <v>52936880</v>
      </c>
    </row>
    <row r="747" spans="1:16" x14ac:dyDescent="0.35">
      <c r="A747">
        <v>93827212267</v>
      </c>
      <c r="C747" s="2" t="s">
        <v>883</v>
      </c>
      <c r="D747">
        <v>2</v>
      </c>
      <c r="E747">
        <v>76891213308</v>
      </c>
      <c r="F747">
        <f t="shared" ca="1" si="22"/>
        <v>98</v>
      </c>
      <c r="G747">
        <f ca="1">VLOOKUP(E747,PurchItem!$A$2:$H$508,8,0)</f>
        <v>6506.0693874211602</v>
      </c>
      <c r="H747">
        <v>0.04</v>
      </c>
      <c r="I747" t="s">
        <v>244</v>
      </c>
      <c r="J747" s="5">
        <v>45258.594524409724</v>
      </c>
      <c r="K747" s="5">
        <v>45262.189048819448</v>
      </c>
      <c r="M747">
        <f t="shared" si="23"/>
        <v>10029727497</v>
      </c>
      <c r="N747">
        <f ca="1">IF(M747&lt;&gt;M746,INDEX(CustInfo!$A$2:$A$1001,RANDBETWEEN(1,1000)),N746)</f>
        <v>11652</v>
      </c>
      <c r="O747" t="s">
        <v>1001</v>
      </c>
      <c r="P747">
        <v>52936881</v>
      </c>
    </row>
    <row r="748" spans="1:16" x14ac:dyDescent="0.35">
      <c r="A748">
        <v>93827212267</v>
      </c>
      <c r="C748" s="2" t="s">
        <v>883</v>
      </c>
      <c r="D748">
        <v>3</v>
      </c>
      <c r="E748">
        <v>76891213485</v>
      </c>
      <c r="F748">
        <f t="shared" ca="1" si="22"/>
        <v>76</v>
      </c>
      <c r="G748">
        <f ca="1">VLOOKUP(E748,PurchItem!$A$2:$H$508,8,0)</f>
        <v>2807.3759282410369</v>
      </c>
      <c r="H748">
        <v>0.04</v>
      </c>
      <c r="I748" t="s">
        <v>244</v>
      </c>
      <c r="J748" s="5">
        <v>44592.594524409724</v>
      </c>
      <c r="K748" s="5">
        <v>44594.189048819448</v>
      </c>
      <c r="M748">
        <f t="shared" si="23"/>
        <v>10029727497</v>
      </c>
      <c r="N748">
        <f ca="1">IF(M748&lt;&gt;M747,INDEX(CustInfo!$A$2:$A$1001,RANDBETWEEN(1,1000)),N747)</f>
        <v>11652</v>
      </c>
      <c r="O748" t="s">
        <v>1001</v>
      </c>
      <c r="P748">
        <v>52936882</v>
      </c>
    </row>
    <row r="749" spans="1:16" x14ac:dyDescent="0.35">
      <c r="A749">
        <v>93827212267</v>
      </c>
      <c r="C749" s="2" t="s">
        <v>883</v>
      </c>
      <c r="D749">
        <v>4</v>
      </c>
      <c r="E749">
        <v>76891213157</v>
      </c>
      <c r="F749">
        <f t="shared" ca="1" si="22"/>
        <v>5</v>
      </c>
      <c r="G749">
        <f ca="1">VLOOKUP(E749,PurchItem!$A$2:$H$508,8,0)</f>
        <v>8322.4899114284071</v>
      </c>
      <c r="H749">
        <v>0.06</v>
      </c>
      <c r="I749" t="s">
        <v>244</v>
      </c>
      <c r="J749" s="5">
        <v>44667.594524409724</v>
      </c>
      <c r="K749" s="5">
        <v>44668.189048819448</v>
      </c>
      <c r="M749">
        <f t="shared" si="23"/>
        <v>10029727497</v>
      </c>
      <c r="N749">
        <f ca="1">IF(M749&lt;&gt;M748,INDEX(CustInfo!$A$2:$A$1001,RANDBETWEEN(1,1000)),N748)</f>
        <v>11652</v>
      </c>
      <c r="O749" t="s">
        <v>1001</v>
      </c>
      <c r="P749">
        <v>52936883</v>
      </c>
    </row>
    <row r="750" spans="1:16" x14ac:dyDescent="0.35">
      <c r="A750">
        <v>93827212268</v>
      </c>
      <c r="C750" s="2" t="s">
        <v>883</v>
      </c>
      <c r="D750">
        <v>1</v>
      </c>
      <c r="E750">
        <v>76891213623</v>
      </c>
      <c r="F750">
        <f t="shared" ca="1" si="22"/>
        <v>80</v>
      </c>
      <c r="G750">
        <f ca="1">VLOOKUP(E750,PurchItem!$A$2:$H$508,8,0)</f>
        <v>4363.5889927044145</v>
      </c>
      <c r="H750">
        <v>0.05</v>
      </c>
      <c r="I750" t="s">
        <v>244</v>
      </c>
      <c r="J750" s="5">
        <v>44652.594524409724</v>
      </c>
      <c r="K750" s="5">
        <v>44653.189048819448</v>
      </c>
      <c r="M750">
        <f t="shared" si="23"/>
        <v>10029727498</v>
      </c>
      <c r="N750">
        <f ca="1">IF(M750&lt;&gt;M749,INDEX(CustInfo!$A$2:$A$1001,RANDBETWEEN(1,1000)),N749)</f>
        <v>11491</v>
      </c>
      <c r="O750" t="s">
        <v>1003</v>
      </c>
      <c r="P750">
        <v>52936884</v>
      </c>
    </row>
    <row r="751" spans="1:16" x14ac:dyDescent="0.35">
      <c r="A751">
        <v>93827212269</v>
      </c>
      <c r="C751" s="2" t="s">
        <v>883</v>
      </c>
      <c r="D751">
        <v>1</v>
      </c>
      <c r="E751">
        <v>76891213507</v>
      </c>
      <c r="F751">
        <f t="shared" ca="1" si="22"/>
        <v>91</v>
      </c>
      <c r="G751">
        <f ca="1">VLOOKUP(E751,PurchItem!$A$2:$H$508,8,0)</f>
        <v>2641.4732412349708</v>
      </c>
      <c r="H751">
        <v>0.05</v>
      </c>
      <c r="I751" t="s">
        <v>244</v>
      </c>
      <c r="J751" s="5">
        <v>45293.594524409724</v>
      </c>
      <c r="K751" s="5">
        <v>45295.189048819448</v>
      </c>
      <c r="M751">
        <f t="shared" si="23"/>
        <v>10029727499</v>
      </c>
      <c r="N751">
        <f ca="1">IF(M751&lt;&gt;M750,INDEX(CustInfo!$A$2:$A$1001,RANDBETWEEN(1,1000)),N750)</f>
        <v>11603</v>
      </c>
      <c r="O751" t="s">
        <v>1001</v>
      </c>
      <c r="P751">
        <v>52936885</v>
      </c>
    </row>
    <row r="752" spans="1:16" x14ac:dyDescent="0.35">
      <c r="A752">
        <v>93827212269</v>
      </c>
      <c r="C752" s="2" t="s">
        <v>883</v>
      </c>
      <c r="D752">
        <v>2</v>
      </c>
      <c r="E752">
        <v>76891213198</v>
      </c>
      <c r="F752">
        <f t="shared" ca="1" si="22"/>
        <v>71</v>
      </c>
      <c r="G752">
        <f ca="1">VLOOKUP(E752,PurchItem!$A$2:$H$508,8,0)</f>
        <v>137.73349163160216</v>
      </c>
      <c r="H752">
        <v>0.06</v>
      </c>
      <c r="I752" t="s">
        <v>244</v>
      </c>
      <c r="J752" s="5">
        <v>45191.594524409724</v>
      </c>
      <c r="K752" s="5">
        <v>45192.189048819448</v>
      </c>
      <c r="M752">
        <f t="shared" si="23"/>
        <v>10029727499</v>
      </c>
      <c r="N752">
        <f ca="1">IF(M752&lt;&gt;M751,INDEX(CustInfo!$A$2:$A$1001,RANDBETWEEN(1,1000)),N751)</f>
        <v>11603</v>
      </c>
      <c r="O752" t="s">
        <v>1001</v>
      </c>
      <c r="P752">
        <v>52936886</v>
      </c>
    </row>
    <row r="753" spans="1:16" x14ac:dyDescent="0.35">
      <c r="A753">
        <v>93827212269</v>
      </c>
      <c r="C753" s="2" t="s">
        <v>883</v>
      </c>
      <c r="D753">
        <v>3</v>
      </c>
      <c r="E753">
        <v>76891213580</v>
      </c>
      <c r="F753">
        <f t="shared" ca="1" si="22"/>
        <v>99</v>
      </c>
      <c r="G753">
        <f ca="1">VLOOKUP(E753,PurchItem!$A$2:$H$508,8,0)</f>
        <v>5355.6561404349168</v>
      </c>
      <c r="H753">
        <v>0.04</v>
      </c>
      <c r="I753" t="s">
        <v>244</v>
      </c>
      <c r="J753" s="5">
        <v>44673.594524409724</v>
      </c>
      <c r="K753" s="5">
        <v>44677.189048819448</v>
      </c>
      <c r="M753">
        <f t="shared" si="23"/>
        <v>10029727499</v>
      </c>
      <c r="N753">
        <f ca="1">IF(M753&lt;&gt;M752,INDEX(CustInfo!$A$2:$A$1001,RANDBETWEEN(1,1000)),N752)</f>
        <v>11603</v>
      </c>
      <c r="O753" t="s">
        <v>1001</v>
      </c>
      <c r="P753">
        <v>52936887</v>
      </c>
    </row>
    <row r="754" spans="1:16" x14ac:dyDescent="0.35">
      <c r="A754">
        <v>93827212270</v>
      </c>
      <c r="C754" s="2" t="s">
        <v>883</v>
      </c>
      <c r="D754">
        <v>1</v>
      </c>
      <c r="E754">
        <v>76891213426</v>
      </c>
      <c r="F754">
        <f t="shared" ca="1" si="22"/>
        <v>60</v>
      </c>
      <c r="G754">
        <f ca="1">VLOOKUP(E754,PurchItem!$A$2:$H$508,8,0)</f>
        <v>7367.2409730159643</v>
      </c>
      <c r="H754">
        <v>0.05</v>
      </c>
      <c r="I754" t="s">
        <v>244</v>
      </c>
      <c r="J754" s="5">
        <v>45351.594524409724</v>
      </c>
      <c r="K754" s="5">
        <v>45352.189048819448</v>
      </c>
      <c r="M754">
        <f t="shared" si="23"/>
        <v>10029727500</v>
      </c>
      <c r="N754">
        <f ca="1">IF(M754&lt;&gt;M753,INDEX(CustInfo!$A$2:$A$1001,RANDBETWEEN(1,1000)),N753)</f>
        <v>11355</v>
      </c>
      <c r="O754" t="s">
        <v>1001</v>
      </c>
      <c r="P754">
        <v>52936888</v>
      </c>
    </row>
    <row r="755" spans="1:16" x14ac:dyDescent="0.35">
      <c r="A755">
        <v>93827212270</v>
      </c>
      <c r="C755" s="2" t="s">
        <v>883</v>
      </c>
      <c r="D755">
        <v>2</v>
      </c>
      <c r="E755">
        <v>76891213337</v>
      </c>
      <c r="F755">
        <f t="shared" ca="1" si="22"/>
        <v>15</v>
      </c>
      <c r="G755">
        <f ca="1">VLOOKUP(E755,PurchItem!$A$2:$H$508,8,0)</f>
        <v>9545.3934858717184</v>
      </c>
      <c r="H755">
        <v>0.06</v>
      </c>
      <c r="I755" t="s">
        <v>244</v>
      </c>
      <c r="J755" s="5">
        <v>45267.594524409724</v>
      </c>
      <c r="K755" s="5">
        <v>45268.189048819448</v>
      </c>
      <c r="M755">
        <f t="shared" si="23"/>
        <v>10029727500</v>
      </c>
      <c r="N755">
        <f ca="1">IF(M755&lt;&gt;M754,INDEX(CustInfo!$A$2:$A$1001,RANDBETWEEN(1,1000)),N754)</f>
        <v>11355</v>
      </c>
      <c r="O755" t="s">
        <v>1001</v>
      </c>
      <c r="P755">
        <v>52936889</v>
      </c>
    </row>
    <row r="756" spans="1:16" x14ac:dyDescent="0.35">
      <c r="A756">
        <v>93827212271</v>
      </c>
      <c r="C756" s="2" t="s">
        <v>883</v>
      </c>
      <c r="D756">
        <v>1</v>
      </c>
      <c r="E756">
        <v>76891213221</v>
      </c>
      <c r="F756">
        <f t="shared" ca="1" si="22"/>
        <v>19</v>
      </c>
      <c r="G756">
        <f ca="1">VLOOKUP(E756,PurchItem!$A$2:$H$508,8,0)</f>
        <v>5240.774053510655</v>
      </c>
      <c r="H756">
        <v>0.04</v>
      </c>
      <c r="I756" t="s">
        <v>244</v>
      </c>
      <c r="J756" s="5">
        <v>45077.594524409724</v>
      </c>
      <c r="K756" s="5">
        <v>45078.189048819448</v>
      </c>
      <c r="M756">
        <f t="shared" si="23"/>
        <v>10029727501</v>
      </c>
      <c r="N756">
        <f ca="1">IF(M756&lt;&gt;M755,INDEX(CustInfo!$A$2:$A$1001,RANDBETWEEN(1,1000)),N755)</f>
        <v>11491</v>
      </c>
      <c r="O756" t="s">
        <v>1002</v>
      </c>
      <c r="P756">
        <v>52936890</v>
      </c>
    </row>
    <row r="757" spans="1:16" x14ac:dyDescent="0.35">
      <c r="A757">
        <v>93827212271</v>
      </c>
      <c r="C757" s="2" t="s">
        <v>883</v>
      </c>
      <c r="D757">
        <v>2</v>
      </c>
      <c r="E757">
        <v>76891213528</v>
      </c>
      <c r="F757">
        <f t="shared" ca="1" si="22"/>
        <v>12</v>
      </c>
      <c r="G757">
        <f ca="1">VLOOKUP(E757,PurchItem!$A$2:$H$508,8,0)</f>
        <v>8635.9221287063683</v>
      </c>
      <c r="H757">
        <v>0.05</v>
      </c>
      <c r="I757" t="s">
        <v>244</v>
      </c>
      <c r="J757" s="5">
        <v>45367.594524409724</v>
      </c>
      <c r="K757" s="5">
        <v>45368.189048819448</v>
      </c>
      <c r="M757">
        <f t="shared" si="23"/>
        <v>10029727501</v>
      </c>
      <c r="N757">
        <f ca="1">IF(M757&lt;&gt;M756,INDEX(CustInfo!$A$2:$A$1001,RANDBETWEEN(1,1000)),N756)</f>
        <v>11491</v>
      </c>
      <c r="O757" t="s">
        <v>1002</v>
      </c>
      <c r="P757">
        <v>52936891</v>
      </c>
    </row>
    <row r="758" spans="1:16" x14ac:dyDescent="0.35">
      <c r="A758">
        <v>93827212271</v>
      </c>
      <c r="C758" s="2" t="s">
        <v>883</v>
      </c>
      <c r="D758">
        <v>3</v>
      </c>
      <c r="E758">
        <v>76891213527</v>
      </c>
      <c r="F758">
        <f t="shared" ca="1" si="22"/>
        <v>89</v>
      </c>
      <c r="G758">
        <f ca="1">VLOOKUP(E758,PurchItem!$A$2:$H$508,8,0)</f>
        <v>3326.8565914437954</v>
      </c>
      <c r="H758">
        <v>0.05</v>
      </c>
      <c r="I758" t="s">
        <v>244</v>
      </c>
      <c r="J758" s="5">
        <v>45234.594524409724</v>
      </c>
      <c r="K758" s="5">
        <v>45237.189048819448</v>
      </c>
      <c r="M758">
        <f t="shared" si="23"/>
        <v>10029727501</v>
      </c>
      <c r="N758">
        <f ca="1">IF(M758&lt;&gt;M757,INDEX(CustInfo!$A$2:$A$1001,RANDBETWEEN(1,1000)),N757)</f>
        <v>11491</v>
      </c>
      <c r="O758" t="s">
        <v>1002</v>
      </c>
      <c r="P758">
        <v>52936892</v>
      </c>
    </row>
    <row r="759" spans="1:16" x14ac:dyDescent="0.35">
      <c r="A759">
        <v>93827212272</v>
      </c>
      <c r="C759" s="2" t="s">
        <v>883</v>
      </c>
      <c r="D759">
        <v>1</v>
      </c>
      <c r="E759">
        <v>76891213368</v>
      </c>
      <c r="F759">
        <f t="shared" ca="1" si="22"/>
        <v>44</v>
      </c>
      <c r="G759">
        <f ca="1">VLOOKUP(E759,PurchItem!$A$2:$H$508,8,0)</f>
        <v>3312.7979678593924</v>
      </c>
      <c r="H759">
        <v>0.04</v>
      </c>
      <c r="I759" t="s">
        <v>244</v>
      </c>
      <c r="J759" s="5">
        <v>45225.594524409724</v>
      </c>
      <c r="K759" s="5">
        <v>45227.189048819448</v>
      </c>
      <c r="M759">
        <f t="shared" si="23"/>
        <v>10029727502</v>
      </c>
      <c r="N759">
        <f ca="1">IF(M759&lt;&gt;M758,INDEX(CustInfo!$A$2:$A$1001,RANDBETWEEN(1,1000)),N758)</f>
        <v>11265</v>
      </c>
      <c r="O759" t="s">
        <v>1003</v>
      </c>
      <c r="P759">
        <v>52936893</v>
      </c>
    </row>
    <row r="760" spans="1:16" x14ac:dyDescent="0.35">
      <c r="A760">
        <v>93827212272</v>
      </c>
      <c r="C760" s="2" t="s">
        <v>883</v>
      </c>
      <c r="D760">
        <v>2</v>
      </c>
      <c r="E760">
        <v>76891213323</v>
      </c>
      <c r="F760">
        <f t="shared" ca="1" si="22"/>
        <v>7</v>
      </c>
      <c r="G760">
        <f ca="1">VLOOKUP(E760,PurchItem!$A$2:$H$508,8,0)</f>
        <v>2479.1591943264802</v>
      </c>
      <c r="H760">
        <v>0.05</v>
      </c>
      <c r="I760" t="s">
        <v>244</v>
      </c>
      <c r="J760" s="5">
        <v>44569.594524409724</v>
      </c>
      <c r="K760" s="5">
        <v>44570.189048819448</v>
      </c>
      <c r="M760">
        <f t="shared" si="23"/>
        <v>10029727502</v>
      </c>
      <c r="N760">
        <f ca="1">IF(M760&lt;&gt;M759,INDEX(CustInfo!$A$2:$A$1001,RANDBETWEEN(1,1000)),N759)</f>
        <v>11265</v>
      </c>
      <c r="O760" t="s">
        <v>1003</v>
      </c>
      <c r="P760">
        <v>52936894</v>
      </c>
    </row>
    <row r="761" spans="1:16" x14ac:dyDescent="0.35">
      <c r="A761">
        <v>93827212273</v>
      </c>
      <c r="C761" s="2" t="s">
        <v>883</v>
      </c>
      <c r="D761">
        <v>1</v>
      </c>
      <c r="E761">
        <v>76891213199</v>
      </c>
      <c r="F761">
        <f t="shared" ca="1" si="22"/>
        <v>14</v>
      </c>
      <c r="G761">
        <f ca="1">VLOOKUP(E761,PurchItem!$A$2:$H$508,8,0)</f>
        <v>9847.8601789486402</v>
      </c>
      <c r="H761">
        <v>0.05</v>
      </c>
      <c r="I761" t="s">
        <v>244</v>
      </c>
      <c r="J761" s="5">
        <v>45334.594524409724</v>
      </c>
      <c r="K761" s="5">
        <v>45335.189048819448</v>
      </c>
      <c r="M761">
        <f t="shared" si="23"/>
        <v>10029727503</v>
      </c>
      <c r="N761">
        <f ca="1">IF(M761&lt;&gt;M760,INDEX(CustInfo!$A$2:$A$1001,RANDBETWEEN(1,1000)),N760)</f>
        <v>11461</v>
      </c>
      <c r="O761" t="s">
        <v>1001</v>
      </c>
      <c r="P761">
        <v>52936895</v>
      </c>
    </row>
    <row r="762" spans="1:16" x14ac:dyDescent="0.35">
      <c r="A762">
        <v>93827212273</v>
      </c>
      <c r="C762" s="2" t="s">
        <v>883</v>
      </c>
      <c r="D762">
        <v>2</v>
      </c>
      <c r="E762">
        <v>76891213447</v>
      </c>
      <c r="F762">
        <f t="shared" ca="1" si="22"/>
        <v>8</v>
      </c>
      <c r="G762">
        <f ca="1">VLOOKUP(E762,PurchItem!$A$2:$H$508,8,0)</f>
        <v>9956.2708729613532</v>
      </c>
      <c r="H762">
        <v>0.06</v>
      </c>
      <c r="I762" t="s">
        <v>244</v>
      </c>
      <c r="J762" s="5">
        <v>44631.594524409724</v>
      </c>
      <c r="K762" s="5">
        <v>44632.189048819448</v>
      </c>
      <c r="M762">
        <f t="shared" si="23"/>
        <v>10029727503</v>
      </c>
      <c r="N762">
        <f ca="1">IF(M762&lt;&gt;M761,INDEX(CustInfo!$A$2:$A$1001,RANDBETWEEN(1,1000)),N761)</f>
        <v>11461</v>
      </c>
      <c r="O762" t="s">
        <v>1001</v>
      </c>
      <c r="P762">
        <v>52936896</v>
      </c>
    </row>
    <row r="763" spans="1:16" x14ac:dyDescent="0.35">
      <c r="A763">
        <v>93827212274</v>
      </c>
      <c r="C763" s="2" t="s">
        <v>883</v>
      </c>
      <c r="D763">
        <v>1</v>
      </c>
      <c r="E763">
        <v>76891213635</v>
      </c>
      <c r="F763">
        <f t="shared" ca="1" si="22"/>
        <v>87</v>
      </c>
      <c r="G763">
        <f ca="1">VLOOKUP(E763,PurchItem!$A$2:$H$508,8,0)</f>
        <v>683.81529686480883</v>
      </c>
      <c r="H763">
        <v>0.06</v>
      </c>
      <c r="I763" t="s">
        <v>244</v>
      </c>
      <c r="J763" s="5">
        <v>45575.594524409724</v>
      </c>
      <c r="K763" s="5">
        <v>45578.189048819448</v>
      </c>
      <c r="M763">
        <f t="shared" si="23"/>
        <v>10029727504</v>
      </c>
      <c r="N763">
        <f ca="1">IF(M763&lt;&gt;M762,INDEX(CustInfo!$A$2:$A$1001,RANDBETWEEN(1,1000)),N762)</f>
        <v>11644</v>
      </c>
      <c r="O763" t="s">
        <v>1002</v>
      </c>
      <c r="P763">
        <v>52936897</v>
      </c>
    </row>
    <row r="764" spans="1:16" x14ac:dyDescent="0.35">
      <c r="A764">
        <v>93827212275</v>
      </c>
      <c r="C764" s="2" t="s">
        <v>883</v>
      </c>
      <c r="D764">
        <v>1</v>
      </c>
      <c r="E764">
        <v>76891213398</v>
      </c>
      <c r="F764">
        <f t="shared" ca="1" si="22"/>
        <v>35</v>
      </c>
      <c r="G764">
        <f ca="1">VLOOKUP(E764,PurchItem!$A$2:$H$508,8,0)</f>
        <v>5671.349698118911</v>
      </c>
      <c r="H764">
        <v>0.06</v>
      </c>
      <c r="I764" t="s">
        <v>244</v>
      </c>
      <c r="J764" s="5">
        <v>44984.594524409724</v>
      </c>
      <c r="K764" s="5">
        <v>44986.189048819448</v>
      </c>
      <c r="M764">
        <f t="shared" si="23"/>
        <v>10029727505</v>
      </c>
      <c r="N764">
        <f ca="1">IF(M764&lt;&gt;M763,INDEX(CustInfo!$A$2:$A$1001,RANDBETWEEN(1,1000)),N763)</f>
        <v>11779</v>
      </c>
      <c r="O764" t="s">
        <v>1002</v>
      </c>
      <c r="P764">
        <v>52936898</v>
      </c>
    </row>
    <row r="765" spans="1:16" x14ac:dyDescent="0.35">
      <c r="A765">
        <v>93827212275</v>
      </c>
      <c r="C765" s="2" t="s">
        <v>883</v>
      </c>
      <c r="D765">
        <v>2</v>
      </c>
      <c r="E765">
        <v>76891213479</v>
      </c>
      <c r="F765">
        <f t="shared" ca="1" si="22"/>
        <v>4</v>
      </c>
      <c r="G765">
        <f ca="1">VLOOKUP(E765,PurchItem!$A$2:$H$508,8,0)</f>
        <v>6220.9089937272938</v>
      </c>
      <c r="H765">
        <v>0.04</v>
      </c>
      <c r="I765" t="s">
        <v>244</v>
      </c>
      <c r="J765" s="5">
        <v>45056.594524409724</v>
      </c>
      <c r="K765" s="5">
        <v>45058.189048819448</v>
      </c>
      <c r="M765">
        <f t="shared" si="23"/>
        <v>10029727505</v>
      </c>
      <c r="N765">
        <f ca="1">IF(M765&lt;&gt;M764,INDEX(CustInfo!$A$2:$A$1001,RANDBETWEEN(1,1000)),N764)</f>
        <v>11779</v>
      </c>
      <c r="O765" t="s">
        <v>1002</v>
      </c>
      <c r="P765">
        <v>52936899</v>
      </c>
    </row>
    <row r="766" spans="1:16" x14ac:dyDescent="0.35">
      <c r="A766">
        <v>93827212275</v>
      </c>
      <c r="C766" s="2" t="s">
        <v>883</v>
      </c>
      <c r="D766">
        <v>3</v>
      </c>
      <c r="E766">
        <v>76891213358</v>
      </c>
      <c r="F766">
        <f t="shared" ca="1" si="22"/>
        <v>72</v>
      </c>
      <c r="G766">
        <f ca="1">VLOOKUP(E766,PurchItem!$A$2:$H$508,8,0)</f>
        <v>2522.1941384716652</v>
      </c>
      <c r="H766">
        <v>0.04</v>
      </c>
      <c r="I766" t="s">
        <v>244</v>
      </c>
      <c r="J766" s="5">
        <v>44807.594524409724</v>
      </c>
      <c r="K766" s="5">
        <v>44808.189048819448</v>
      </c>
      <c r="M766">
        <f t="shared" si="23"/>
        <v>10029727505</v>
      </c>
      <c r="N766">
        <f ca="1">IF(M766&lt;&gt;M765,INDEX(CustInfo!$A$2:$A$1001,RANDBETWEEN(1,1000)),N765)</f>
        <v>11779</v>
      </c>
      <c r="O766" t="s">
        <v>1002</v>
      </c>
      <c r="P766">
        <v>52936900</v>
      </c>
    </row>
    <row r="767" spans="1:16" x14ac:dyDescent="0.35">
      <c r="A767">
        <v>93827212276</v>
      </c>
      <c r="C767" s="2" t="s">
        <v>883</v>
      </c>
      <c r="D767">
        <v>1</v>
      </c>
      <c r="E767">
        <v>76891213439</v>
      </c>
      <c r="F767">
        <f t="shared" ca="1" si="22"/>
        <v>34</v>
      </c>
      <c r="G767">
        <f ca="1">VLOOKUP(E767,PurchItem!$A$2:$H$508,8,0)</f>
        <v>927.70201425852463</v>
      </c>
      <c r="H767">
        <v>0.04</v>
      </c>
      <c r="I767" t="s">
        <v>244</v>
      </c>
      <c r="J767" s="5">
        <v>44624.594524409724</v>
      </c>
      <c r="K767" s="5">
        <v>44628.189048819448</v>
      </c>
      <c r="M767">
        <f t="shared" si="23"/>
        <v>10029727506</v>
      </c>
      <c r="N767">
        <f ca="1">IF(M767&lt;&gt;M766,INDEX(CustInfo!$A$2:$A$1001,RANDBETWEEN(1,1000)),N766)</f>
        <v>11660</v>
      </c>
      <c r="O767" t="s">
        <v>1002</v>
      </c>
      <c r="P767">
        <v>52936901</v>
      </c>
    </row>
    <row r="768" spans="1:16" x14ac:dyDescent="0.35">
      <c r="A768">
        <v>93827212276</v>
      </c>
      <c r="C768" s="2" t="s">
        <v>883</v>
      </c>
      <c r="D768">
        <v>2</v>
      </c>
      <c r="E768">
        <v>76891213237</v>
      </c>
      <c r="F768">
        <f t="shared" ca="1" si="22"/>
        <v>4</v>
      </c>
      <c r="G768">
        <f ca="1">VLOOKUP(E768,PurchItem!$A$2:$H$508,8,0)</f>
        <v>1912.5089900234684</v>
      </c>
      <c r="H768">
        <v>0.05</v>
      </c>
      <c r="I768" t="s">
        <v>244</v>
      </c>
      <c r="J768" s="5">
        <v>44562.594524409724</v>
      </c>
      <c r="K768" s="5">
        <v>44565.189048819448</v>
      </c>
      <c r="M768">
        <f t="shared" si="23"/>
        <v>10029727506</v>
      </c>
      <c r="N768">
        <f ca="1">IF(M768&lt;&gt;M767,INDEX(CustInfo!$A$2:$A$1001,RANDBETWEEN(1,1000)),N767)</f>
        <v>11660</v>
      </c>
      <c r="O768" t="s">
        <v>1002</v>
      </c>
      <c r="P768">
        <v>52936902</v>
      </c>
    </row>
    <row r="769" spans="1:16" x14ac:dyDescent="0.35">
      <c r="A769">
        <v>93827212276</v>
      </c>
      <c r="C769" s="2" t="s">
        <v>883</v>
      </c>
      <c r="D769">
        <v>3</v>
      </c>
      <c r="E769">
        <v>76891213170</v>
      </c>
      <c r="F769">
        <f t="shared" ca="1" si="22"/>
        <v>53</v>
      </c>
      <c r="G769">
        <f ca="1">VLOOKUP(E769,PurchItem!$A$2:$H$508,8,0)</f>
        <v>1489.3829055012839</v>
      </c>
      <c r="H769">
        <v>0.04</v>
      </c>
      <c r="I769" t="s">
        <v>244</v>
      </c>
      <c r="J769" s="5">
        <v>45285.594524409724</v>
      </c>
      <c r="K769" s="5">
        <v>45289.189048819448</v>
      </c>
      <c r="M769">
        <f t="shared" si="23"/>
        <v>10029727506</v>
      </c>
      <c r="N769">
        <f ca="1">IF(M769&lt;&gt;M768,INDEX(CustInfo!$A$2:$A$1001,RANDBETWEEN(1,1000)),N768)</f>
        <v>11660</v>
      </c>
      <c r="O769" t="s">
        <v>1002</v>
      </c>
      <c r="P769">
        <v>52936903</v>
      </c>
    </row>
    <row r="770" spans="1:16" x14ac:dyDescent="0.35">
      <c r="A770">
        <v>93827212277</v>
      </c>
      <c r="C770" s="2" t="s">
        <v>883</v>
      </c>
      <c r="D770">
        <v>1</v>
      </c>
      <c r="E770">
        <v>76891213249</v>
      </c>
      <c r="F770">
        <f t="shared" ca="1" si="22"/>
        <v>83</v>
      </c>
      <c r="G770">
        <f ca="1">VLOOKUP(E770,PurchItem!$A$2:$H$508,8,0)</f>
        <v>8086.2832587876792</v>
      </c>
      <c r="H770">
        <v>0.04</v>
      </c>
      <c r="I770" t="s">
        <v>244</v>
      </c>
      <c r="J770" s="5">
        <v>44810.594524409724</v>
      </c>
      <c r="K770" s="5">
        <v>44813.189048819448</v>
      </c>
      <c r="M770">
        <f t="shared" si="23"/>
        <v>10029727507</v>
      </c>
      <c r="N770">
        <f ca="1">IF(M770&lt;&gt;M769,INDEX(CustInfo!$A$2:$A$1001,RANDBETWEEN(1,1000)),N769)</f>
        <v>11618</v>
      </c>
      <c r="O770" t="s">
        <v>1001</v>
      </c>
      <c r="P770">
        <v>52936904</v>
      </c>
    </row>
    <row r="771" spans="1:16" x14ac:dyDescent="0.35">
      <c r="A771">
        <v>93827212278</v>
      </c>
      <c r="C771" s="2" t="s">
        <v>883</v>
      </c>
      <c r="D771">
        <v>1</v>
      </c>
      <c r="E771">
        <v>76891213314</v>
      </c>
      <c r="F771">
        <f t="shared" ref="F771:F834" ca="1" si="24">RANDBETWEEN(1,100)</f>
        <v>4</v>
      </c>
      <c r="G771">
        <f ca="1">VLOOKUP(E771,PurchItem!$A$2:$H$508,8,0)</f>
        <v>8987.665477288343</v>
      </c>
      <c r="H771">
        <v>0.05</v>
      </c>
      <c r="I771" t="s">
        <v>244</v>
      </c>
      <c r="J771" s="5">
        <v>45538.594524409724</v>
      </c>
      <c r="K771" s="5">
        <v>45541.189048819448</v>
      </c>
      <c r="M771">
        <f t="shared" si="23"/>
        <v>10029727508</v>
      </c>
      <c r="N771">
        <f ca="1">IF(M771&lt;&gt;M770,INDEX(CustInfo!$A$2:$A$1001,RANDBETWEEN(1,1000)),N770)</f>
        <v>11324</v>
      </c>
      <c r="O771" t="s">
        <v>1002</v>
      </c>
      <c r="P771">
        <v>52936905</v>
      </c>
    </row>
    <row r="772" spans="1:16" x14ac:dyDescent="0.35">
      <c r="A772">
        <v>93827212278</v>
      </c>
      <c r="C772" s="2" t="s">
        <v>883</v>
      </c>
      <c r="D772">
        <v>2</v>
      </c>
      <c r="E772">
        <v>76891213248</v>
      </c>
      <c r="F772">
        <f t="shared" ca="1" si="24"/>
        <v>63</v>
      </c>
      <c r="G772">
        <f ca="1">VLOOKUP(E772,PurchItem!$A$2:$H$508,8,0)</f>
        <v>7373.7414077764288</v>
      </c>
      <c r="H772">
        <v>0.04</v>
      </c>
      <c r="I772" t="s">
        <v>244</v>
      </c>
      <c r="J772" s="5">
        <v>44634.594524409724</v>
      </c>
      <c r="K772" s="5">
        <v>44638.189048819448</v>
      </c>
      <c r="M772">
        <f t="shared" si="23"/>
        <v>10029727508</v>
      </c>
      <c r="N772">
        <f ca="1">IF(M772&lt;&gt;M771,INDEX(CustInfo!$A$2:$A$1001,RANDBETWEEN(1,1000)),N771)</f>
        <v>11324</v>
      </c>
      <c r="O772" t="s">
        <v>1002</v>
      </c>
      <c r="P772">
        <v>52936906</v>
      </c>
    </row>
    <row r="773" spans="1:16" x14ac:dyDescent="0.35">
      <c r="A773">
        <v>93827212279</v>
      </c>
      <c r="C773" s="2" t="s">
        <v>883</v>
      </c>
      <c r="D773">
        <v>1</v>
      </c>
      <c r="E773">
        <v>76891213194</v>
      </c>
      <c r="F773">
        <f t="shared" ca="1" si="24"/>
        <v>67</v>
      </c>
      <c r="G773">
        <f ca="1">VLOOKUP(E773,PurchItem!$A$2:$H$508,8,0)</f>
        <v>5025.963820946351</v>
      </c>
      <c r="H773">
        <v>0.04</v>
      </c>
      <c r="I773" t="s">
        <v>244</v>
      </c>
      <c r="J773" s="5">
        <v>44593.594524409724</v>
      </c>
      <c r="K773" s="5">
        <v>44594.189048819448</v>
      </c>
      <c r="M773">
        <f t="shared" ref="M773:M836" si="25">IF(A773&lt;&gt;A772,M772+1,M772)</f>
        <v>10029727509</v>
      </c>
      <c r="N773">
        <f ca="1">IF(M773&lt;&gt;M772,INDEX(CustInfo!$A$2:$A$1001,RANDBETWEEN(1,1000)),N772)</f>
        <v>11353</v>
      </c>
      <c r="O773" t="s">
        <v>1001</v>
      </c>
      <c r="P773">
        <v>52936907</v>
      </c>
    </row>
    <row r="774" spans="1:16" x14ac:dyDescent="0.35">
      <c r="A774">
        <v>93827212279</v>
      </c>
      <c r="C774" s="2" t="s">
        <v>883</v>
      </c>
      <c r="D774">
        <v>2</v>
      </c>
      <c r="E774">
        <v>76891213203</v>
      </c>
      <c r="F774">
        <f t="shared" ca="1" si="24"/>
        <v>88</v>
      </c>
      <c r="G774">
        <f ca="1">VLOOKUP(E774,PurchItem!$A$2:$H$508,8,0)</f>
        <v>9569.6271266199019</v>
      </c>
      <c r="H774">
        <v>0.04</v>
      </c>
      <c r="I774" t="s">
        <v>244</v>
      </c>
      <c r="J774" s="5">
        <v>44619.594524409724</v>
      </c>
      <c r="K774" s="5">
        <v>44621.189048819448</v>
      </c>
      <c r="M774">
        <f t="shared" si="25"/>
        <v>10029727509</v>
      </c>
      <c r="N774">
        <f ca="1">IF(M774&lt;&gt;M773,INDEX(CustInfo!$A$2:$A$1001,RANDBETWEEN(1,1000)),N773)</f>
        <v>11353</v>
      </c>
      <c r="O774" t="s">
        <v>1001</v>
      </c>
      <c r="P774">
        <v>52936908</v>
      </c>
    </row>
    <row r="775" spans="1:16" x14ac:dyDescent="0.35">
      <c r="A775">
        <v>93827212279</v>
      </c>
      <c r="C775" s="2" t="s">
        <v>883</v>
      </c>
      <c r="D775">
        <v>3</v>
      </c>
      <c r="E775">
        <v>76891213553</v>
      </c>
      <c r="F775">
        <f t="shared" ca="1" si="24"/>
        <v>48</v>
      </c>
      <c r="G775">
        <f ca="1">VLOOKUP(E775,PurchItem!$A$2:$H$508,8,0)</f>
        <v>6673.2582146081568</v>
      </c>
      <c r="H775">
        <v>0.06</v>
      </c>
      <c r="I775" t="s">
        <v>244</v>
      </c>
      <c r="J775" s="5">
        <v>45030.594524409724</v>
      </c>
      <c r="K775" s="5">
        <v>45034.189048819448</v>
      </c>
      <c r="M775">
        <f t="shared" si="25"/>
        <v>10029727509</v>
      </c>
      <c r="N775">
        <f ca="1">IF(M775&lt;&gt;M774,INDEX(CustInfo!$A$2:$A$1001,RANDBETWEEN(1,1000)),N774)</f>
        <v>11353</v>
      </c>
      <c r="O775" t="s">
        <v>1001</v>
      </c>
      <c r="P775">
        <v>52936909</v>
      </c>
    </row>
    <row r="776" spans="1:16" x14ac:dyDescent="0.35">
      <c r="A776">
        <v>93827212279</v>
      </c>
      <c r="C776" s="2" t="s">
        <v>883</v>
      </c>
      <c r="D776">
        <v>4</v>
      </c>
      <c r="E776">
        <v>76891213470</v>
      </c>
      <c r="F776">
        <f t="shared" ca="1" si="24"/>
        <v>100</v>
      </c>
      <c r="G776">
        <f ca="1">VLOOKUP(E776,PurchItem!$A$2:$H$508,8,0)</f>
        <v>2084.2612195739525</v>
      </c>
      <c r="H776">
        <v>0.06</v>
      </c>
      <c r="I776" t="s">
        <v>244</v>
      </c>
      <c r="J776" s="5">
        <v>45115.594524409724</v>
      </c>
      <c r="K776" s="5">
        <v>45118.189048819448</v>
      </c>
      <c r="M776">
        <f t="shared" si="25"/>
        <v>10029727509</v>
      </c>
      <c r="N776">
        <f ca="1">IF(M776&lt;&gt;M775,INDEX(CustInfo!$A$2:$A$1001,RANDBETWEEN(1,1000)),N775)</f>
        <v>11353</v>
      </c>
      <c r="O776" t="s">
        <v>1001</v>
      </c>
      <c r="P776">
        <v>52936910</v>
      </c>
    </row>
    <row r="777" spans="1:16" x14ac:dyDescent="0.35">
      <c r="A777">
        <v>93827212280</v>
      </c>
      <c r="C777" s="2" t="s">
        <v>883</v>
      </c>
      <c r="D777">
        <v>1</v>
      </c>
      <c r="E777">
        <v>76891213579</v>
      </c>
      <c r="F777">
        <f t="shared" ca="1" si="24"/>
        <v>68</v>
      </c>
      <c r="G777">
        <f ca="1">VLOOKUP(E777,PurchItem!$A$2:$H$508,8,0)</f>
        <v>7916.3108134357099</v>
      </c>
      <c r="H777">
        <v>0.04</v>
      </c>
      <c r="I777" t="s">
        <v>244</v>
      </c>
      <c r="J777" s="5">
        <v>44870.594524409724</v>
      </c>
      <c r="K777" s="5">
        <v>44873.189048819448</v>
      </c>
      <c r="M777">
        <f t="shared" si="25"/>
        <v>10029727510</v>
      </c>
      <c r="N777">
        <f ca="1">IF(M777&lt;&gt;M776,INDEX(CustInfo!$A$2:$A$1001,RANDBETWEEN(1,1000)),N776)</f>
        <v>11837</v>
      </c>
      <c r="O777" t="s">
        <v>1001</v>
      </c>
      <c r="P777">
        <v>52936911</v>
      </c>
    </row>
    <row r="778" spans="1:16" x14ac:dyDescent="0.35">
      <c r="A778">
        <v>93827212280</v>
      </c>
      <c r="C778" s="2" t="s">
        <v>883</v>
      </c>
      <c r="D778">
        <v>2</v>
      </c>
      <c r="E778">
        <v>76891213162</v>
      </c>
      <c r="F778">
        <f t="shared" ca="1" si="24"/>
        <v>94</v>
      </c>
      <c r="G778">
        <f ca="1">VLOOKUP(E778,PurchItem!$A$2:$H$508,8,0)</f>
        <v>4691.9230552298568</v>
      </c>
      <c r="H778">
        <v>0.06</v>
      </c>
      <c r="I778" t="s">
        <v>244</v>
      </c>
      <c r="J778" s="5">
        <v>44601.594524409724</v>
      </c>
      <c r="K778" s="5">
        <v>44602.189048819448</v>
      </c>
      <c r="M778">
        <f t="shared" si="25"/>
        <v>10029727510</v>
      </c>
      <c r="N778">
        <f ca="1">IF(M778&lt;&gt;M777,INDEX(CustInfo!$A$2:$A$1001,RANDBETWEEN(1,1000)),N777)</f>
        <v>11837</v>
      </c>
      <c r="O778" t="s">
        <v>1001</v>
      </c>
      <c r="P778">
        <v>52936912</v>
      </c>
    </row>
    <row r="779" spans="1:16" x14ac:dyDescent="0.35">
      <c r="A779">
        <v>93827212280</v>
      </c>
      <c r="C779" s="2" t="s">
        <v>883</v>
      </c>
      <c r="D779">
        <v>3</v>
      </c>
      <c r="E779">
        <v>76891213286</v>
      </c>
      <c r="F779">
        <f t="shared" ca="1" si="24"/>
        <v>85</v>
      </c>
      <c r="G779">
        <f ca="1">VLOOKUP(E779,PurchItem!$A$2:$H$508,8,0)</f>
        <v>1704.9939045740014</v>
      </c>
      <c r="H779">
        <v>0.04</v>
      </c>
      <c r="I779" t="s">
        <v>244</v>
      </c>
      <c r="J779" s="5">
        <v>44933.594524409724</v>
      </c>
      <c r="K779" s="5">
        <v>44935.189048819448</v>
      </c>
      <c r="M779">
        <f t="shared" si="25"/>
        <v>10029727510</v>
      </c>
      <c r="N779">
        <f ca="1">IF(M779&lt;&gt;M778,INDEX(CustInfo!$A$2:$A$1001,RANDBETWEEN(1,1000)),N778)</f>
        <v>11837</v>
      </c>
      <c r="O779" t="s">
        <v>1001</v>
      </c>
      <c r="P779">
        <v>52936913</v>
      </c>
    </row>
    <row r="780" spans="1:16" x14ac:dyDescent="0.35">
      <c r="A780">
        <v>93827212281</v>
      </c>
      <c r="C780" s="2" t="s">
        <v>883</v>
      </c>
      <c r="D780">
        <v>1</v>
      </c>
      <c r="E780">
        <v>76891213172</v>
      </c>
      <c r="F780">
        <f t="shared" ca="1" si="24"/>
        <v>61</v>
      </c>
      <c r="G780">
        <f ca="1">VLOOKUP(E780,PurchItem!$A$2:$H$508,8,0)</f>
        <v>942.3837622618131</v>
      </c>
      <c r="H780">
        <v>0.05</v>
      </c>
      <c r="I780" t="s">
        <v>244</v>
      </c>
      <c r="J780" s="5">
        <v>45524.594524409724</v>
      </c>
      <c r="K780" s="5">
        <v>45525.189048819448</v>
      </c>
      <c r="M780">
        <f t="shared" si="25"/>
        <v>10029727511</v>
      </c>
      <c r="N780">
        <f ca="1">IF(M780&lt;&gt;M779,INDEX(CustInfo!$A$2:$A$1001,RANDBETWEEN(1,1000)),N779)</f>
        <v>11384</v>
      </c>
      <c r="O780" t="s">
        <v>1003</v>
      </c>
      <c r="P780">
        <v>52936914</v>
      </c>
    </row>
    <row r="781" spans="1:16" x14ac:dyDescent="0.35">
      <c r="A781">
        <v>93827212281</v>
      </c>
      <c r="C781" s="2" t="s">
        <v>883</v>
      </c>
      <c r="D781">
        <v>2</v>
      </c>
      <c r="E781">
        <v>76891213504</v>
      </c>
      <c r="F781">
        <f t="shared" ca="1" si="24"/>
        <v>91</v>
      </c>
      <c r="G781">
        <f ca="1">VLOOKUP(E781,PurchItem!$A$2:$H$508,8,0)</f>
        <v>409.7900781188219</v>
      </c>
      <c r="H781">
        <v>0.04</v>
      </c>
      <c r="I781" t="s">
        <v>244</v>
      </c>
      <c r="J781" s="5">
        <v>45282.594524409724</v>
      </c>
      <c r="K781" s="5">
        <v>45283.189048819448</v>
      </c>
      <c r="M781">
        <f t="shared" si="25"/>
        <v>10029727511</v>
      </c>
      <c r="N781">
        <f ca="1">IF(M781&lt;&gt;M780,INDEX(CustInfo!$A$2:$A$1001,RANDBETWEEN(1,1000)),N780)</f>
        <v>11384</v>
      </c>
      <c r="O781" t="s">
        <v>1003</v>
      </c>
      <c r="P781">
        <v>52936915</v>
      </c>
    </row>
    <row r="782" spans="1:16" x14ac:dyDescent="0.35">
      <c r="A782">
        <v>93827212282</v>
      </c>
      <c r="C782" s="2" t="s">
        <v>883</v>
      </c>
      <c r="D782">
        <v>1</v>
      </c>
      <c r="E782">
        <v>76891213151</v>
      </c>
      <c r="F782">
        <f t="shared" ca="1" si="24"/>
        <v>71</v>
      </c>
      <c r="G782">
        <f ca="1">VLOOKUP(E782,PurchItem!$A$2:$H$508,8,0)</f>
        <v>6578.9489505152096</v>
      </c>
      <c r="H782">
        <v>0.06</v>
      </c>
      <c r="I782" t="s">
        <v>244</v>
      </c>
      <c r="J782" s="5">
        <v>44715.594524409724</v>
      </c>
      <c r="K782" s="5">
        <v>44719.189048819448</v>
      </c>
      <c r="M782">
        <f t="shared" si="25"/>
        <v>10029727512</v>
      </c>
      <c r="N782">
        <f ca="1">IF(M782&lt;&gt;M781,INDEX(CustInfo!$A$2:$A$1001,RANDBETWEEN(1,1000)),N781)</f>
        <v>11477</v>
      </c>
      <c r="O782" t="s">
        <v>1002</v>
      </c>
      <c r="P782">
        <v>52936916</v>
      </c>
    </row>
    <row r="783" spans="1:16" x14ac:dyDescent="0.35">
      <c r="A783">
        <v>93827212282</v>
      </c>
      <c r="C783" s="2" t="s">
        <v>883</v>
      </c>
      <c r="D783">
        <v>2</v>
      </c>
      <c r="E783">
        <v>76891213348</v>
      </c>
      <c r="F783">
        <f t="shared" ca="1" si="24"/>
        <v>82</v>
      </c>
      <c r="G783">
        <f ca="1">VLOOKUP(E783,PurchItem!$A$2:$H$508,8,0)</f>
        <v>6169.9839706707698</v>
      </c>
      <c r="H783">
        <v>0.06</v>
      </c>
      <c r="I783" t="s">
        <v>244</v>
      </c>
      <c r="J783" s="5">
        <v>44983.594524409724</v>
      </c>
      <c r="K783" s="5">
        <v>44986.189048819448</v>
      </c>
      <c r="M783">
        <f t="shared" si="25"/>
        <v>10029727512</v>
      </c>
      <c r="N783">
        <f ca="1">IF(M783&lt;&gt;M782,INDEX(CustInfo!$A$2:$A$1001,RANDBETWEEN(1,1000)),N782)</f>
        <v>11477</v>
      </c>
      <c r="O783" t="s">
        <v>1002</v>
      </c>
      <c r="P783">
        <v>52936917</v>
      </c>
    </row>
    <row r="784" spans="1:16" x14ac:dyDescent="0.35">
      <c r="A784">
        <v>93827212282</v>
      </c>
      <c r="C784" s="2" t="s">
        <v>883</v>
      </c>
      <c r="D784">
        <v>3</v>
      </c>
      <c r="E784">
        <v>76891213391</v>
      </c>
      <c r="F784">
        <f t="shared" ca="1" si="24"/>
        <v>30</v>
      </c>
      <c r="G784">
        <f ca="1">VLOOKUP(E784,PurchItem!$A$2:$H$508,8,0)</f>
        <v>3029.6020190014342</v>
      </c>
      <c r="H784">
        <v>0.04</v>
      </c>
      <c r="I784" t="s">
        <v>244</v>
      </c>
      <c r="J784" s="5">
        <v>45193.594524409724</v>
      </c>
      <c r="K784" s="5">
        <v>45195.189048819448</v>
      </c>
      <c r="M784">
        <f t="shared" si="25"/>
        <v>10029727512</v>
      </c>
      <c r="N784">
        <f ca="1">IF(M784&lt;&gt;M783,INDEX(CustInfo!$A$2:$A$1001,RANDBETWEEN(1,1000)),N783)</f>
        <v>11477</v>
      </c>
      <c r="O784" t="s">
        <v>1002</v>
      </c>
      <c r="P784">
        <v>52936918</v>
      </c>
    </row>
    <row r="785" spans="1:16" x14ac:dyDescent="0.35">
      <c r="A785">
        <v>93827212282</v>
      </c>
      <c r="C785" s="2" t="s">
        <v>883</v>
      </c>
      <c r="D785">
        <v>4</v>
      </c>
      <c r="E785">
        <v>76891213182</v>
      </c>
      <c r="F785">
        <f t="shared" ca="1" si="24"/>
        <v>74</v>
      </c>
      <c r="G785">
        <f ca="1">VLOOKUP(E785,PurchItem!$A$2:$H$508,8,0)</f>
        <v>6993.4676440309404</v>
      </c>
      <c r="H785">
        <v>0.05</v>
      </c>
      <c r="I785" t="s">
        <v>244</v>
      </c>
      <c r="J785" s="5">
        <v>44916.594524409724</v>
      </c>
      <c r="K785" s="5">
        <v>44920.189048819448</v>
      </c>
      <c r="M785">
        <f t="shared" si="25"/>
        <v>10029727512</v>
      </c>
      <c r="N785">
        <f ca="1">IF(M785&lt;&gt;M784,INDEX(CustInfo!$A$2:$A$1001,RANDBETWEEN(1,1000)),N784)</f>
        <v>11477</v>
      </c>
      <c r="O785" t="s">
        <v>1002</v>
      </c>
      <c r="P785">
        <v>52936919</v>
      </c>
    </row>
    <row r="786" spans="1:16" x14ac:dyDescent="0.35">
      <c r="A786">
        <v>93827212283</v>
      </c>
      <c r="C786" s="2" t="s">
        <v>883</v>
      </c>
      <c r="D786">
        <v>1</v>
      </c>
      <c r="E786">
        <v>76891213484</v>
      </c>
      <c r="F786">
        <f t="shared" ca="1" si="24"/>
        <v>99</v>
      </c>
      <c r="G786">
        <f ca="1">VLOOKUP(E786,PurchItem!$A$2:$H$508,8,0)</f>
        <v>6278.4735130598492</v>
      </c>
      <c r="H786">
        <v>0.05</v>
      </c>
      <c r="I786" t="s">
        <v>244</v>
      </c>
      <c r="J786" s="5">
        <v>44860.594524409724</v>
      </c>
      <c r="K786" s="5">
        <v>44863.189048819448</v>
      </c>
      <c r="M786">
        <f t="shared" si="25"/>
        <v>10029727513</v>
      </c>
      <c r="N786">
        <f ca="1">IF(M786&lt;&gt;M785,INDEX(CustInfo!$A$2:$A$1001,RANDBETWEEN(1,1000)),N785)</f>
        <v>11363</v>
      </c>
      <c r="O786" t="s">
        <v>1001</v>
      </c>
      <c r="P786">
        <v>52936920</v>
      </c>
    </row>
    <row r="787" spans="1:16" x14ac:dyDescent="0.35">
      <c r="A787">
        <v>93827212283</v>
      </c>
      <c r="C787" s="2" t="s">
        <v>883</v>
      </c>
      <c r="D787">
        <v>2</v>
      </c>
      <c r="E787">
        <v>76891213516</v>
      </c>
      <c r="F787">
        <f t="shared" ca="1" si="24"/>
        <v>95</v>
      </c>
      <c r="G787">
        <f ca="1">VLOOKUP(E787,PurchItem!$A$2:$H$508,8,0)</f>
        <v>6085.3230799454695</v>
      </c>
      <c r="H787">
        <v>0.04</v>
      </c>
      <c r="I787" t="s">
        <v>244</v>
      </c>
      <c r="J787" s="5">
        <v>45302.594524409724</v>
      </c>
      <c r="K787" s="5">
        <v>45304.189048819448</v>
      </c>
      <c r="M787">
        <f t="shared" si="25"/>
        <v>10029727513</v>
      </c>
      <c r="N787">
        <f ca="1">IF(M787&lt;&gt;M786,INDEX(CustInfo!$A$2:$A$1001,RANDBETWEEN(1,1000)),N786)</f>
        <v>11363</v>
      </c>
      <c r="O787" t="s">
        <v>1001</v>
      </c>
      <c r="P787">
        <v>52936921</v>
      </c>
    </row>
    <row r="788" spans="1:16" x14ac:dyDescent="0.35">
      <c r="A788">
        <v>93827212283</v>
      </c>
      <c r="C788" s="2" t="s">
        <v>883</v>
      </c>
      <c r="D788">
        <v>3</v>
      </c>
      <c r="E788">
        <v>76891213344</v>
      </c>
      <c r="F788">
        <f t="shared" ca="1" si="24"/>
        <v>81</v>
      </c>
      <c r="G788">
        <f ca="1">VLOOKUP(E788,PurchItem!$A$2:$H$508,8,0)</f>
        <v>552.4163551482618</v>
      </c>
      <c r="H788">
        <v>0.06</v>
      </c>
      <c r="I788" t="s">
        <v>244</v>
      </c>
      <c r="J788" s="5">
        <v>44900.594524409724</v>
      </c>
      <c r="K788" s="5">
        <v>44903.189048819448</v>
      </c>
      <c r="M788">
        <f t="shared" si="25"/>
        <v>10029727513</v>
      </c>
      <c r="N788">
        <f ca="1">IF(M788&lt;&gt;M787,INDEX(CustInfo!$A$2:$A$1001,RANDBETWEEN(1,1000)),N787)</f>
        <v>11363</v>
      </c>
      <c r="O788" t="s">
        <v>1001</v>
      </c>
      <c r="P788">
        <v>52936922</v>
      </c>
    </row>
    <row r="789" spans="1:16" x14ac:dyDescent="0.35">
      <c r="A789">
        <v>93827212284</v>
      </c>
      <c r="C789" s="2" t="s">
        <v>883</v>
      </c>
      <c r="D789">
        <v>1</v>
      </c>
      <c r="E789">
        <v>76891213314</v>
      </c>
      <c r="F789">
        <f t="shared" ca="1" si="24"/>
        <v>38</v>
      </c>
      <c r="G789">
        <f ca="1">VLOOKUP(E789,PurchItem!$A$2:$H$508,8,0)</f>
        <v>8987.665477288343</v>
      </c>
      <c r="H789">
        <v>0.04</v>
      </c>
      <c r="I789" t="s">
        <v>244</v>
      </c>
      <c r="J789" s="5">
        <v>44643.594524409724</v>
      </c>
      <c r="K789" s="5">
        <v>44646.189048819448</v>
      </c>
      <c r="M789">
        <f t="shared" si="25"/>
        <v>10029727514</v>
      </c>
      <c r="N789">
        <f ca="1">IF(M789&lt;&gt;M788,INDEX(CustInfo!$A$2:$A$1001,RANDBETWEEN(1,1000)),N788)</f>
        <v>11264</v>
      </c>
      <c r="O789" t="s">
        <v>1003</v>
      </c>
      <c r="P789">
        <v>52936923</v>
      </c>
    </row>
    <row r="790" spans="1:16" x14ac:dyDescent="0.35">
      <c r="A790">
        <v>93827212284</v>
      </c>
      <c r="C790" s="2" t="s">
        <v>883</v>
      </c>
      <c r="D790">
        <v>2</v>
      </c>
      <c r="E790">
        <v>76891213379</v>
      </c>
      <c r="F790">
        <f t="shared" ca="1" si="24"/>
        <v>71</v>
      </c>
      <c r="G790">
        <f ca="1">VLOOKUP(E790,PurchItem!$A$2:$H$508,8,0)</f>
        <v>2648.7341541892197</v>
      </c>
      <c r="H790">
        <v>0.05</v>
      </c>
      <c r="I790" t="s">
        <v>244</v>
      </c>
      <c r="J790" s="5">
        <v>45037.594524409724</v>
      </c>
      <c r="K790" s="5">
        <v>45041.189048819448</v>
      </c>
      <c r="M790">
        <f t="shared" si="25"/>
        <v>10029727514</v>
      </c>
      <c r="N790">
        <f ca="1">IF(M790&lt;&gt;M789,INDEX(CustInfo!$A$2:$A$1001,RANDBETWEEN(1,1000)),N789)</f>
        <v>11264</v>
      </c>
      <c r="O790" t="s">
        <v>1003</v>
      </c>
      <c r="P790">
        <v>52936924</v>
      </c>
    </row>
    <row r="791" spans="1:16" x14ac:dyDescent="0.35">
      <c r="A791">
        <v>93827212284</v>
      </c>
      <c r="C791" s="2" t="s">
        <v>883</v>
      </c>
      <c r="D791">
        <v>3</v>
      </c>
      <c r="E791">
        <v>76891213251</v>
      </c>
      <c r="F791">
        <f t="shared" ca="1" si="24"/>
        <v>29</v>
      </c>
      <c r="G791">
        <f ca="1">VLOOKUP(E791,PurchItem!$A$2:$H$508,8,0)</f>
        <v>1404.0728362642287</v>
      </c>
      <c r="H791">
        <v>0.06</v>
      </c>
      <c r="I791" t="s">
        <v>244</v>
      </c>
      <c r="J791" s="5">
        <v>44675.594524409724</v>
      </c>
      <c r="K791" s="5">
        <v>44678.189048819448</v>
      </c>
      <c r="M791">
        <f t="shared" si="25"/>
        <v>10029727514</v>
      </c>
      <c r="N791">
        <f ca="1">IF(M791&lt;&gt;M790,INDEX(CustInfo!$A$2:$A$1001,RANDBETWEEN(1,1000)),N790)</f>
        <v>11264</v>
      </c>
      <c r="O791" t="s">
        <v>1003</v>
      </c>
      <c r="P791">
        <v>52936925</v>
      </c>
    </row>
    <row r="792" spans="1:16" x14ac:dyDescent="0.35">
      <c r="A792">
        <v>93827212285</v>
      </c>
      <c r="C792" s="2" t="s">
        <v>883</v>
      </c>
      <c r="D792">
        <v>1</v>
      </c>
      <c r="E792">
        <v>76891213180</v>
      </c>
      <c r="F792">
        <f t="shared" ca="1" si="24"/>
        <v>11</v>
      </c>
      <c r="G792">
        <f ca="1">VLOOKUP(E792,PurchItem!$A$2:$H$508,8,0)</f>
        <v>3521.2371052414392</v>
      </c>
      <c r="H792">
        <v>0.04</v>
      </c>
      <c r="I792" t="s">
        <v>244</v>
      </c>
      <c r="J792" s="5">
        <v>45258.594524409724</v>
      </c>
      <c r="K792" s="5">
        <v>45260.189048819448</v>
      </c>
      <c r="M792">
        <f t="shared" si="25"/>
        <v>10029727515</v>
      </c>
      <c r="N792">
        <f ca="1">IF(M792&lt;&gt;M791,INDEX(CustInfo!$A$2:$A$1001,RANDBETWEEN(1,1000)),N791)</f>
        <v>11209</v>
      </c>
      <c r="O792" t="s">
        <v>1003</v>
      </c>
      <c r="P792">
        <v>52936926</v>
      </c>
    </row>
    <row r="793" spans="1:16" x14ac:dyDescent="0.35">
      <c r="A793">
        <v>93827212285</v>
      </c>
      <c r="C793" s="2" t="s">
        <v>883</v>
      </c>
      <c r="D793">
        <v>2</v>
      </c>
      <c r="E793">
        <v>76891213230</v>
      </c>
      <c r="F793">
        <f t="shared" ca="1" si="24"/>
        <v>52</v>
      </c>
      <c r="G793">
        <f ca="1">VLOOKUP(E793,PurchItem!$A$2:$H$508,8,0)</f>
        <v>3755.1895040007321</v>
      </c>
      <c r="H793">
        <v>0.05</v>
      </c>
      <c r="I793" t="s">
        <v>244</v>
      </c>
      <c r="J793" s="5">
        <v>44574.594524409724</v>
      </c>
      <c r="K793" s="5">
        <v>44578.189048819448</v>
      </c>
      <c r="M793">
        <f t="shared" si="25"/>
        <v>10029727515</v>
      </c>
      <c r="N793">
        <f ca="1">IF(M793&lt;&gt;M792,INDEX(CustInfo!$A$2:$A$1001,RANDBETWEEN(1,1000)),N792)</f>
        <v>11209</v>
      </c>
      <c r="O793" t="s">
        <v>1003</v>
      </c>
      <c r="P793">
        <v>52936927</v>
      </c>
    </row>
    <row r="794" spans="1:16" x14ac:dyDescent="0.35">
      <c r="A794">
        <v>93827212285</v>
      </c>
      <c r="C794" s="2" t="s">
        <v>883</v>
      </c>
      <c r="D794">
        <v>3</v>
      </c>
      <c r="E794">
        <v>76891213398</v>
      </c>
      <c r="F794">
        <f t="shared" ca="1" si="24"/>
        <v>65</v>
      </c>
      <c r="G794">
        <f ca="1">VLOOKUP(E794,PurchItem!$A$2:$H$508,8,0)</f>
        <v>5671.349698118911</v>
      </c>
      <c r="H794">
        <v>0.04</v>
      </c>
      <c r="I794" t="s">
        <v>244</v>
      </c>
      <c r="J794" s="5">
        <v>44983.594524409724</v>
      </c>
      <c r="K794" s="5">
        <v>44987.189048819448</v>
      </c>
      <c r="M794">
        <f t="shared" si="25"/>
        <v>10029727515</v>
      </c>
      <c r="N794">
        <f ca="1">IF(M794&lt;&gt;M793,INDEX(CustInfo!$A$2:$A$1001,RANDBETWEEN(1,1000)),N793)</f>
        <v>11209</v>
      </c>
      <c r="O794" t="s">
        <v>1003</v>
      </c>
      <c r="P794">
        <v>52936928</v>
      </c>
    </row>
    <row r="795" spans="1:16" x14ac:dyDescent="0.35">
      <c r="A795">
        <v>93827212285</v>
      </c>
      <c r="C795" s="2" t="s">
        <v>883</v>
      </c>
      <c r="D795">
        <v>4</v>
      </c>
      <c r="E795">
        <v>76891213584</v>
      </c>
      <c r="F795">
        <f t="shared" ca="1" si="24"/>
        <v>32</v>
      </c>
      <c r="G795">
        <f ca="1">VLOOKUP(E795,PurchItem!$A$2:$H$508,8,0)</f>
        <v>6945.1848902307947</v>
      </c>
      <c r="H795">
        <v>0.04</v>
      </c>
      <c r="I795" t="s">
        <v>244</v>
      </c>
      <c r="J795" s="5">
        <v>45473.594524409724</v>
      </c>
      <c r="K795" s="5">
        <v>45477.189048819448</v>
      </c>
      <c r="M795">
        <f t="shared" si="25"/>
        <v>10029727515</v>
      </c>
      <c r="N795">
        <f ca="1">IF(M795&lt;&gt;M794,INDEX(CustInfo!$A$2:$A$1001,RANDBETWEEN(1,1000)),N794)</f>
        <v>11209</v>
      </c>
      <c r="O795" t="s">
        <v>1003</v>
      </c>
      <c r="P795">
        <v>52936929</v>
      </c>
    </row>
    <row r="796" spans="1:16" x14ac:dyDescent="0.35">
      <c r="A796">
        <v>93827212286</v>
      </c>
      <c r="C796" s="2" t="s">
        <v>883</v>
      </c>
      <c r="D796">
        <v>1</v>
      </c>
      <c r="E796">
        <v>76891213506</v>
      </c>
      <c r="F796">
        <f t="shared" ca="1" si="24"/>
        <v>100</v>
      </c>
      <c r="G796">
        <f ca="1">VLOOKUP(E796,PurchItem!$A$2:$H$508,8,0)</f>
        <v>6924.1684247755047</v>
      </c>
      <c r="H796">
        <v>0.06</v>
      </c>
      <c r="I796" t="s">
        <v>244</v>
      </c>
      <c r="J796" s="5">
        <v>44581.594524409724</v>
      </c>
      <c r="K796" s="5">
        <v>44583.189048819448</v>
      </c>
      <c r="M796">
        <f t="shared" si="25"/>
        <v>10029727516</v>
      </c>
      <c r="N796">
        <f ca="1">IF(M796&lt;&gt;M795,INDEX(CustInfo!$A$2:$A$1001,RANDBETWEEN(1,1000)),N795)</f>
        <v>11750</v>
      </c>
      <c r="O796" t="s">
        <v>1001</v>
      </c>
      <c r="P796">
        <v>52936930</v>
      </c>
    </row>
    <row r="797" spans="1:16" x14ac:dyDescent="0.35">
      <c r="A797">
        <v>93827212286</v>
      </c>
      <c r="C797" s="2" t="s">
        <v>883</v>
      </c>
      <c r="D797">
        <v>2</v>
      </c>
      <c r="E797">
        <v>76891213258</v>
      </c>
      <c r="F797">
        <f t="shared" ca="1" si="24"/>
        <v>23</v>
      </c>
      <c r="G797">
        <f ca="1">VLOOKUP(E797,PurchItem!$A$2:$H$508,8,0)</f>
        <v>9972.7799020097536</v>
      </c>
      <c r="H797">
        <v>0.04</v>
      </c>
      <c r="I797" t="s">
        <v>244</v>
      </c>
      <c r="J797" s="5">
        <v>45270.594524409724</v>
      </c>
      <c r="K797" s="5">
        <v>45273.189048819448</v>
      </c>
      <c r="M797">
        <f t="shared" si="25"/>
        <v>10029727516</v>
      </c>
      <c r="N797">
        <f ca="1">IF(M797&lt;&gt;M796,INDEX(CustInfo!$A$2:$A$1001,RANDBETWEEN(1,1000)),N796)</f>
        <v>11750</v>
      </c>
      <c r="O797" t="s">
        <v>1001</v>
      </c>
      <c r="P797">
        <v>52936931</v>
      </c>
    </row>
    <row r="798" spans="1:16" x14ac:dyDescent="0.35">
      <c r="A798">
        <v>93827212286</v>
      </c>
      <c r="C798" s="2" t="s">
        <v>883</v>
      </c>
      <c r="D798">
        <v>3</v>
      </c>
      <c r="E798">
        <v>76891213159</v>
      </c>
      <c r="F798">
        <f t="shared" ca="1" si="24"/>
        <v>27</v>
      </c>
      <c r="G798">
        <f ca="1">VLOOKUP(E798,PurchItem!$A$2:$H$508,8,0)</f>
        <v>1020.1296091286805</v>
      </c>
      <c r="H798">
        <v>0.06</v>
      </c>
      <c r="I798" t="s">
        <v>244</v>
      </c>
      <c r="J798" s="5">
        <v>45021.594524409724</v>
      </c>
      <c r="K798" s="5">
        <v>45024.189048819448</v>
      </c>
      <c r="M798">
        <f t="shared" si="25"/>
        <v>10029727516</v>
      </c>
      <c r="N798">
        <f ca="1">IF(M798&lt;&gt;M797,INDEX(CustInfo!$A$2:$A$1001,RANDBETWEEN(1,1000)),N797)</f>
        <v>11750</v>
      </c>
      <c r="O798" t="s">
        <v>1001</v>
      </c>
      <c r="P798">
        <v>52936932</v>
      </c>
    </row>
    <row r="799" spans="1:16" x14ac:dyDescent="0.35">
      <c r="A799">
        <v>93827212286</v>
      </c>
      <c r="C799" s="2" t="s">
        <v>883</v>
      </c>
      <c r="D799">
        <v>4</v>
      </c>
      <c r="E799">
        <v>76891213379</v>
      </c>
      <c r="F799">
        <f t="shared" ca="1" si="24"/>
        <v>20</v>
      </c>
      <c r="G799">
        <f ca="1">VLOOKUP(E799,PurchItem!$A$2:$H$508,8,0)</f>
        <v>2648.7341541892197</v>
      </c>
      <c r="H799">
        <v>0.06</v>
      </c>
      <c r="I799" t="s">
        <v>244</v>
      </c>
      <c r="J799" s="5">
        <v>45272.594524409724</v>
      </c>
      <c r="K799" s="5">
        <v>45276.189048819448</v>
      </c>
      <c r="M799">
        <f t="shared" si="25"/>
        <v>10029727516</v>
      </c>
      <c r="N799">
        <f ca="1">IF(M799&lt;&gt;M798,INDEX(CustInfo!$A$2:$A$1001,RANDBETWEEN(1,1000)),N798)</f>
        <v>11750</v>
      </c>
      <c r="O799" t="s">
        <v>1001</v>
      </c>
      <c r="P799">
        <v>52936933</v>
      </c>
    </row>
    <row r="800" spans="1:16" x14ac:dyDescent="0.35">
      <c r="A800">
        <v>93827212287</v>
      </c>
      <c r="C800" s="2" t="s">
        <v>883</v>
      </c>
      <c r="D800">
        <v>1</v>
      </c>
      <c r="E800">
        <v>76891213192</v>
      </c>
      <c r="F800">
        <f t="shared" ca="1" si="24"/>
        <v>53</v>
      </c>
      <c r="G800">
        <f ca="1">VLOOKUP(E800,PurchItem!$A$2:$H$508,8,0)</f>
        <v>6234.1103190362737</v>
      </c>
      <c r="H800">
        <v>0.04</v>
      </c>
      <c r="I800" t="s">
        <v>244</v>
      </c>
      <c r="J800" s="5">
        <v>45588.594524409724</v>
      </c>
      <c r="K800" s="5">
        <v>45589.189048819448</v>
      </c>
      <c r="M800">
        <f t="shared" si="25"/>
        <v>10029727517</v>
      </c>
      <c r="N800">
        <f ca="1">IF(M800&lt;&gt;M799,INDEX(CustInfo!$A$2:$A$1001,RANDBETWEEN(1,1000)),N799)</f>
        <v>11036</v>
      </c>
      <c r="O800" t="s">
        <v>1003</v>
      </c>
      <c r="P800">
        <v>52936934</v>
      </c>
    </row>
    <row r="801" spans="1:16" x14ac:dyDescent="0.35">
      <c r="A801">
        <v>93827212287</v>
      </c>
      <c r="C801" s="2" t="s">
        <v>883</v>
      </c>
      <c r="D801">
        <v>2</v>
      </c>
      <c r="E801">
        <v>76891213368</v>
      </c>
      <c r="F801">
        <f t="shared" ca="1" si="24"/>
        <v>83</v>
      </c>
      <c r="G801">
        <f ca="1">VLOOKUP(E801,PurchItem!$A$2:$H$508,8,0)</f>
        <v>3312.7979678593924</v>
      </c>
      <c r="H801">
        <v>0.06</v>
      </c>
      <c r="I801" t="s">
        <v>244</v>
      </c>
      <c r="J801" s="5">
        <v>45390.594524409724</v>
      </c>
      <c r="K801" s="5">
        <v>45392.189048819448</v>
      </c>
      <c r="M801">
        <f t="shared" si="25"/>
        <v>10029727517</v>
      </c>
      <c r="N801">
        <f ca="1">IF(M801&lt;&gt;M800,INDEX(CustInfo!$A$2:$A$1001,RANDBETWEEN(1,1000)),N800)</f>
        <v>11036</v>
      </c>
      <c r="O801" t="s">
        <v>1003</v>
      </c>
      <c r="P801">
        <v>52936935</v>
      </c>
    </row>
    <row r="802" spans="1:16" x14ac:dyDescent="0.35">
      <c r="A802">
        <v>93827212288</v>
      </c>
      <c r="C802" s="2" t="s">
        <v>883</v>
      </c>
      <c r="D802">
        <v>1</v>
      </c>
      <c r="E802">
        <v>76891213204</v>
      </c>
      <c r="F802">
        <f t="shared" ca="1" si="24"/>
        <v>62</v>
      </c>
      <c r="G802">
        <f ca="1">VLOOKUP(E802,PurchItem!$A$2:$H$508,8,0)</f>
        <v>463.02454813375948</v>
      </c>
      <c r="H802">
        <v>0.06</v>
      </c>
      <c r="I802" t="s">
        <v>244</v>
      </c>
      <c r="J802" s="5">
        <v>44750.594524409724</v>
      </c>
      <c r="K802" s="5">
        <v>44751.189048819448</v>
      </c>
      <c r="M802">
        <f t="shared" si="25"/>
        <v>10029727518</v>
      </c>
      <c r="N802">
        <f ca="1">IF(M802&lt;&gt;M801,INDEX(CustInfo!$A$2:$A$1001,RANDBETWEEN(1,1000)),N801)</f>
        <v>11968</v>
      </c>
      <c r="O802" t="s">
        <v>1001</v>
      </c>
      <c r="P802">
        <v>52936936</v>
      </c>
    </row>
    <row r="803" spans="1:16" x14ac:dyDescent="0.35">
      <c r="A803">
        <v>93827212289</v>
      </c>
      <c r="C803" s="2" t="s">
        <v>883</v>
      </c>
      <c r="D803">
        <v>1</v>
      </c>
      <c r="E803">
        <v>76891213413</v>
      </c>
      <c r="F803">
        <f t="shared" ca="1" si="24"/>
        <v>65</v>
      </c>
      <c r="G803">
        <f ca="1">VLOOKUP(E803,PurchItem!$A$2:$H$508,8,0)</f>
        <v>5860.803601844581</v>
      </c>
      <c r="H803">
        <v>0.05</v>
      </c>
      <c r="I803" t="s">
        <v>244</v>
      </c>
      <c r="J803" s="5">
        <v>44693.594524409724</v>
      </c>
      <c r="K803" s="5">
        <v>44694.189048819448</v>
      </c>
      <c r="M803">
        <f t="shared" si="25"/>
        <v>10029727519</v>
      </c>
      <c r="N803">
        <f ca="1">IF(M803&lt;&gt;M802,INDEX(CustInfo!$A$2:$A$1001,RANDBETWEEN(1,1000)),N802)</f>
        <v>11142</v>
      </c>
      <c r="O803" t="s">
        <v>1002</v>
      </c>
      <c r="P803">
        <v>52936937</v>
      </c>
    </row>
    <row r="804" spans="1:16" x14ac:dyDescent="0.35">
      <c r="A804">
        <v>93827212289</v>
      </c>
      <c r="C804" s="2" t="s">
        <v>883</v>
      </c>
      <c r="D804">
        <v>2</v>
      </c>
      <c r="E804">
        <v>76891213509</v>
      </c>
      <c r="F804">
        <f t="shared" ca="1" si="24"/>
        <v>69</v>
      </c>
      <c r="G804">
        <f ca="1">VLOOKUP(E804,PurchItem!$A$2:$H$508,8,0)</f>
        <v>8828.2564542238288</v>
      </c>
      <c r="H804">
        <v>0.06</v>
      </c>
      <c r="I804" t="s">
        <v>244</v>
      </c>
      <c r="J804" s="5">
        <v>44659.594524409724</v>
      </c>
      <c r="K804" s="5">
        <v>44663.189048819448</v>
      </c>
      <c r="M804">
        <f t="shared" si="25"/>
        <v>10029727519</v>
      </c>
      <c r="N804">
        <f ca="1">IF(M804&lt;&gt;M803,INDEX(CustInfo!$A$2:$A$1001,RANDBETWEEN(1,1000)),N803)</f>
        <v>11142</v>
      </c>
      <c r="O804" t="s">
        <v>1002</v>
      </c>
      <c r="P804">
        <v>52936938</v>
      </c>
    </row>
    <row r="805" spans="1:16" x14ac:dyDescent="0.35">
      <c r="A805">
        <v>93827212289</v>
      </c>
      <c r="C805" s="2" t="s">
        <v>883</v>
      </c>
      <c r="D805">
        <v>3</v>
      </c>
      <c r="E805">
        <v>76891213210</v>
      </c>
      <c r="F805">
        <f t="shared" ca="1" si="24"/>
        <v>39</v>
      </c>
      <c r="G805">
        <f ca="1">VLOOKUP(E805,PurchItem!$A$2:$H$508,8,0)</f>
        <v>2049.2315909139547</v>
      </c>
      <c r="H805">
        <v>0.06</v>
      </c>
      <c r="I805" t="s">
        <v>244</v>
      </c>
      <c r="J805" s="5">
        <v>44668.594524409724</v>
      </c>
      <c r="K805" s="5">
        <v>44670.189048819448</v>
      </c>
      <c r="M805">
        <f t="shared" si="25"/>
        <v>10029727519</v>
      </c>
      <c r="N805">
        <f ca="1">IF(M805&lt;&gt;M804,INDEX(CustInfo!$A$2:$A$1001,RANDBETWEEN(1,1000)),N804)</f>
        <v>11142</v>
      </c>
      <c r="O805" t="s">
        <v>1002</v>
      </c>
      <c r="P805">
        <v>52936939</v>
      </c>
    </row>
    <row r="806" spans="1:16" x14ac:dyDescent="0.35">
      <c r="A806">
        <v>93827212290</v>
      </c>
      <c r="C806" s="2" t="s">
        <v>883</v>
      </c>
      <c r="D806">
        <v>1</v>
      </c>
      <c r="E806">
        <v>76891213590</v>
      </c>
      <c r="F806">
        <f t="shared" ca="1" si="24"/>
        <v>29</v>
      </c>
      <c r="G806">
        <f ca="1">VLOOKUP(E806,PurchItem!$A$2:$H$508,8,0)</f>
        <v>7917.0484239555426</v>
      </c>
      <c r="H806">
        <v>0.05</v>
      </c>
      <c r="I806" t="s">
        <v>244</v>
      </c>
      <c r="J806" s="5">
        <v>44841.594524409724</v>
      </c>
      <c r="K806" s="5">
        <v>44844.189048819448</v>
      </c>
      <c r="M806">
        <f t="shared" si="25"/>
        <v>10029727520</v>
      </c>
      <c r="N806">
        <f ca="1">IF(M806&lt;&gt;M805,INDEX(CustInfo!$A$2:$A$1001,RANDBETWEEN(1,1000)),N805)</f>
        <v>11457</v>
      </c>
      <c r="O806" t="s">
        <v>1002</v>
      </c>
      <c r="P806">
        <v>52936940</v>
      </c>
    </row>
    <row r="807" spans="1:16" x14ac:dyDescent="0.35">
      <c r="A807">
        <v>93827212290</v>
      </c>
      <c r="C807" s="2" t="s">
        <v>883</v>
      </c>
      <c r="D807">
        <v>2</v>
      </c>
      <c r="E807">
        <v>76891213197</v>
      </c>
      <c r="F807">
        <f t="shared" ca="1" si="24"/>
        <v>61</v>
      </c>
      <c r="G807">
        <f ca="1">VLOOKUP(E807,PurchItem!$A$2:$H$508,8,0)</f>
        <v>2158.1221622330891</v>
      </c>
      <c r="H807">
        <v>0.05</v>
      </c>
      <c r="I807" t="s">
        <v>244</v>
      </c>
      <c r="J807" s="5">
        <v>45301.594524409724</v>
      </c>
      <c r="K807" s="5">
        <v>45302.189048819448</v>
      </c>
      <c r="M807">
        <f t="shared" si="25"/>
        <v>10029727520</v>
      </c>
      <c r="N807">
        <f ca="1">IF(M807&lt;&gt;M806,INDEX(CustInfo!$A$2:$A$1001,RANDBETWEEN(1,1000)),N806)</f>
        <v>11457</v>
      </c>
      <c r="O807" t="s">
        <v>1002</v>
      </c>
      <c r="P807">
        <v>52936941</v>
      </c>
    </row>
    <row r="808" spans="1:16" x14ac:dyDescent="0.35">
      <c r="A808">
        <v>93827212290</v>
      </c>
      <c r="C808" s="2" t="s">
        <v>883</v>
      </c>
      <c r="D808">
        <v>3</v>
      </c>
      <c r="E808">
        <v>76891213260</v>
      </c>
      <c r="F808">
        <f t="shared" ca="1" si="24"/>
        <v>24</v>
      </c>
      <c r="G808">
        <f ca="1">VLOOKUP(E808,PurchItem!$A$2:$H$508,8,0)</f>
        <v>6861.119743288933</v>
      </c>
      <c r="H808">
        <v>0.04</v>
      </c>
      <c r="I808" t="s">
        <v>244</v>
      </c>
      <c r="J808" s="5">
        <v>45255.594524409724</v>
      </c>
      <c r="K808" s="5">
        <v>45258.189048819448</v>
      </c>
      <c r="M808">
        <f t="shared" si="25"/>
        <v>10029727520</v>
      </c>
      <c r="N808">
        <f ca="1">IF(M808&lt;&gt;M807,INDEX(CustInfo!$A$2:$A$1001,RANDBETWEEN(1,1000)),N807)</f>
        <v>11457</v>
      </c>
      <c r="O808" t="s">
        <v>1002</v>
      </c>
      <c r="P808">
        <v>52936942</v>
      </c>
    </row>
    <row r="809" spans="1:16" x14ac:dyDescent="0.35">
      <c r="A809">
        <v>93827212291</v>
      </c>
      <c r="C809" s="2" t="s">
        <v>883</v>
      </c>
      <c r="D809">
        <v>1</v>
      </c>
      <c r="E809">
        <v>76891213456</v>
      </c>
      <c r="F809">
        <f t="shared" ca="1" si="24"/>
        <v>12</v>
      </c>
      <c r="G809">
        <f ca="1">VLOOKUP(E809,PurchItem!$A$2:$H$508,8,0)</f>
        <v>1609.4745237976038</v>
      </c>
      <c r="H809">
        <v>0.05</v>
      </c>
      <c r="I809" t="s">
        <v>244</v>
      </c>
      <c r="J809" s="5">
        <v>44785.594524409724</v>
      </c>
      <c r="K809" s="5">
        <v>44789.189048819448</v>
      </c>
      <c r="M809">
        <f t="shared" si="25"/>
        <v>10029727521</v>
      </c>
      <c r="N809">
        <f ca="1">IF(M809&lt;&gt;M808,INDEX(CustInfo!$A$2:$A$1001,RANDBETWEEN(1,1000)),N808)</f>
        <v>11985</v>
      </c>
      <c r="O809" t="s">
        <v>1001</v>
      </c>
      <c r="P809">
        <v>52936943</v>
      </c>
    </row>
    <row r="810" spans="1:16" x14ac:dyDescent="0.35">
      <c r="A810">
        <v>93827212291</v>
      </c>
      <c r="C810" s="2" t="s">
        <v>883</v>
      </c>
      <c r="D810">
        <v>2</v>
      </c>
      <c r="E810">
        <v>76891213156</v>
      </c>
      <c r="F810">
        <f t="shared" ca="1" si="24"/>
        <v>74</v>
      </c>
      <c r="G810">
        <f ca="1">VLOOKUP(E810,PurchItem!$A$2:$H$508,8,0)</f>
        <v>9558.6946346003115</v>
      </c>
      <c r="H810">
        <v>0.06</v>
      </c>
      <c r="I810" t="s">
        <v>244</v>
      </c>
      <c r="J810" s="5">
        <v>44653.594524409724</v>
      </c>
      <c r="K810" s="5">
        <v>44654.189048819448</v>
      </c>
      <c r="M810">
        <f t="shared" si="25"/>
        <v>10029727521</v>
      </c>
      <c r="N810">
        <f ca="1">IF(M810&lt;&gt;M809,INDEX(CustInfo!$A$2:$A$1001,RANDBETWEEN(1,1000)),N809)</f>
        <v>11985</v>
      </c>
      <c r="O810" t="s">
        <v>1001</v>
      </c>
      <c r="P810">
        <v>52936944</v>
      </c>
    </row>
    <row r="811" spans="1:16" x14ac:dyDescent="0.35">
      <c r="A811">
        <v>93827212291</v>
      </c>
      <c r="C811" s="2" t="s">
        <v>883</v>
      </c>
      <c r="D811">
        <v>3</v>
      </c>
      <c r="E811">
        <v>76891213221</v>
      </c>
      <c r="F811">
        <f t="shared" ca="1" si="24"/>
        <v>32</v>
      </c>
      <c r="G811">
        <f ca="1">VLOOKUP(E811,PurchItem!$A$2:$H$508,8,0)</f>
        <v>5240.774053510655</v>
      </c>
      <c r="H811">
        <v>0.05</v>
      </c>
      <c r="I811" t="s">
        <v>244</v>
      </c>
      <c r="J811" s="5">
        <v>45370.594524409724</v>
      </c>
      <c r="K811" s="5">
        <v>45374.189048819448</v>
      </c>
      <c r="M811">
        <f t="shared" si="25"/>
        <v>10029727521</v>
      </c>
      <c r="N811">
        <f ca="1">IF(M811&lt;&gt;M810,INDEX(CustInfo!$A$2:$A$1001,RANDBETWEEN(1,1000)),N810)</f>
        <v>11985</v>
      </c>
      <c r="O811" t="s">
        <v>1001</v>
      </c>
      <c r="P811">
        <v>52936945</v>
      </c>
    </row>
    <row r="812" spans="1:16" x14ac:dyDescent="0.35">
      <c r="A812">
        <v>93827212291</v>
      </c>
      <c r="C812" s="2" t="s">
        <v>883</v>
      </c>
      <c r="D812">
        <v>4</v>
      </c>
      <c r="E812">
        <v>76891213560</v>
      </c>
      <c r="F812">
        <f t="shared" ca="1" si="24"/>
        <v>100</v>
      </c>
      <c r="G812">
        <f ca="1">VLOOKUP(E812,PurchItem!$A$2:$H$508,8,0)</f>
        <v>9258.5719141936788</v>
      </c>
      <c r="H812">
        <v>0.05</v>
      </c>
      <c r="I812" t="s">
        <v>244</v>
      </c>
      <c r="J812" s="5">
        <v>45340.594524409724</v>
      </c>
      <c r="K812" s="5">
        <v>45344.189048819448</v>
      </c>
      <c r="M812">
        <f t="shared" si="25"/>
        <v>10029727521</v>
      </c>
      <c r="N812">
        <f ca="1">IF(M812&lt;&gt;M811,INDEX(CustInfo!$A$2:$A$1001,RANDBETWEEN(1,1000)),N811)</f>
        <v>11985</v>
      </c>
      <c r="O812" t="s">
        <v>1001</v>
      </c>
      <c r="P812">
        <v>52936946</v>
      </c>
    </row>
    <row r="813" spans="1:16" x14ac:dyDescent="0.35">
      <c r="A813">
        <v>93827212292</v>
      </c>
      <c r="C813" s="2" t="s">
        <v>883</v>
      </c>
      <c r="D813">
        <v>1</v>
      </c>
      <c r="E813">
        <v>76891213235</v>
      </c>
      <c r="F813">
        <f t="shared" ca="1" si="24"/>
        <v>8</v>
      </c>
      <c r="G813">
        <f ca="1">VLOOKUP(E813,PurchItem!$A$2:$H$508,8,0)</f>
        <v>383.4257319234585</v>
      </c>
      <c r="H813">
        <v>0.04</v>
      </c>
      <c r="I813" t="s">
        <v>244</v>
      </c>
      <c r="J813" s="5">
        <v>45280.594524409724</v>
      </c>
      <c r="K813" s="5">
        <v>45284.189048819448</v>
      </c>
      <c r="M813">
        <f t="shared" si="25"/>
        <v>10029727522</v>
      </c>
      <c r="N813">
        <f ca="1">IF(M813&lt;&gt;M812,INDEX(CustInfo!$A$2:$A$1001,RANDBETWEEN(1,1000)),N812)</f>
        <v>11553</v>
      </c>
      <c r="O813" t="s">
        <v>1001</v>
      </c>
      <c r="P813">
        <v>52936947</v>
      </c>
    </row>
    <row r="814" spans="1:16" x14ac:dyDescent="0.35">
      <c r="A814">
        <v>93827212292</v>
      </c>
      <c r="C814" s="2" t="s">
        <v>883</v>
      </c>
      <c r="D814">
        <v>2</v>
      </c>
      <c r="E814">
        <v>76891213367</v>
      </c>
      <c r="F814">
        <f t="shared" ca="1" si="24"/>
        <v>86</v>
      </c>
      <c r="G814">
        <f ca="1">VLOOKUP(E814,PurchItem!$A$2:$H$508,8,0)</f>
        <v>8716.0132147698296</v>
      </c>
      <c r="H814">
        <v>0.06</v>
      </c>
      <c r="I814" t="s">
        <v>244</v>
      </c>
      <c r="J814" s="5">
        <v>44817.594524409724</v>
      </c>
      <c r="K814" s="5">
        <v>44820.189048819448</v>
      </c>
      <c r="M814">
        <f t="shared" si="25"/>
        <v>10029727522</v>
      </c>
      <c r="N814">
        <f ca="1">IF(M814&lt;&gt;M813,INDEX(CustInfo!$A$2:$A$1001,RANDBETWEEN(1,1000)),N813)</f>
        <v>11553</v>
      </c>
      <c r="O814" t="s">
        <v>1001</v>
      </c>
      <c r="P814">
        <v>52936948</v>
      </c>
    </row>
    <row r="815" spans="1:16" x14ac:dyDescent="0.35">
      <c r="A815">
        <v>93827212292</v>
      </c>
      <c r="C815" s="2" t="s">
        <v>883</v>
      </c>
      <c r="D815">
        <v>3</v>
      </c>
      <c r="E815">
        <v>76891213604</v>
      </c>
      <c r="F815">
        <f t="shared" ca="1" si="24"/>
        <v>98</v>
      </c>
      <c r="G815">
        <f ca="1">VLOOKUP(E815,PurchItem!$A$2:$H$508,8,0)</f>
        <v>6398.1672211601835</v>
      </c>
      <c r="H815">
        <v>0.04</v>
      </c>
      <c r="I815" t="s">
        <v>244</v>
      </c>
      <c r="J815" s="5">
        <v>45231.594524409724</v>
      </c>
      <c r="K815" s="5">
        <v>45235.189048819448</v>
      </c>
      <c r="M815">
        <f t="shared" si="25"/>
        <v>10029727522</v>
      </c>
      <c r="N815">
        <f ca="1">IF(M815&lt;&gt;M814,INDEX(CustInfo!$A$2:$A$1001,RANDBETWEEN(1,1000)),N814)</f>
        <v>11553</v>
      </c>
      <c r="O815" t="s">
        <v>1001</v>
      </c>
      <c r="P815">
        <v>52936949</v>
      </c>
    </row>
    <row r="816" spans="1:16" x14ac:dyDescent="0.35">
      <c r="A816">
        <v>93827212292</v>
      </c>
      <c r="C816" s="2" t="s">
        <v>883</v>
      </c>
      <c r="D816">
        <v>4</v>
      </c>
      <c r="E816">
        <v>76891213548</v>
      </c>
      <c r="F816">
        <f t="shared" ca="1" si="24"/>
        <v>50</v>
      </c>
      <c r="G816">
        <f ca="1">VLOOKUP(E816,PurchItem!$A$2:$H$508,8,0)</f>
        <v>1956.6910493556829</v>
      </c>
      <c r="H816">
        <v>0.05</v>
      </c>
      <c r="I816" t="s">
        <v>244</v>
      </c>
      <c r="J816" s="5">
        <v>44587.594524409724</v>
      </c>
      <c r="K816" s="5">
        <v>44588.189048819448</v>
      </c>
      <c r="M816">
        <f t="shared" si="25"/>
        <v>10029727522</v>
      </c>
      <c r="N816">
        <f ca="1">IF(M816&lt;&gt;M815,INDEX(CustInfo!$A$2:$A$1001,RANDBETWEEN(1,1000)),N815)</f>
        <v>11553</v>
      </c>
      <c r="O816" t="s">
        <v>1001</v>
      </c>
      <c r="P816">
        <v>52936950</v>
      </c>
    </row>
    <row r="817" spans="1:16" x14ac:dyDescent="0.35">
      <c r="A817">
        <v>93827212293</v>
      </c>
      <c r="C817" s="2" t="s">
        <v>883</v>
      </c>
      <c r="D817">
        <v>1</v>
      </c>
      <c r="E817">
        <v>76891213599</v>
      </c>
      <c r="F817">
        <f t="shared" ca="1" si="24"/>
        <v>94</v>
      </c>
      <c r="G817">
        <f ca="1">VLOOKUP(E817,PurchItem!$A$2:$H$508,8,0)</f>
        <v>5445.9165158335209</v>
      </c>
      <c r="H817">
        <v>0.05</v>
      </c>
      <c r="I817" t="s">
        <v>244</v>
      </c>
      <c r="J817" s="5">
        <v>44989.594524409724</v>
      </c>
      <c r="K817" s="5">
        <v>44991.189048819448</v>
      </c>
      <c r="M817">
        <f t="shared" si="25"/>
        <v>10029727523</v>
      </c>
      <c r="N817">
        <f ca="1">IF(M817&lt;&gt;M816,INDEX(CustInfo!$A$2:$A$1001,RANDBETWEEN(1,1000)),N816)</f>
        <v>11535</v>
      </c>
      <c r="O817" t="s">
        <v>1002</v>
      </c>
      <c r="P817">
        <v>52936951</v>
      </c>
    </row>
    <row r="818" spans="1:16" x14ac:dyDescent="0.35">
      <c r="A818">
        <v>93827212293</v>
      </c>
      <c r="C818" s="2" t="s">
        <v>883</v>
      </c>
      <c r="D818">
        <v>2</v>
      </c>
      <c r="E818">
        <v>76891213571</v>
      </c>
      <c r="F818">
        <f t="shared" ca="1" si="24"/>
        <v>54</v>
      </c>
      <c r="G818">
        <f ca="1">VLOOKUP(E818,PurchItem!$A$2:$H$508,8,0)</f>
        <v>3575.5287130457696</v>
      </c>
      <c r="H818">
        <v>0.06</v>
      </c>
      <c r="I818" t="s">
        <v>244</v>
      </c>
      <c r="J818" s="5">
        <v>45507.594524409724</v>
      </c>
      <c r="K818" s="5">
        <v>45509.189048819448</v>
      </c>
      <c r="M818">
        <f t="shared" si="25"/>
        <v>10029727523</v>
      </c>
      <c r="N818">
        <f ca="1">IF(M818&lt;&gt;M817,INDEX(CustInfo!$A$2:$A$1001,RANDBETWEEN(1,1000)),N817)</f>
        <v>11535</v>
      </c>
      <c r="O818" t="s">
        <v>1002</v>
      </c>
      <c r="P818">
        <v>52936952</v>
      </c>
    </row>
    <row r="819" spans="1:16" x14ac:dyDescent="0.35">
      <c r="A819">
        <v>93827212293</v>
      </c>
      <c r="C819" s="2" t="s">
        <v>883</v>
      </c>
      <c r="D819">
        <v>3</v>
      </c>
      <c r="E819">
        <v>76891213349</v>
      </c>
      <c r="F819">
        <f t="shared" ca="1" si="24"/>
        <v>21</v>
      </c>
      <c r="G819">
        <f ca="1">VLOOKUP(E819,PurchItem!$A$2:$H$508,8,0)</f>
        <v>5182.697525429865</v>
      </c>
      <c r="H819">
        <v>0.05</v>
      </c>
      <c r="I819" t="s">
        <v>244</v>
      </c>
      <c r="J819" s="5">
        <v>44649.594524409724</v>
      </c>
      <c r="K819" s="5">
        <v>44652.189048819448</v>
      </c>
      <c r="M819">
        <f t="shared" si="25"/>
        <v>10029727523</v>
      </c>
      <c r="N819">
        <f ca="1">IF(M819&lt;&gt;M818,INDEX(CustInfo!$A$2:$A$1001,RANDBETWEEN(1,1000)),N818)</f>
        <v>11535</v>
      </c>
      <c r="O819" t="s">
        <v>1002</v>
      </c>
      <c r="P819">
        <v>52936953</v>
      </c>
    </row>
    <row r="820" spans="1:16" x14ac:dyDescent="0.35">
      <c r="A820">
        <v>93827212294</v>
      </c>
      <c r="C820" s="2" t="s">
        <v>883</v>
      </c>
      <c r="D820">
        <v>1</v>
      </c>
      <c r="E820">
        <v>76891213422</v>
      </c>
      <c r="F820">
        <f t="shared" ca="1" si="24"/>
        <v>20</v>
      </c>
      <c r="G820">
        <f ca="1">VLOOKUP(E820,PurchItem!$A$2:$H$508,8,0)</f>
        <v>2902.3044736195407</v>
      </c>
      <c r="H820">
        <v>0.05</v>
      </c>
      <c r="I820" t="s">
        <v>244</v>
      </c>
      <c r="J820" s="5">
        <v>44960.594524409724</v>
      </c>
      <c r="K820" s="5">
        <v>44964.189048819448</v>
      </c>
      <c r="M820">
        <f t="shared" si="25"/>
        <v>10029727524</v>
      </c>
      <c r="N820">
        <f ca="1">IF(M820&lt;&gt;M819,INDEX(CustInfo!$A$2:$A$1001,RANDBETWEEN(1,1000)),N819)</f>
        <v>11874</v>
      </c>
      <c r="O820" t="s">
        <v>1002</v>
      </c>
      <c r="P820">
        <v>52936954</v>
      </c>
    </row>
    <row r="821" spans="1:16" x14ac:dyDescent="0.35">
      <c r="A821">
        <v>93827212294</v>
      </c>
      <c r="C821" s="2" t="s">
        <v>883</v>
      </c>
      <c r="D821">
        <v>2</v>
      </c>
      <c r="E821">
        <v>76891213236</v>
      </c>
      <c r="F821">
        <f t="shared" ca="1" si="24"/>
        <v>43</v>
      </c>
      <c r="G821">
        <f ca="1">VLOOKUP(E821,PurchItem!$A$2:$H$508,8,0)</f>
        <v>7957.9636559697883</v>
      </c>
      <c r="H821">
        <v>0.05</v>
      </c>
      <c r="I821" t="s">
        <v>244</v>
      </c>
      <c r="J821" s="5">
        <v>45236.594524409724</v>
      </c>
      <c r="K821" s="5">
        <v>45240.189048819448</v>
      </c>
      <c r="M821">
        <f t="shared" si="25"/>
        <v>10029727524</v>
      </c>
      <c r="N821">
        <f ca="1">IF(M821&lt;&gt;M820,INDEX(CustInfo!$A$2:$A$1001,RANDBETWEEN(1,1000)),N820)</f>
        <v>11874</v>
      </c>
      <c r="O821" t="s">
        <v>1002</v>
      </c>
      <c r="P821">
        <v>52936955</v>
      </c>
    </row>
    <row r="822" spans="1:16" x14ac:dyDescent="0.35">
      <c r="A822">
        <v>93827212294</v>
      </c>
      <c r="C822" s="2" t="s">
        <v>883</v>
      </c>
      <c r="D822">
        <v>3</v>
      </c>
      <c r="E822">
        <v>76891213393</v>
      </c>
      <c r="F822">
        <f t="shared" ca="1" si="24"/>
        <v>85</v>
      </c>
      <c r="G822">
        <f ca="1">VLOOKUP(E822,PurchItem!$A$2:$H$508,8,0)</f>
        <v>1578.8037302555053</v>
      </c>
      <c r="H822">
        <v>0.04</v>
      </c>
      <c r="I822" t="s">
        <v>244</v>
      </c>
      <c r="J822" s="5">
        <v>44867.594524409724</v>
      </c>
      <c r="K822" s="5">
        <v>44870.189048819448</v>
      </c>
      <c r="M822">
        <f t="shared" si="25"/>
        <v>10029727524</v>
      </c>
      <c r="N822">
        <f ca="1">IF(M822&lt;&gt;M821,INDEX(CustInfo!$A$2:$A$1001,RANDBETWEEN(1,1000)),N821)</f>
        <v>11874</v>
      </c>
      <c r="O822" t="s">
        <v>1002</v>
      </c>
      <c r="P822">
        <v>52936956</v>
      </c>
    </row>
    <row r="823" spans="1:16" x14ac:dyDescent="0.35">
      <c r="A823">
        <v>93827212295</v>
      </c>
      <c r="C823" s="2" t="s">
        <v>883</v>
      </c>
      <c r="D823">
        <v>1</v>
      </c>
      <c r="E823">
        <v>76891213414</v>
      </c>
      <c r="F823">
        <f t="shared" ca="1" si="24"/>
        <v>45</v>
      </c>
      <c r="G823">
        <f ca="1">VLOOKUP(E823,PurchItem!$A$2:$H$508,8,0)</f>
        <v>9766.7832998304748</v>
      </c>
      <c r="H823">
        <v>0.04</v>
      </c>
      <c r="I823" t="s">
        <v>244</v>
      </c>
      <c r="J823" s="5">
        <v>45233.594524409724</v>
      </c>
      <c r="K823" s="5">
        <v>45237.189048819448</v>
      </c>
      <c r="M823">
        <f t="shared" si="25"/>
        <v>10029727525</v>
      </c>
      <c r="N823">
        <f ca="1">IF(M823&lt;&gt;M822,INDEX(CustInfo!$A$2:$A$1001,RANDBETWEEN(1,1000)),N822)</f>
        <v>11305</v>
      </c>
      <c r="O823" t="s">
        <v>1002</v>
      </c>
      <c r="P823">
        <v>52936957</v>
      </c>
    </row>
    <row r="824" spans="1:16" x14ac:dyDescent="0.35">
      <c r="A824">
        <v>93827212296</v>
      </c>
      <c r="C824" s="2" t="s">
        <v>883</v>
      </c>
      <c r="D824">
        <v>1</v>
      </c>
      <c r="E824">
        <v>76891213608</v>
      </c>
      <c r="F824">
        <f t="shared" ca="1" si="24"/>
        <v>61</v>
      </c>
      <c r="G824">
        <f ca="1">VLOOKUP(E824,PurchItem!$A$2:$H$508,8,0)</f>
        <v>6891.3132509062052</v>
      </c>
      <c r="H824">
        <v>0.06</v>
      </c>
      <c r="I824" t="s">
        <v>244</v>
      </c>
      <c r="J824" s="5">
        <v>44626.594524409724</v>
      </c>
      <c r="K824" s="5">
        <v>44627.189048819448</v>
      </c>
      <c r="M824">
        <f t="shared" si="25"/>
        <v>10029727526</v>
      </c>
      <c r="N824">
        <f ca="1">IF(M824&lt;&gt;M823,INDEX(CustInfo!$A$2:$A$1001,RANDBETWEEN(1,1000)),N823)</f>
        <v>11130</v>
      </c>
      <c r="O824" t="s">
        <v>1001</v>
      </c>
      <c r="P824">
        <v>52936958</v>
      </c>
    </row>
    <row r="825" spans="1:16" x14ac:dyDescent="0.35">
      <c r="A825">
        <v>93827212296</v>
      </c>
      <c r="C825" s="2" t="s">
        <v>883</v>
      </c>
      <c r="D825">
        <v>2</v>
      </c>
      <c r="E825">
        <v>76891213514</v>
      </c>
      <c r="F825">
        <f t="shared" ca="1" si="24"/>
        <v>20</v>
      </c>
      <c r="G825">
        <f ca="1">VLOOKUP(E825,PurchItem!$A$2:$H$508,8,0)</f>
        <v>5315.5344122127744</v>
      </c>
      <c r="H825">
        <v>0.04</v>
      </c>
      <c r="I825" t="s">
        <v>244</v>
      </c>
      <c r="J825" s="5">
        <v>44718.594524409724</v>
      </c>
      <c r="K825" s="5">
        <v>44722.189048819448</v>
      </c>
      <c r="M825">
        <f t="shared" si="25"/>
        <v>10029727526</v>
      </c>
      <c r="N825">
        <f ca="1">IF(M825&lt;&gt;M824,INDEX(CustInfo!$A$2:$A$1001,RANDBETWEEN(1,1000)),N824)</f>
        <v>11130</v>
      </c>
      <c r="O825" t="s">
        <v>1001</v>
      </c>
      <c r="P825">
        <v>52936959</v>
      </c>
    </row>
    <row r="826" spans="1:16" x14ac:dyDescent="0.35">
      <c r="A826">
        <v>93827212297</v>
      </c>
      <c r="C826" s="2" t="s">
        <v>883</v>
      </c>
      <c r="D826">
        <v>1</v>
      </c>
      <c r="E826">
        <v>76891213347</v>
      </c>
      <c r="F826">
        <f t="shared" ca="1" si="24"/>
        <v>32</v>
      </c>
      <c r="G826">
        <f ca="1">VLOOKUP(E826,PurchItem!$A$2:$H$508,8,0)</f>
        <v>9140.0810974149535</v>
      </c>
      <c r="H826">
        <v>0.06</v>
      </c>
      <c r="I826" t="s">
        <v>244</v>
      </c>
      <c r="J826" s="5">
        <v>45352.594524409724</v>
      </c>
      <c r="K826" s="5">
        <v>45356.189048819448</v>
      </c>
      <c r="M826">
        <f t="shared" si="25"/>
        <v>10029727527</v>
      </c>
      <c r="N826">
        <f ca="1">IF(M826&lt;&gt;M825,INDEX(CustInfo!$A$2:$A$1001,RANDBETWEEN(1,1000)),N825)</f>
        <v>11971</v>
      </c>
      <c r="O826" t="s">
        <v>1002</v>
      </c>
      <c r="P826">
        <v>52936960</v>
      </c>
    </row>
    <row r="827" spans="1:16" x14ac:dyDescent="0.35">
      <c r="A827">
        <v>93827212297</v>
      </c>
      <c r="C827" s="2" t="s">
        <v>883</v>
      </c>
      <c r="D827">
        <v>2</v>
      </c>
      <c r="E827">
        <v>76891213351</v>
      </c>
      <c r="F827">
        <f t="shared" ca="1" si="24"/>
        <v>19</v>
      </c>
      <c r="G827">
        <f ca="1">VLOOKUP(E827,PurchItem!$A$2:$H$508,8,0)</f>
        <v>9428.1968109971458</v>
      </c>
      <c r="H827">
        <v>0.04</v>
      </c>
      <c r="I827" t="s">
        <v>244</v>
      </c>
      <c r="J827" s="5">
        <v>44737.594524409724</v>
      </c>
      <c r="K827" s="5">
        <v>44741.189048819448</v>
      </c>
      <c r="M827">
        <f t="shared" si="25"/>
        <v>10029727527</v>
      </c>
      <c r="N827">
        <f ca="1">IF(M827&lt;&gt;M826,INDEX(CustInfo!$A$2:$A$1001,RANDBETWEEN(1,1000)),N826)</f>
        <v>11971</v>
      </c>
      <c r="O827" t="s">
        <v>1002</v>
      </c>
      <c r="P827">
        <v>52936961</v>
      </c>
    </row>
    <row r="828" spans="1:16" x14ac:dyDescent="0.35">
      <c r="A828">
        <v>93827212298</v>
      </c>
      <c r="C828" s="2" t="s">
        <v>883</v>
      </c>
      <c r="D828">
        <v>1</v>
      </c>
      <c r="E828">
        <v>76891213282</v>
      </c>
      <c r="F828">
        <f t="shared" ca="1" si="24"/>
        <v>39</v>
      </c>
      <c r="G828">
        <f ca="1">VLOOKUP(E828,PurchItem!$A$2:$H$508,8,0)</f>
        <v>7043.1528369539874</v>
      </c>
      <c r="H828">
        <v>0.04</v>
      </c>
      <c r="I828" t="s">
        <v>244</v>
      </c>
      <c r="J828" s="5">
        <v>45169.594524409724</v>
      </c>
      <c r="K828" s="5">
        <v>45172.189048819448</v>
      </c>
      <c r="M828">
        <f t="shared" si="25"/>
        <v>10029727528</v>
      </c>
      <c r="N828">
        <f ca="1">IF(M828&lt;&gt;M827,INDEX(CustInfo!$A$2:$A$1001,RANDBETWEEN(1,1000)),N827)</f>
        <v>11491</v>
      </c>
      <c r="O828" t="s">
        <v>1003</v>
      </c>
      <c r="P828">
        <v>52936962</v>
      </c>
    </row>
    <row r="829" spans="1:16" x14ac:dyDescent="0.35">
      <c r="A829">
        <v>93827212298</v>
      </c>
      <c r="C829" s="2" t="s">
        <v>883</v>
      </c>
      <c r="D829">
        <v>2</v>
      </c>
      <c r="E829">
        <v>76891213368</v>
      </c>
      <c r="F829">
        <f t="shared" ca="1" si="24"/>
        <v>60</v>
      </c>
      <c r="G829">
        <f ca="1">VLOOKUP(E829,PurchItem!$A$2:$H$508,8,0)</f>
        <v>3312.7979678593924</v>
      </c>
      <c r="H829">
        <v>0.04</v>
      </c>
      <c r="I829" t="s">
        <v>244</v>
      </c>
      <c r="J829" s="5">
        <v>44634.594524409724</v>
      </c>
      <c r="K829" s="5">
        <v>44637.189048819448</v>
      </c>
      <c r="M829">
        <f t="shared" si="25"/>
        <v>10029727528</v>
      </c>
      <c r="N829">
        <f ca="1">IF(M829&lt;&gt;M828,INDEX(CustInfo!$A$2:$A$1001,RANDBETWEEN(1,1000)),N828)</f>
        <v>11491</v>
      </c>
      <c r="O829" t="s">
        <v>1003</v>
      </c>
      <c r="P829">
        <v>52936963</v>
      </c>
    </row>
    <row r="830" spans="1:16" x14ac:dyDescent="0.35">
      <c r="A830">
        <v>93827212299</v>
      </c>
      <c r="C830" s="2" t="s">
        <v>883</v>
      </c>
      <c r="D830">
        <v>1</v>
      </c>
      <c r="E830">
        <v>76891213384</v>
      </c>
      <c r="F830">
        <f t="shared" ca="1" si="24"/>
        <v>76</v>
      </c>
      <c r="G830">
        <f ca="1">VLOOKUP(E830,PurchItem!$A$2:$H$508,8,0)</f>
        <v>5612.9731125552507</v>
      </c>
      <c r="H830">
        <v>0.05</v>
      </c>
      <c r="I830" t="s">
        <v>244</v>
      </c>
      <c r="J830" s="5">
        <v>44738.594524409724</v>
      </c>
      <c r="K830" s="5">
        <v>44739.189048819448</v>
      </c>
      <c r="M830">
        <f t="shared" si="25"/>
        <v>10029727529</v>
      </c>
      <c r="N830">
        <f ca="1">IF(M830&lt;&gt;M829,INDEX(CustInfo!$A$2:$A$1001,RANDBETWEEN(1,1000)),N829)</f>
        <v>11788</v>
      </c>
      <c r="O830" t="s">
        <v>1003</v>
      </c>
      <c r="P830">
        <v>52936964</v>
      </c>
    </row>
    <row r="831" spans="1:16" x14ac:dyDescent="0.35">
      <c r="A831">
        <v>93827212300</v>
      </c>
      <c r="C831" s="2" t="s">
        <v>883</v>
      </c>
      <c r="D831">
        <v>1</v>
      </c>
      <c r="E831">
        <v>76891213512</v>
      </c>
      <c r="F831">
        <f t="shared" ca="1" si="24"/>
        <v>23</v>
      </c>
      <c r="G831">
        <f ca="1">VLOOKUP(E831,PurchItem!$A$2:$H$508,8,0)</f>
        <v>9875.6826871447392</v>
      </c>
      <c r="H831">
        <v>0.04</v>
      </c>
      <c r="I831" t="s">
        <v>244</v>
      </c>
      <c r="J831" s="5">
        <v>44588.594524409724</v>
      </c>
      <c r="K831" s="5">
        <v>44589.189048819448</v>
      </c>
      <c r="M831">
        <f t="shared" si="25"/>
        <v>10029727530</v>
      </c>
      <c r="N831">
        <f ca="1">IF(M831&lt;&gt;M830,INDEX(CustInfo!$A$2:$A$1001,RANDBETWEEN(1,1000)),N830)</f>
        <v>11483</v>
      </c>
      <c r="O831" t="s">
        <v>1002</v>
      </c>
      <c r="P831">
        <v>52936965</v>
      </c>
    </row>
    <row r="832" spans="1:16" x14ac:dyDescent="0.35">
      <c r="A832">
        <v>93827212300</v>
      </c>
      <c r="C832" s="2" t="s">
        <v>883</v>
      </c>
      <c r="D832">
        <v>2</v>
      </c>
      <c r="E832">
        <v>76891213375</v>
      </c>
      <c r="F832">
        <f t="shared" ca="1" si="24"/>
        <v>74</v>
      </c>
      <c r="G832">
        <f ca="1">VLOOKUP(E832,PurchItem!$A$2:$H$508,8,0)</f>
        <v>7755.8413437200061</v>
      </c>
      <c r="H832">
        <v>0.04</v>
      </c>
      <c r="I832" t="s">
        <v>244</v>
      </c>
      <c r="J832" s="5">
        <v>45276.594524409724</v>
      </c>
      <c r="K832" s="5">
        <v>45280.189048819448</v>
      </c>
      <c r="M832">
        <f t="shared" si="25"/>
        <v>10029727530</v>
      </c>
      <c r="N832">
        <f ca="1">IF(M832&lt;&gt;M831,INDEX(CustInfo!$A$2:$A$1001,RANDBETWEEN(1,1000)),N831)</f>
        <v>11483</v>
      </c>
      <c r="O832" t="s">
        <v>1002</v>
      </c>
      <c r="P832">
        <v>52936966</v>
      </c>
    </row>
    <row r="833" spans="1:16" x14ac:dyDescent="0.35">
      <c r="A833">
        <v>93827212300</v>
      </c>
      <c r="C833" s="2" t="s">
        <v>883</v>
      </c>
      <c r="D833">
        <v>3</v>
      </c>
      <c r="E833">
        <v>76891213397</v>
      </c>
      <c r="F833">
        <f t="shared" ca="1" si="24"/>
        <v>96</v>
      </c>
      <c r="G833">
        <f ca="1">VLOOKUP(E833,PurchItem!$A$2:$H$508,8,0)</f>
        <v>4664.724071929576</v>
      </c>
      <c r="H833">
        <v>0.05</v>
      </c>
      <c r="I833" t="s">
        <v>244</v>
      </c>
      <c r="J833" s="5">
        <v>45399.594524409724</v>
      </c>
      <c r="K833" s="5">
        <v>45402.189048819448</v>
      </c>
      <c r="M833">
        <f t="shared" si="25"/>
        <v>10029727530</v>
      </c>
      <c r="N833">
        <f ca="1">IF(M833&lt;&gt;M832,INDEX(CustInfo!$A$2:$A$1001,RANDBETWEEN(1,1000)),N832)</f>
        <v>11483</v>
      </c>
      <c r="O833" t="s">
        <v>1002</v>
      </c>
      <c r="P833">
        <v>52936967</v>
      </c>
    </row>
    <row r="834" spans="1:16" x14ac:dyDescent="0.35">
      <c r="A834">
        <v>93827212300</v>
      </c>
      <c r="C834" s="2" t="s">
        <v>883</v>
      </c>
      <c r="D834">
        <v>4</v>
      </c>
      <c r="E834">
        <v>76891213390</v>
      </c>
      <c r="F834">
        <f t="shared" ca="1" si="24"/>
        <v>92</v>
      </c>
      <c r="G834">
        <f ca="1">VLOOKUP(E834,PurchItem!$A$2:$H$508,8,0)</f>
        <v>6600.0958652442405</v>
      </c>
      <c r="H834">
        <v>0.06</v>
      </c>
      <c r="I834" t="s">
        <v>244</v>
      </c>
      <c r="J834" s="5">
        <v>44610.594524409724</v>
      </c>
      <c r="K834" s="5">
        <v>44612.189048819448</v>
      </c>
      <c r="M834">
        <f t="shared" si="25"/>
        <v>10029727530</v>
      </c>
      <c r="N834">
        <f ca="1">IF(M834&lt;&gt;M833,INDEX(CustInfo!$A$2:$A$1001,RANDBETWEEN(1,1000)),N833)</f>
        <v>11483</v>
      </c>
      <c r="O834" t="s">
        <v>1002</v>
      </c>
      <c r="P834">
        <v>52936968</v>
      </c>
    </row>
    <row r="835" spans="1:16" x14ac:dyDescent="0.35">
      <c r="A835">
        <v>93827212301</v>
      </c>
      <c r="C835" s="2" t="s">
        <v>883</v>
      </c>
      <c r="D835">
        <v>1</v>
      </c>
      <c r="E835">
        <v>76891213622</v>
      </c>
      <c r="F835">
        <f t="shared" ref="F835:F898" ca="1" si="26">RANDBETWEEN(1,100)</f>
        <v>34</v>
      </c>
      <c r="G835">
        <f ca="1">VLOOKUP(E835,PurchItem!$A$2:$H$508,8,0)</f>
        <v>7391.767855280551</v>
      </c>
      <c r="H835">
        <v>0.06</v>
      </c>
      <c r="I835" t="s">
        <v>244</v>
      </c>
      <c r="J835" s="5">
        <v>44977.594524409724</v>
      </c>
      <c r="K835" s="5">
        <v>44981.189048819448</v>
      </c>
      <c r="M835">
        <f t="shared" si="25"/>
        <v>10029727531</v>
      </c>
      <c r="N835">
        <f ca="1">IF(M835&lt;&gt;M834,INDEX(CustInfo!$A$2:$A$1001,RANDBETWEEN(1,1000)),N834)</f>
        <v>11845</v>
      </c>
      <c r="O835" t="s">
        <v>1002</v>
      </c>
      <c r="P835">
        <v>52936969</v>
      </c>
    </row>
    <row r="836" spans="1:16" x14ac:dyDescent="0.35">
      <c r="A836">
        <v>93827212301</v>
      </c>
      <c r="C836" s="2" t="s">
        <v>883</v>
      </c>
      <c r="D836">
        <v>2</v>
      </c>
      <c r="E836">
        <v>76891213585</v>
      </c>
      <c r="F836">
        <f t="shared" ca="1" si="26"/>
        <v>78</v>
      </c>
      <c r="G836">
        <f ca="1">VLOOKUP(E836,PurchItem!$A$2:$H$508,8,0)</f>
        <v>7205.2405986070289</v>
      </c>
      <c r="H836">
        <v>0.05</v>
      </c>
      <c r="I836" t="s">
        <v>244</v>
      </c>
      <c r="J836" s="5">
        <v>44705.594524409724</v>
      </c>
      <c r="K836" s="5">
        <v>44709.189048819448</v>
      </c>
      <c r="M836">
        <f t="shared" si="25"/>
        <v>10029727531</v>
      </c>
      <c r="N836">
        <f ca="1">IF(M836&lt;&gt;M835,INDEX(CustInfo!$A$2:$A$1001,RANDBETWEEN(1,1000)),N835)</f>
        <v>11845</v>
      </c>
      <c r="O836" t="s">
        <v>1002</v>
      </c>
      <c r="P836">
        <v>52936970</v>
      </c>
    </row>
    <row r="837" spans="1:16" x14ac:dyDescent="0.35">
      <c r="A837">
        <v>93827212301</v>
      </c>
      <c r="C837" s="2" t="s">
        <v>883</v>
      </c>
      <c r="D837">
        <v>3</v>
      </c>
      <c r="E837">
        <v>76891213539</v>
      </c>
      <c r="F837">
        <f t="shared" ca="1" si="26"/>
        <v>5</v>
      </c>
      <c r="G837">
        <f ca="1">VLOOKUP(E837,PurchItem!$A$2:$H$508,8,0)</f>
        <v>2018.0212140707813</v>
      </c>
      <c r="H837">
        <v>0.06</v>
      </c>
      <c r="I837" t="s">
        <v>244</v>
      </c>
      <c r="J837" s="5">
        <v>45270.594524409724</v>
      </c>
      <c r="K837" s="5">
        <v>45274.189048819448</v>
      </c>
      <c r="M837">
        <f t="shared" ref="M837:M900" si="27">IF(A837&lt;&gt;A836,M836+1,M836)</f>
        <v>10029727531</v>
      </c>
      <c r="N837">
        <f ca="1">IF(M837&lt;&gt;M836,INDEX(CustInfo!$A$2:$A$1001,RANDBETWEEN(1,1000)),N836)</f>
        <v>11845</v>
      </c>
      <c r="O837" t="s">
        <v>1002</v>
      </c>
      <c r="P837">
        <v>52936971</v>
      </c>
    </row>
    <row r="838" spans="1:16" x14ac:dyDescent="0.35">
      <c r="A838">
        <v>93827212302</v>
      </c>
      <c r="C838" s="2" t="s">
        <v>883</v>
      </c>
      <c r="D838">
        <v>1</v>
      </c>
      <c r="E838">
        <v>76891213221</v>
      </c>
      <c r="F838">
        <f t="shared" ca="1" si="26"/>
        <v>10</v>
      </c>
      <c r="G838">
        <f ca="1">VLOOKUP(E838,PurchItem!$A$2:$H$508,8,0)</f>
        <v>5240.774053510655</v>
      </c>
      <c r="H838">
        <v>0.04</v>
      </c>
      <c r="I838" t="s">
        <v>244</v>
      </c>
      <c r="J838" s="5">
        <v>45026.594524409724</v>
      </c>
      <c r="K838" s="5">
        <v>45029.189048819448</v>
      </c>
      <c r="M838">
        <f t="shared" si="27"/>
        <v>10029727532</v>
      </c>
      <c r="N838">
        <f ca="1">IF(M838&lt;&gt;M837,INDEX(CustInfo!$A$2:$A$1001,RANDBETWEEN(1,1000)),N837)</f>
        <v>11076</v>
      </c>
      <c r="O838" t="s">
        <v>1003</v>
      </c>
      <c r="P838">
        <v>52936972</v>
      </c>
    </row>
    <row r="839" spans="1:16" x14ac:dyDescent="0.35">
      <c r="A839">
        <v>93827212303</v>
      </c>
      <c r="C839" s="2" t="s">
        <v>883</v>
      </c>
      <c r="D839">
        <v>1</v>
      </c>
      <c r="E839">
        <v>76891213354</v>
      </c>
      <c r="F839">
        <f t="shared" ca="1" si="26"/>
        <v>61</v>
      </c>
      <c r="G839">
        <f ca="1">VLOOKUP(E839,PurchItem!$A$2:$H$508,8,0)</f>
        <v>9590.7052160264502</v>
      </c>
      <c r="H839">
        <v>0.06</v>
      </c>
      <c r="I839" t="s">
        <v>244</v>
      </c>
      <c r="J839" s="5">
        <v>44882.594524409724</v>
      </c>
      <c r="K839" s="5">
        <v>44885.189048819448</v>
      </c>
      <c r="M839">
        <f t="shared" si="27"/>
        <v>10029727533</v>
      </c>
      <c r="N839">
        <f ca="1">IF(M839&lt;&gt;M838,INDEX(CustInfo!$A$2:$A$1001,RANDBETWEEN(1,1000)),N838)</f>
        <v>11843</v>
      </c>
      <c r="O839" t="s">
        <v>1002</v>
      </c>
      <c r="P839">
        <v>52936973</v>
      </c>
    </row>
    <row r="840" spans="1:16" x14ac:dyDescent="0.35">
      <c r="A840">
        <v>93827212303</v>
      </c>
      <c r="C840" s="2" t="s">
        <v>883</v>
      </c>
      <c r="D840">
        <v>2</v>
      </c>
      <c r="E840">
        <v>76891213429</v>
      </c>
      <c r="F840">
        <f t="shared" ca="1" si="26"/>
        <v>61</v>
      </c>
      <c r="G840">
        <f ca="1">VLOOKUP(E840,PurchItem!$A$2:$H$508,8,0)</f>
        <v>8406.1091392579347</v>
      </c>
      <c r="H840">
        <v>0.06</v>
      </c>
      <c r="I840" t="s">
        <v>244</v>
      </c>
      <c r="J840" s="5">
        <v>45173.594524409724</v>
      </c>
      <c r="K840" s="5">
        <v>45174.189048819448</v>
      </c>
      <c r="M840">
        <f t="shared" si="27"/>
        <v>10029727533</v>
      </c>
      <c r="N840">
        <f ca="1">IF(M840&lt;&gt;M839,INDEX(CustInfo!$A$2:$A$1001,RANDBETWEEN(1,1000)),N839)</f>
        <v>11843</v>
      </c>
      <c r="O840" t="s">
        <v>1002</v>
      </c>
      <c r="P840">
        <v>52936974</v>
      </c>
    </row>
    <row r="841" spans="1:16" x14ac:dyDescent="0.35">
      <c r="A841">
        <v>93827212303</v>
      </c>
      <c r="C841" s="2" t="s">
        <v>883</v>
      </c>
      <c r="D841">
        <v>3</v>
      </c>
      <c r="E841">
        <v>76891213570</v>
      </c>
      <c r="F841">
        <f t="shared" ca="1" si="26"/>
        <v>1</v>
      </c>
      <c r="G841">
        <f ca="1">VLOOKUP(E841,PurchItem!$A$2:$H$508,8,0)</f>
        <v>9788.963236721278</v>
      </c>
      <c r="H841">
        <v>0.06</v>
      </c>
      <c r="I841" t="s">
        <v>244</v>
      </c>
      <c r="J841" s="5">
        <v>44976.594524409724</v>
      </c>
      <c r="K841" s="5">
        <v>44979.189048819448</v>
      </c>
      <c r="M841">
        <f t="shared" si="27"/>
        <v>10029727533</v>
      </c>
      <c r="N841">
        <f ca="1">IF(M841&lt;&gt;M840,INDEX(CustInfo!$A$2:$A$1001,RANDBETWEEN(1,1000)),N840)</f>
        <v>11843</v>
      </c>
      <c r="O841" t="s">
        <v>1002</v>
      </c>
      <c r="P841">
        <v>52936975</v>
      </c>
    </row>
    <row r="842" spans="1:16" x14ac:dyDescent="0.35">
      <c r="A842">
        <v>93827212304</v>
      </c>
      <c r="C842" s="2" t="s">
        <v>883</v>
      </c>
      <c r="D842">
        <v>1</v>
      </c>
      <c r="E842">
        <v>76891213539</v>
      </c>
      <c r="F842">
        <f t="shared" ca="1" si="26"/>
        <v>18</v>
      </c>
      <c r="G842">
        <f ca="1">VLOOKUP(E842,PurchItem!$A$2:$H$508,8,0)</f>
        <v>2018.0212140707813</v>
      </c>
      <c r="H842">
        <v>0.05</v>
      </c>
      <c r="I842" t="s">
        <v>244</v>
      </c>
      <c r="J842" s="5">
        <v>45461.594524409724</v>
      </c>
      <c r="K842" s="5">
        <v>45462.189048819448</v>
      </c>
      <c r="M842">
        <f t="shared" si="27"/>
        <v>10029727534</v>
      </c>
      <c r="N842">
        <f ca="1">IF(M842&lt;&gt;M841,INDEX(CustInfo!$A$2:$A$1001,RANDBETWEEN(1,1000)),N841)</f>
        <v>11913</v>
      </c>
      <c r="O842" t="s">
        <v>1002</v>
      </c>
      <c r="P842">
        <v>52936976</v>
      </c>
    </row>
    <row r="843" spans="1:16" x14ac:dyDescent="0.35">
      <c r="A843">
        <v>93827212304</v>
      </c>
      <c r="C843" s="2" t="s">
        <v>883</v>
      </c>
      <c r="D843">
        <v>2</v>
      </c>
      <c r="E843">
        <v>76891213310</v>
      </c>
      <c r="F843">
        <f t="shared" ca="1" si="26"/>
        <v>51</v>
      </c>
      <c r="G843">
        <f ca="1">VLOOKUP(E843,PurchItem!$A$2:$H$508,8,0)</f>
        <v>7148.7204018000157</v>
      </c>
      <c r="H843">
        <v>0.06</v>
      </c>
      <c r="I843" t="s">
        <v>244</v>
      </c>
      <c r="J843" s="5">
        <v>45400.594524409724</v>
      </c>
      <c r="K843" s="5">
        <v>45403.189048819448</v>
      </c>
      <c r="M843">
        <f t="shared" si="27"/>
        <v>10029727534</v>
      </c>
      <c r="N843">
        <f ca="1">IF(M843&lt;&gt;M842,INDEX(CustInfo!$A$2:$A$1001,RANDBETWEEN(1,1000)),N842)</f>
        <v>11913</v>
      </c>
      <c r="O843" t="s">
        <v>1002</v>
      </c>
      <c r="P843">
        <v>52936977</v>
      </c>
    </row>
    <row r="844" spans="1:16" x14ac:dyDescent="0.35">
      <c r="A844">
        <v>93827212304</v>
      </c>
      <c r="C844" s="2" t="s">
        <v>883</v>
      </c>
      <c r="D844">
        <v>3</v>
      </c>
      <c r="E844">
        <v>76891213275</v>
      </c>
      <c r="F844">
        <f t="shared" ca="1" si="26"/>
        <v>35</v>
      </c>
      <c r="G844">
        <f ca="1">VLOOKUP(E844,PurchItem!$A$2:$H$508,8,0)</f>
        <v>2363.1921713388774</v>
      </c>
      <c r="H844">
        <v>0.06</v>
      </c>
      <c r="I844" t="s">
        <v>244</v>
      </c>
      <c r="J844" s="5">
        <v>45567.594524409724</v>
      </c>
      <c r="K844" s="5">
        <v>45571.189048819448</v>
      </c>
      <c r="M844">
        <f t="shared" si="27"/>
        <v>10029727534</v>
      </c>
      <c r="N844">
        <f ca="1">IF(M844&lt;&gt;M843,INDEX(CustInfo!$A$2:$A$1001,RANDBETWEEN(1,1000)),N843)</f>
        <v>11913</v>
      </c>
      <c r="O844" t="s">
        <v>1002</v>
      </c>
      <c r="P844">
        <v>52936978</v>
      </c>
    </row>
    <row r="845" spans="1:16" x14ac:dyDescent="0.35">
      <c r="A845">
        <v>93827212305</v>
      </c>
      <c r="C845" s="2" t="s">
        <v>883</v>
      </c>
      <c r="D845">
        <v>1</v>
      </c>
      <c r="E845">
        <v>76891213156</v>
      </c>
      <c r="F845">
        <f t="shared" ca="1" si="26"/>
        <v>53</v>
      </c>
      <c r="G845">
        <f ca="1">VLOOKUP(E845,PurchItem!$A$2:$H$508,8,0)</f>
        <v>9558.6946346003115</v>
      </c>
      <c r="H845">
        <v>0.05</v>
      </c>
      <c r="I845" t="s">
        <v>244</v>
      </c>
      <c r="J845" s="5">
        <v>45608.594524409724</v>
      </c>
      <c r="K845" s="5">
        <v>45609.189048819448</v>
      </c>
      <c r="M845">
        <f t="shared" si="27"/>
        <v>10029727535</v>
      </c>
      <c r="N845">
        <f ca="1">IF(M845&lt;&gt;M844,INDEX(CustInfo!$A$2:$A$1001,RANDBETWEEN(1,1000)),N844)</f>
        <v>11294</v>
      </c>
      <c r="O845" t="s">
        <v>1001</v>
      </c>
      <c r="P845">
        <v>52936979</v>
      </c>
    </row>
    <row r="846" spans="1:16" x14ac:dyDescent="0.35">
      <c r="A846">
        <v>93827212305</v>
      </c>
      <c r="C846" s="2" t="s">
        <v>883</v>
      </c>
      <c r="D846">
        <v>2</v>
      </c>
      <c r="E846">
        <v>76891213175</v>
      </c>
      <c r="F846">
        <f t="shared" ca="1" si="26"/>
        <v>46</v>
      </c>
      <c r="G846">
        <f ca="1">VLOOKUP(E846,PurchItem!$A$2:$H$508,8,0)</f>
        <v>8239.6279667406998</v>
      </c>
      <c r="H846">
        <v>0.05</v>
      </c>
      <c r="I846" t="s">
        <v>244</v>
      </c>
      <c r="J846" s="5">
        <v>45128.594524409724</v>
      </c>
      <c r="K846" s="5">
        <v>45129.189048819448</v>
      </c>
      <c r="M846">
        <f t="shared" si="27"/>
        <v>10029727535</v>
      </c>
      <c r="N846">
        <f ca="1">IF(M846&lt;&gt;M845,INDEX(CustInfo!$A$2:$A$1001,RANDBETWEEN(1,1000)),N845)</f>
        <v>11294</v>
      </c>
      <c r="O846" t="s">
        <v>1001</v>
      </c>
      <c r="P846">
        <v>52936980</v>
      </c>
    </row>
    <row r="847" spans="1:16" x14ac:dyDescent="0.35">
      <c r="A847">
        <v>93827212306</v>
      </c>
      <c r="C847" s="2" t="s">
        <v>883</v>
      </c>
      <c r="D847">
        <v>1</v>
      </c>
      <c r="E847">
        <v>76891213483</v>
      </c>
      <c r="F847">
        <f t="shared" ca="1" si="26"/>
        <v>90</v>
      </c>
      <c r="G847">
        <f ca="1">VLOOKUP(E847,PurchItem!$A$2:$H$508,8,0)</f>
        <v>1444.9221787766719</v>
      </c>
      <c r="H847">
        <v>0.05</v>
      </c>
      <c r="I847" t="s">
        <v>244</v>
      </c>
      <c r="J847" s="5">
        <v>45079.594524409724</v>
      </c>
      <c r="K847" s="5">
        <v>45081.189048819448</v>
      </c>
      <c r="M847">
        <f t="shared" si="27"/>
        <v>10029727536</v>
      </c>
      <c r="N847">
        <f ca="1">IF(M847&lt;&gt;M846,INDEX(CustInfo!$A$2:$A$1001,RANDBETWEEN(1,1000)),N846)</f>
        <v>11261</v>
      </c>
      <c r="O847" t="s">
        <v>1003</v>
      </c>
      <c r="P847">
        <v>52936981</v>
      </c>
    </row>
    <row r="848" spans="1:16" x14ac:dyDescent="0.35">
      <c r="A848">
        <v>93827212306</v>
      </c>
      <c r="C848" s="2" t="s">
        <v>883</v>
      </c>
      <c r="D848">
        <v>2</v>
      </c>
      <c r="E848">
        <v>76891213274</v>
      </c>
      <c r="F848">
        <f t="shared" ca="1" si="26"/>
        <v>86</v>
      </c>
      <c r="G848">
        <f ca="1">VLOOKUP(E848,PurchItem!$A$2:$H$508,8,0)</f>
        <v>6244.602607519897</v>
      </c>
      <c r="H848">
        <v>0.05</v>
      </c>
      <c r="I848" t="s">
        <v>244</v>
      </c>
      <c r="J848" s="5">
        <v>44757.594524409724</v>
      </c>
      <c r="K848" s="5">
        <v>44759.189048819448</v>
      </c>
      <c r="M848">
        <f t="shared" si="27"/>
        <v>10029727536</v>
      </c>
      <c r="N848">
        <f ca="1">IF(M848&lt;&gt;M847,INDEX(CustInfo!$A$2:$A$1001,RANDBETWEEN(1,1000)),N847)</f>
        <v>11261</v>
      </c>
      <c r="O848" t="s">
        <v>1003</v>
      </c>
      <c r="P848">
        <v>52936982</v>
      </c>
    </row>
    <row r="849" spans="1:16" x14ac:dyDescent="0.35">
      <c r="A849">
        <v>93827212306</v>
      </c>
      <c r="C849" s="2" t="s">
        <v>883</v>
      </c>
      <c r="D849">
        <v>3</v>
      </c>
      <c r="E849">
        <v>76891213314</v>
      </c>
      <c r="F849">
        <f t="shared" ca="1" si="26"/>
        <v>24</v>
      </c>
      <c r="G849">
        <f ca="1">VLOOKUP(E849,PurchItem!$A$2:$H$508,8,0)</f>
        <v>8987.665477288343</v>
      </c>
      <c r="H849">
        <v>0.05</v>
      </c>
      <c r="I849" t="s">
        <v>244</v>
      </c>
      <c r="J849" s="5">
        <v>45023.594524409724</v>
      </c>
      <c r="K849" s="5">
        <v>45024.189048819448</v>
      </c>
      <c r="M849">
        <f t="shared" si="27"/>
        <v>10029727536</v>
      </c>
      <c r="N849">
        <f ca="1">IF(M849&lt;&gt;M848,INDEX(CustInfo!$A$2:$A$1001,RANDBETWEEN(1,1000)),N848)</f>
        <v>11261</v>
      </c>
      <c r="O849" t="s">
        <v>1003</v>
      </c>
      <c r="P849">
        <v>52936983</v>
      </c>
    </row>
    <row r="850" spans="1:16" x14ac:dyDescent="0.35">
      <c r="A850">
        <v>93827212307</v>
      </c>
      <c r="C850" s="2" t="s">
        <v>883</v>
      </c>
      <c r="D850">
        <v>1</v>
      </c>
      <c r="E850">
        <v>76891213427</v>
      </c>
      <c r="F850">
        <f t="shared" ca="1" si="26"/>
        <v>58</v>
      </c>
      <c r="G850">
        <f ca="1">VLOOKUP(E850,PurchItem!$A$2:$H$508,8,0)</f>
        <v>2482.576406869925</v>
      </c>
      <c r="H850">
        <v>0.06</v>
      </c>
      <c r="I850" t="s">
        <v>244</v>
      </c>
      <c r="J850" s="5">
        <v>45028.594524409724</v>
      </c>
      <c r="K850" s="5">
        <v>45032.189048819448</v>
      </c>
      <c r="M850">
        <f t="shared" si="27"/>
        <v>10029727537</v>
      </c>
      <c r="N850">
        <f ca="1">IF(M850&lt;&gt;M849,INDEX(CustInfo!$A$2:$A$1001,RANDBETWEEN(1,1000)),N849)</f>
        <v>11136</v>
      </c>
      <c r="O850" t="s">
        <v>1003</v>
      </c>
      <c r="P850">
        <v>52936984</v>
      </c>
    </row>
    <row r="851" spans="1:16" x14ac:dyDescent="0.35">
      <c r="A851">
        <v>93827212308</v>
      </c>
      <c r="C851" s="2" t="s">
        <v>883</v>
      </c>
      <c r="D851">
        <v>1</v>
      </c>
      <c r="E851">
        <v>76891213500</v>
      </c>
      <c r="F851">
        <f t="shared" ca="1" si="26"/>
        <v>11</v>
      </c>
      <c r="G851">
        <f ca="1">VLOOKUP(E851,PurchItem!$A$2:$H$508,8,0)</f>
        <v>3624.8814666574617</v>
      </c>
      <c r="H851">
        <v>0.06</v>
      </c>
      <c r="I851" t="s">
        <v>244</v>
      </c>
      <c r="J851" s="5">
        <v>44971.594524409724</v>
      </c>
      <c r="K851" s="5">
        <v>44975.189048819448</v>
      </c>
      <c r="M851">
        <f t="shared" si="27"/>
        <v>10029727538</v>
      </c>
      <c r="N851">
        <f ca="1">IF(M851&lt;&gt;M850,INDEX(CustInfo!$A$2:$A$1001,RANDBETWEEN(1,1000)),N850)</f>
        <v>11821</v>
      </c>
      <c r="O851" t="s">
        <v>1002</v>
      </c>
      <c r="P851">
        <v>52936985</v>
      </c>
    </row>
    <row r="852" spans="1:16" x14ac:dyDescent="0.35">
      <c r="A852">
        <v>93827212308</v>
      </c>
      <c r="C852" s="2" t="s">
        <v>883</v>
      </c>
      <c r="D852">
        <v>2</v>
      </c>
      <c r="E852">
        <v>76891213166</v>
      </c>
      <c r="F852">
        <f t="shared" ca="1" si="26"/>
        <v>24</v>
      </c>
      <c r="G852">
        <f ca="1">VLOOKUP(E852,PurchItem!$A$2:$H$508,8,0)</f>
        <v>8772.6347437385975</v>
      </c>
      <c r="H852">
        <v>0.06</v>
      </c>
      <c r="I852" t="s">
        <v>244</v>
      </c>
      <c r="J852" s="5">
        <v>45005.594524409724</v>
      </c>
      <c r="K852" s="5">
        <v>45007.189048819448</v>
      </c>
      <c r="M852">
        <f t="shared" si="27"/>
        <v>10029727538</v>
      </c>
      <c r="N852">
        <f ca="1">IF(M852&lt;&gt;M851,INDEX(CustInfo!$A$2:$A$1001,RANDBETWEEN(1,1000)),N851)</f>
        <v>11821</v>
      </c>
      <c r="O852" t="s">
        <v>1002</v>
      </c>
      <c r="P852">
        <v>52936986</v>
      </c>
    </row>
    <row r="853" spans="1:16" x14ac:dyDescent="0.35">
      <c r="A853">
        <v>93827212308</v>
      </c>
      <c r="C853" s="2" t="s">
        <v>883</v>
      </c>
      <c r="D853">
        <v>3</v>
      </c>
      <c r="E853">
        <v>76891213436</v>
      </c>
      <c r="F853">
        <f t="shared" ca="1" si="26"/>
        <v>30</v>
      </c>
      <c r="G853">
        <f ca="1">VLOOKUP(E853,PurchItem!$A$2:$H$508,8,0)</f>
        <v>7382.4174647878453</v>
      </c>
      <c r="H853">
        <v>0.06</v>
      </c>
      <c r="I853" t="s">
        <v>244</v>
      </c>
      <c r="J853" s="5">
        <v>44693.594524409724</v>
      </c>
      <c r="K853" s="5">
        <v>44694.189048819448</v>
      </c>
      <c r="M853">
        <f t="shared" si="27"/>
        <v>10029727538</v>
      </c>
      <c r="N853">
        <f ca="1">IF(M853&lt;&gt;M852,INDEX(CustInfo!$A$2:$A$1001,RANDBETWEEN(1,1000)),N852)</f>
        <v>11821</v>
      </c>
      <c r="O853" t="s">
        <v>1002</v>
      </c>
      <c r="P853">
        <v>52936987</v>
      </c>
    </row>
    <row r="854" spans="1:16" x14ac:dyDescent="0.35">
      <c r="A854">
        <v>93827212308</v>
      </c>
      <c r="C854" s="2" t="s">
        <v>883</v>
      </c>
      <c r="D854">
        <v>4</v>
      </c>
      <c r="E854">
        <v>76891213388</v>
      </c>
      <c r="F854">
        <f t="shared" ca="1" si="26"/>
        <v>48</v>
      </c>
      <c r="G854">
        <f ca="1">VLOOKUP(E854,PurchItem!$A$2:$H$508,8,0)</f>
        <v>1466.0763513227046</v>
      </c>
      <c r="H854">
        <v>0.05</v>
      </c>
      <c r="I854" t="s">
        <v>244</v>
      </c>
      <c r="J854" s="5">
        <v>44575.594524409724</v>
      </c>
      <c r="K854" s="5">
        <v>44576.189048819448</v>
      </c>
      <c r="M854">
        <f t="shared" si="27"/>
        <v>10029727538</v>
      </c>
      <c r="N854">
        <f ca="1">IF(M854&lt;&gt;M853,INDEX(CustInfo!$A$2:$A$1001,RANDBETWEEN(1,1000)),N853)</f>
        <v>11821</v>
      </c>
      <c r="O854" t="s">
        <v>1002</v>
      </c>
      <c r="P854">
        <v>52936988</v>
      </c>
    </row>
    <row r="855" spans="1:16" x14ac:dyDescent="0.35">
      <c r="A855">
        <v>93827212309</v>
      </c>
      <c r="C855" s="2" t="s">
        <v>883</v>
      </c>
      <c r="D855">
        <v>1</v>
      </c>
      <c r="E855">
        <v>76891213439</v>
      </c>
      <c r="F855">
        <f t="shared" ca="1" si="26"/>
        <v>71</v>
      </c>
      <c r="G855">
        <f ca="1">VLOOKUP(E855,PurchItem!$A$2:$H$508,8,0)</f>
        <v>927.70201425852463</v>
      </c>
      <c r="H855">
        <v>0.05</v>
      </c>
      <c r="I855" t="s">
        <v>244</v>
      </c>
      <c r="J855" s="5">
        <v>44916.594524409724</v>
      </c>
      <c r="K855" s="5">
        <v>44918.189048819448</v>
      </c>
      <c r="M855">
        <f t="shared" si="27"/>
        <v>10029727539</v>
      </c>
      <c r="N855">
        <f ca="1">IF(M855&lt;&gt;M854,INDEX(CustInfo!$A$2:$A$1001,RANDBETWEEN(1,1000)),N854)</f>
        <v>11553</v>
      </c>
      <c r="O855" t="s">
        <v>1001</v>
      </c>
      <c r="P855">
        <v>52936989</v>
      </c>
    </row>
    <row r="856" spans="1:16" x14ac:dyDescent="0.35">
      <c r="A856">
        <v>93827212310</v>
      </c>
      <c r="C856" s="2" t="s">
        <v>883</v>
      </c>
      <c r="D856">
        <v>1</v>
      </c>
      <c r="E856">
        <v>76891213328</v>
      </c>
      <c r="F856">
        <f t="shared" ca="1" si="26"/>
        <v>64</v>
      </c>
      <c r="G856">
        <f ca="1">VLOOKUP(E856,PurchItem!$A$2:$H$508,8,0)</f>
        <v>8932.3921588224312</v>
      </c>
      <c r="H856">
        <v>0.05</v>
      </c>
      <c r="I856" t="s">
        <v>244</v>
      </c>
      <c r="J856" s="5">
        <v>45182.594524409724</v>
      </c>
      <c r="K856" s="5">
        <v>45184.189048819448</v>
      </c>
      <c r="M856">
        <f t="shared" si="27"/>
        <v>10029727540</v>
      </c>
      <c r="N856">
        <f ca="1">IF(M856&lt;&gt;M855,INDEX(CustInfo!$A$2:$A$1001,RANDBETWEEN(1,1000)),N855)</f>
        <v>11472</v>
      </c>
      <c r="O856" t="s">
        <v>1001</v>
      </c>
      <c r="P856">
        <v>52936990</v>
      </c>
    </row>
    <row r="857" spans="1:16" x14ac:dyDescent="0.35">
      <c r="A857">
        <v>93827212310</v>
      </c>
      <c r="C857" s="2" t="s">
        <v>883</v>
      </c>
      <c r="D857">
        <v>2</v>
      </c>
      <c r="E857">
        <v>76891213526</v>
      </c>
      <c r="F857">
        <f t="shared" ca="1" si="26"/>
        <v>21</v>
      </c>
      <c r="G857">
        <f ca="1">VLOOKUP(E857,PurchItem!$A$2:$H$508,8,0)</f>
        <v>8212.8049543445304</v>
      </c>
      <c r="H857">
        <v>0.05</v>
      </c>
      <c r="I857" t="s">
        <v>244</v>
      </c>
      <c r="J857" s="5">
        <v>44592.594524409724</v>
      </c>
      <c r="K857" s="5">
        <v>44593.189048819448</v>
      </c>
      <c r="M857">
        <f t="shared" si="27"/>
        <v>10029727540</v>
      </c>
      <c r="N857">
        <f ca="1">IF(M857&lt;&gt;M856,INDEX(CustInfo!$A$2:$A$1001,RANDBETWEEN(1,1000)),N856)</f>
        <v>11472</v>
      </c>
      <c r="O857" t="s">
        <v>1001</v>
      </c>
      <c r="P857">
        <v>52936991</v>
      </c>
    </row>
    <row r="858" spans="1:16" x14ac:dyDescent="0.35">
      <c r="A858">
        <v>93827212310</v>
      </c>
      <c r="C858" s="2" t="s">
        <v>883</v>
      </c>
      <c r="D858">
        <v>3</v>
      </c>
      <c r="E858">
        <v>76891213367</v>
      </c>
      <c r="F858">
        <f t="shared" ca="1" si="26"/>
        <v>27</v>
      </c>
      <c r="G858">
        <f ca="1">VLOOKUP(E858,PurchItem!$A$2:$H$508,8,0)</f>
        <v>8716.0132147698296</v>
      </c>
      <c r="H858">
        <v>0.04</v>
      </c>
      <c r="I858" t="s">
        <v>244</v>
      </c>
      <c r="J858" s="5">
        <v>45381.594524409724</v>
      </c>
      <c r="K858" s="5">
        <v>45383.189048819448</v>
      </c>
      <c r="M858">
        <f t="shared" si="27"/>
        <v>10029727540</v>
      </c>
      <c r="N858">
        <f ca="1">IF(M858&lt;&gt;M857,INDEX(CustInfo!$A$2:$A$1001,RANDBETWEEN(1,1000)),N857)</f>
        <v>11472</v>
      </c>
      <c r="O858" t="s">
        <v>1001</v>
      </c>
      <c r="P858">
        <v>52936992</v>
      </c>
    </row>
    <row r="859" spans="1:16" x14ac:dyDescent="0.35">
      <c r="A859">
        <v>93827212311</v>
      </c>
      <c r="C859" s="2" t="s">
        <v>883</v>
      </c>
      <c r="D859">
        <v>1</v>
      </c>
      <c r="E859">
        <v>76891213424</v>
      </c>
      <c r="F859">
        <f t="shared" ca="1" si="26"/>
        <v>29</v>
      </c>
      <c r="G859">
        <f ca="1">VLOOKUP(E859,PurchItem!$A$2:$H$508,8,0)</f>
        <v>7376.2580680938527</v>
      </c>
      <c r="H859">
        <v>0.04</v>
      </c>
      <c r="I859" t="s">
        <v>244</v>
      </c>
      <c r="J859" s="5">
        <v>45399.594524409724</v>
      </c>
      <c r="K859" s="5">
        <v>45400.189048819448</v>
      </c>
      <c r="M859">
        <f t="shared" si="27"/>
        <v>10029727541</v>
      </c>
      <c r="N859">
        <f ca="1">IF(M859&lt;&gt;M858,INDEX(CustInfo!$A$2:$A$1001,RANDBETWEEN(1,1000)),N858)</f>
        <v>11455</v>
      </c>
      <c r="O859" t="s">
        <v>1002</v>
      </c>
      <c r="P859">
        <v>52936993</v>
      </c>
    </row>
    <row r="860" spans="1:16" x14ac:dyDescent="0.35">
      <c r="A860">
        <v>93827212311</v>
      </c>
      <c r="C860" s="2" t="s">
        <v>883</v>
      </c>
      <c r="D860">
        <v>2</v>
      </c>
      <c r="E860">
        <v>76891213174</v>
      </c>
      <c r="F860">
        <f t="shared" ca="1" si="26"/>
        <v>10</v>
      </c>
      <c r="G860">
        <f ca="1">VLOOKUP(E860,PurchItem!$A$2:$H$508,8,0)</f>
        <v>3971.755790241577</v>
      </c>
      <c r="H860">
        <v>0.06</v>
      </c>
      <c r="I860" t="s">
        <v>244</v>
      </c>
      <c r="J860" s="5">
        <v>44831.594524409724</v>
      </c>
      <c r="K860" s="5">
        <v>44832.189048819448</v>
      </c>
      <c r="M860">
        <f t="shared" si="27"/>
        <v>10029727541</v>
      </c>
      <c r="N860">
        <f ca="1">IF(M860&lt;&gt;M859,INDEX(CustInfo!$A$2:$A$1001,RANDBETWEEN(1,1000)),N859)</f>
        <v>11455</v>
      </c>
      <c r="O860" t="s">
        <v>1002</v>
      </c>
      <c r="P860">
        <v>52936994</v>
      </c>
    </row>
    <row r="861" spans="1:16" x14ac:dyDescent="0.35">
      <c r="A861">
        <v>93827212312</v>
      </c>
      <c r="C861" s="2" t="s">
        <v>883</v>
      </c>
      <c r="D861">
        <v>1</v>
      </c>
      <c r="E861">
        <v>76891213292</v>
      </c>
      <c r="F861">
        <f t="shared" ca="1" si="26"/>
        <v>1</v>
      </c>
      <c r="G861">
        <f ca="1">VLOOKUP(E861,PurchItem!$A$2:$H$508,8,0)</f>
        <v>6706.8830844652466</v>
      </c>
      <c r="H861">
        <v>0.06</v>
      </c>
      <c r="I861" t="s">
        <v>244</v>
      </c>
      <c r="J861" s="5">
        <v>44896.594524409724</v>
      </c>
      <c r="K861" s="5">
        <v>44899.189048819448</v>
      </c>
      <c r="M861">
        <f t="shared" si="27"/>
        <v>10029727542</v>
      </c>
      <c r="N861">
        <f ca="1">IF(M861&lt;&gt;M860,INDEX(CustInfo!$A$2:$A$1001,RANDBETWEEN(1,1000)),N860)</f>
        <v>11620</v>
      </c>
      <c r="O861" t="s">
        <v>1001</v>
      </c>
      <c r="P861">
        <v>52936995</v>
      </c>
    </row>
    <row r="862" spans="1:16" x14ac:dyDescent="0.35">
      <c r="A862">
        <v>93827212312</v>
      </c>
      <c r="C862" s="2" t="s">
        <v>883</v>
      </c>
      <c r="D862">
        <v>2</v>
      </c>
      <c r="E862">
        <v>76891213169</v>
      </c>
      <c r="F862">
        <f t="shared" ca="1" si="26"/>
        <v>52</v>
      </c>
      <c r="G862">
        <f ca="1">VLOOKUP(E862,PurchItem!$A$2:$H$508,8,0)</f>
        <v>1750.9223085517885</v>
      </c>
      <c r="H862">
        <v>0.04</v>
      </c>
      <c r="I862" t="s">
        <v>244</v>
      </c>
      <c r="J862" s="5">
        <v>44721.594524409724</v>
      </c>
      <c r="K862" s="5">
        <v>44724.189048819448</v>
      </c>
      <c r="M862">
        <f t="shared" si="27"/>
        <v>10029727542</v>
      </c>
      <c r="N862">
        <f ca="1">IF(M862&lt;&gt;M861,INDEX(CustInfo!$A$2:$A$1001,RANDBETWEEN(1,1000)),N861)</f>
        <v>11620</v>
      </c>
      <c r="O862" t="s">
        <v>1001</v>
      </c>
      <c r="P862">
        <v>52936996</v>
      </c>
    </row>
    <row r="863" spans="1:16" x14ac:dyDescent="0.35">
      <c r="A863">
        <v>93827212312</v>
      </c>
      <c r="C863" s="2" t="s">
        <v>883</v>
      </c>
      <c r="D863">
        <v>3</v>
      </c>
      <c r="E863">
        <v>76891213280</v>
      </c>
      <c r="F863">
        <f t="shared" ca="1" si="26"/>
        <v>2</v>
      </c>
      <c r="G863">
        <f ca="1">VLOOKUP(E863,PurchItem!$A$2:$H$508,8,0)</f>
        <v>5014.5777640027172</v>
      </c>
      <c r="H863">
        <v>0.05</v>
      </c>
      <c r="I863" t="s">
        <v>244</v>
      </c>
      <c r="J863" s="5">
        <v>44971.594524409724</v>
      </c>
      <c r="K863" s="5">
        <v>44975.189048819448</v>
      </c>
      <c r="M863">
        <f t="shared" si="27"/>
        <v>10029727542</v>
      </c>
      <c r="N863">
        <f ca="1">IF(M863&lt;&gt;M862,INDEX(CustInfo!$A$2:$A$1001,RANDBETWEEN(1,1000)),N862)</f>
        <v>11620</v>
      </c>
      <c r="O863" t="s">
        <v>1001</v>
      </c>
      <c r="P863">
        <v>52936997</v>
      </c>
    </row>
    <row r="864" spans="1:16" x14ac:dyDescent="0.35">
      <c r="A864">
        <v>93827212312</v>
      </c>
      <c r="C864" s="2" t="s">
        <v>883</v>
      </c>
      <c r="D864">
        <v>4</v>
      </c>
      <c r="E864">
        <v>76891213468</v>
      </c>
      <c r="F864">
        <f t="shared" ca="1" si="26"/>
        <v>61</v>
      </c>
      <c r="G864">
        <f ca="1">VLOOKUP(E864,PurchItem!$A$2:$H$508,8,0)</f>
        <v>8720.5573870862172</v>
      </c>
      <c r="H864">
        <v>0.06</v>
      </c>
      <c r="I864" t="s">
        <v>244</v>
      </c>
      <c r="J864" s="5">
        <v>45236.594524409724</v>
      </c>
      <c r="K864" s="5">
        <v>45238.189048819448</v>
      </c>
      <c r="M864">
        <f t="shared" si="27"/>
        <v>10029727542</v>
      </c>
      <c r="N864">
        <f ca="1">IF(M864&lt;&gt;M863,INDEX(CustInfo!$A$2:$A$1001,RANDBETWEEN(1,1000)),N863)</f>
        <v>11620</v>
      </c>
      <c r="O864" t="s">
        <v>1001</v>
      </c>
      <c r="P864">
        <v>52936998</v>
      </c>
    </row>
    <row r="865" spans="1:16" x14ac:dyDescent="0.35">
      <c r="A865">
        <v>93827212313</v>
      </c>
      <c r="C865" s="2" t="s">
        <v>883</v>
      </c>
      <c r="D865">
        <v>1</v>
      </c>
      <c r="E865">
        <v>76891213407</v>
      </c>
      <c r="F865">
        <f t="shared" ca="1" si="26"/>
        <v>30</v>
      </c>
      <c r="G865">
        <f ca="1">VLOOKUP(E865,PurchItem!$A$2:$H$508,8,0)</f>
        <v>2479.2746542139621</v>
      </c>
      <c r="H865">
        <v>0.06</v>
      </c>
      <c r="I865" t="s">
        <v>244</v>
      </c>
      <c r="J865" s="5">
        <v>44867.594524409724</v>
      </c>
      <c r="K865" s="5">
        <v>44870.189048819448</v>
      </c>
      <c r="M865">
        <f t="shared" si="27"/>
        <v>10029727543</v>
      </c>
      <c r="N865">
        <f ca="1">IF(M865&lt;&gt;M864,INDEX(CustInfo!$A$2:$A$1001,RANDBETWEEN(1,1000)),N864)</f>
        <v>11665</v>
      </c>
      <c r="O865" t="s">
        <v>1001</v>
      </c>
      <c r="P865">
        <v>52936999</v>
      </c>
    </row>
    <row r="866" spans="1:16" x14ac:dyDescent="0.35">
      <c r="A866">
        <v>93827212313</v>
      </c>
      <c r="C866" s="2" t="s">
        <v>883</v>
      </c>
      <c r="D866">
        <v>2</v>
      </c>
      <c r="E866">
        <v>76891213505</v>
      </c>
      <c r="F866">
        <f t="shared" ca="1" si="26"/>
        <v>73</v>
      </c>
      <c r="G866">
        <f ca="1">VLOOKUP(E866,PurchItem!$A$2:$H$508,8,0)</f>
        <v>6494.2629478443014</v>
      </c>
      <c r="H866">
        <v>0.05</v>
      </c>
      <c r="I866" t="s">
        <v>244</v>
      </c>
      <c r="J866" s="5">
        <v>44831.594524409724</v>
      </c>
      <c r="K866" s="5">
        <v>44833.189048819448</v>
      </c>
      <c r="M866">
        <f t="shared" si="27"/>
        <v>10029727543</v>
      </c>
      <c r="N866">
        <f ca="1">IF(M866&lt;&gt;M865,INDEX(CustInfo!$A$2:$A$1001,RANDBETWEEN(1,1000)),N865)</f>
        <v>11665</v>
      </c>
      <c r="O866" t="s">
        <v>1001</v>
      </c>
      <c r="P866">
        <v>52937000</v>
      </c>
    </row>
    <row r="867" spans="1:16" x14ac:dyDescent="0.35">
      <c r="A867">
        <v>93827212314</v>
      </c>
      <c r="C867" s="2" t="s">
        <v>883</v>
      </c>
      <c r="D867">
        <v>1</v>
      </c>
      <c r="E867">
        <v>76891213237</v>
      </c>
      <c r="F867">
        <f t="shared" ca="1" si="26"/>
        <v>94</v>
      </c>
      <c r="G867">
        <f ca="1">VLOOKUP(E867,PurchItem!$A$2:$H$508,8,0)</f>
        <v>1912.5089900234684</v>
      </c>
      <c r="H867">
        <v>0.06</v>
      </c>
      <c r="I867" t="s">
        <v>244</v>
      </c>
      <c r="J867" s="5">
        <v>44871.594524409724</v>
      </c>
      <c r="K867" s="5">
        <v>44875.189048819448</v>
      </c>
      <c r="M867">
        <f t="shared" si="27"/>
        <v>10029727544</v>
      </c>
      <c r="N867">
        <f ca="1">IF(M867&lt;&gt;M866,INDEX(CustInfo!$A$2:$A$1001,RANDBETWEEN(1,1000)),N866)</f>
        <v>11766</v>
      </c>
      <c r="O867" t="s">
        <v>1001</v>
      </c>
      <c r="P867">
        <v>52937001</v>
      </c>
    </row>
    <row r="868" spans="1:16" x14ac:dyDescent="0.35">
      <c r="A868">
        <v>93827212314</v>
      </c>
      <c r="C868" s="2" t="s">
        <v>883</v>
      </c>
      <c r="D868">
        <v>2</v>
      </c>
      <c r="E868">
        <v>76891213172</v>
      </c>
      <c r="F868">
        <f t="shared" ca="1" si="26"/>
        <v>27</v>
      </c>
      <c r="G868">
        <f ca="1">VLOOKUP(E868,PurchItem!$A$2:$H$508,8,0)</f>
        <v>942.3837622618131</v>
      </c>
      <c r="H868">
        <v>0.06</v>
      </c>
      <c r="I868" t="s">
        <v>244</v>
      </c>
      <c r="J868" s="5">
        <v>45318.594524409724</v>
      </c>
      <c r="K868" s="5">
        <v>45321.189048819448</v>
      </c>
      <c r="M868">
        <f t="shared" si="27"/>
        <v>10029727544</v>
      </c>
      <c r="N868">
        <f ca="1">IF(M868&lt;&gt;M867,INDEX(CustInfo!$A$2:$A$1001,RANDBETWEEN(1,1000)),N867)</f>
        <v>11766</v>
      </c>
      <c r="O868" t="s">
        <v>1001</v>
      </c>
      <c r="P868">
        <v>52937002</v>
      </c>
    </row>
    <row r="869" spans="1:16" x14ac:dyDescent="0.35">
      <c r="A869">
        <v>93827212314</v>
      </c>
      <c r="C869" s="2" t="s">
        <v>883</v>
      </c>
      <c r="D869">
        <v>3</v>
      </c>
      <c r="E869">
        <v>76891213345</v>
      </c>
      <c r="F869">
        <f t="shared" ca="1" si="26"/>
        <v>8</v>
      </c>
      <c r="G869">
        <f ca="1">VLOOKUP(E869,PurchItem!$A$2:$H$508,8,0)</f>
        <v>3652.5312345375505</v>
      </c>
      <c r="H869">
        <v>0.05</v>
      </c>
      <c r="I869" t="s">
        <v>244</v>
      </c>
      <c r="J869" s="5">
        <v>45061.594524409724</v>
      </c>
      <c r="K869" s="5">
        <v>45065.189048819448</v>
      </c>
      <c r="M869">
        <f t="shared" si="27"/>
        <v>10029727544</v>
      </c>
      <c r="N869">
        <f ca="1">IF(M869&lt;&gt;M868,INDEX(CustInfo!$A$2:$A$1001,RANDBETWEEN(1,1000)),N868)</f>
        <v>11766</v>
      </c>
      <c r="O869" t="s">
        <v>1001</v>
      </c>
      <c r="P869">
        <v>52937003</v>
      </c>
    </row>
    <row r="870" spans="1:16" x14ac:dyDescent="0.35">
      <c r="A870">
        <v>93827212314</v>
      </c>
      <c r="C870" s="2" t="s">
        <v>883</v>
      </c>
      <c r="D870">
        <v>4</v>
      </c>
      <c r="E870">
        <v>76891213336</v>
      </c>
      <c r="F870">
        <f t="shared" ca="1" si="26"/>
        <v>100</v>
      </c>
      <c r="G870">
        <f ca="1">VLOOKUP(E870,PurchItem!$A$2:$H$508,8,0)</f>
        <v>2324.4800791164721</v>
      </c>
      <c r="H870">
        <v>0.05</v>
      </c>
      <c r="I870" t="s">
        <v>244</v>
      </c>
      <c r="J870" s="5">
        <v>45298.594524409724</v>
      </c>
      <c r="K870" s="5">
        <v>45302.189048819448</v>
      </c>
      <c r="M870">
        <f t="shared" si="27"/>
        <v>10029727544</v>
      </c>
      <c r="N870">
        <f ca="1">IF(M870&lt;&gt;M869,INDEX(CustInfo!$A$2:$A$1001,RANDBETWEEN(1,1000)),N869)</f>
        <v>11766</v>
      </c>
      <c r="O870" t="s">
        <v>1001</v>
      </c>
      <c r="P870">
        <v>52937004</v>
      </c>
    </row>
    <row r="871" spans="1:16" x14ac:dyDescent="0.35">
      <c r="A871">
        <v>93827212315</v>
      </c>
      <c r="C871" s="2" t="s">
        <v>883</v>
      </c>
      <c r="D871">
        <v>1</v>
      </c>
      <c r="E871">
        <v>76891213582</v>
      </c>
      <c r="F871">
        <f t="shared" ca="1" si="26"/>
        <v>6</v>
      </c>
      <c r="G871">
        <f ca="1">VLOOKUP(E871,PurchItem!$A$2:$H$508,8,0)</f>
        <v>8124.1598690113979</v>
      </c>
      <c r="H871">
        <v>0.06</v>
      </c>
      <c r="I871" t="s">
        <v>244</v>
      </c>
      <c r="J871" s="5">
        <v>44647.594524409724</v>
      </c>
      <c r="K871" s="5">
        <v>44651.189048819448</v>
      </c>
      <c r="M871">
        <f t="shared" si="27"/>
        <v>10029727545</v>
      </c>
      <c r="N871">
        <f ca="1">IF(M871&lt;&gt;M870,INDEX(CustInfo!$A$2:$A$1001,RANDBETWEEN(1,1000)),N870)</f>
        <v>11903</v>
      </c>
      <c r="O871" t="s">
        <v>1002</v>
      </c>
      <c r="P871">
        <v>52937005</v>
      </c>
    </row>
    <row r="872" spans="1:16" x14ac:dyDescent="0.35">
      <c r="A872">
        <v>93827212316</v>
      </c>
      <c r="C872" s="2" t="s">
        <v>883</v>
      </c>
      <c r="D872">
        <v>1</v>
      </c>
      <c r="E872">
        <v>76891213540</v>
      </c>
      <c r="F872">
        <f t="shared" ca="1" si="26"/>
        <v>89</v>
      </c>
      <c r="G872">
        <f ca="1">VLOOKUP(E872,PurchItem!$A$2:$H$508,8,0)</f>
        <v>4363.4287015373038</v>
      </c>
      <c r="H872">
        <v>0.04</v>
      </c>
      <c r="I872" t="s">
        <v>244</v>
      </c>
      <c r="J872" s="5">
        <v>44618.594524409724</v>
      </c>
      <c r="K872" s="5">
        <v>44622.189048819448</v>
      </c>
      <c r="M872">
        <f t="shared" si="27"/>
        <v>10029727546</v>
      </c>
      <c r="N872">
        <f ca="1">IF(M872&lt;&gt;M871,INDEX(CustInfo!$A$2:$A$1001,RANDBETWEEN(1,1000)),N871)</f>
        <v>11172</v>
      </c>
      <c r="O872" t="s">
        <v>1003</v>
      </c>
      <c r="P872">
        <v>52937006</v>
      </c>
    </row>
    <row r="873" spans="1:16" x14ac:dyDescent="0.35">
      <c r="A873">
        <v>93827212317</v>
      </c>
      <c r="C873" s="2" t="s">
        <v>883</v>
      </c>
      <c r="D873">
        <v>1</v>
      </c>
      <c r="E873">
        <v>76891213618</v>
      </c>
      <c r="F873">
        <f t="shared" ca="1" si="26"/>
        <v>45</v>
      </c>
      <c r="G873">
        <f ca="1">VLOOKUP(E873,PurchItem!$A$2:$H$508,8,0)</f>
        <v>3216.4328612514669</v>
      </c>
      <c r="H873">
        <v>0.06</v>
      </c>
      <c r="I873" t="s">
        <v>244</v>
      </c>
      <c r="J873" s="5">
        <v>45492.594524409724</v>
      </c>
      <c r="K873" s="5">
        <v>45495.189048819448</v>
      </c>
      <c r="M873">
        <f t="shared" si="27"/>
        <v>10029727547</v>
      </c>
      <c r="N873">
        <f ca="1">IF(M873&lt;&gt;M872,INDEX(CustInfo!$A$2:$A$1001,RANDBETWEEN(1,1000)),N872)</f>
        <v>11151</v>
      </c>
      <c r="O873" t="s">
        <v>1003</v>
      </c>
      <c r="P873">
        <v>52937007</v>
      </c>
    </row>
    <row r="874" spans="1:16" x14ac:dyDescent="0.35">
      <c r="A874">
        <v>93827212317</v>
      </c>
      <c r="C874" s="2" t="s">
        <v>883</v>
      </c>
      <c r="D874">
        <v>2</v>
      </c>
      <c r="E874">
        <v>76891213215</v>
      </c>
      <c r="F874">
        <f t="shared" ca="1" si="26"/>
        <v>46</v>
      </c>
      <c r="G874">
        <f ca="1">VLOOKUP(E874,PurchItem!$A$2:$H$508,8,0)</f>
        <v>2142.1644782232815</v>
      </c>
      <c r="H874">
        <v>0.05</v>
      </c>
      <c r="I874" t="s">
        <v>244</v>
      </c>
      <c r="J874" s="5">
        <v>45345.594524409724</v>
      </c>
      <c r="K874" s="5">
        <v>45347.189048819448</v>
      </c>
      <c r="M874">
        <f t="shared" si="27"/>
        <v>10029727547</v>
      </c>
      <c r="N874">
        <f ca="1">IF(M874&lt;&gt;M873,INDEX(CustInfo!$A$2:$A$1001,RANDBETWEEN(1,1000)),N873)</f>
        <v>11151</v>
      </c>
      <c r="O874" t="s">
        <v>1003</v>
      </c>
      <c r="P874">
        <v>52937008</v>
      </c>
    </row>
    <row r="875" spans="1:16" x14ac:dyDescent="0.35">
      <c r="A875">
        <v>93827212318</v>
      </c>
      <c r="C875" s="2" t="s">
        <v>883</v>
      </c>
      <c r="D875">
        <v>1</v>
      </c>
      <c r="E875">
        <v>76891213549</v>
      </c>
      <c r="F875">
        <f t="shared" ca="1" si="26"/>
        <v>54</v>
      </c>
      <c r="G875">
        <f ca="1">VLOOKUP(E875,PurchItem!$A$2:$H$508,8,0)</f>
        <v>5727.7008118950862</v>
      </c>
      <c r="H875">
        <v>0.05</v>
      </c>
      <c r="I875" t="s">
        <v>244</v>
      </c>
      <c r="J875" s="5">
        <v>45276.594524409724</v>
      </c>
      <c r="K875" s="5">
        <v>45280.189048819448</v>
      </c>
      <c r="M875">
        <f t="shared" si="27"/>
        <v>10029727548</v>
      </c>
      <c r="N875">
        <f ca="1">IF(M875&lt;&gt;M874,INDEX(CustInfo!$A$2:$A$1001,RANDBETWEEN(1,1000)),N874)</f>
        <v>11114</v>
      </c>
      <c r="O875" t="s">
        <v>1001</v>
      </c>
      <c r="P875">
        <v>52937009</v>
      </c>
    </row>
    <row r="876" spans="1:16" x14ac:dyDescent="0.35">
      <c r="A876">
        <v>93827212318</v>
      </c>
      <c r="C876" s="2" t="s">
        <v>883</v>
      </c>
      <c r="D876">
        <v>2</v>
      </c>
      <c r="E876">
        <v>76891213536</v>
      </c>
      <c r="F876">
        <f t="shared" ca="1" si="26"/>
        <v>90</v>
      </c>
      <c r="G876">
        <f ca="1">VLOOKUP(E876,PurchItem!$A$2:$H$508,8,0)</f>
        <v>3566.6147595047973</v>
      </c>
      <c r="H876">
        <v>0.06</v>
      </c>
      <c r="I876" t="s">
        <v>244</v>
      </c>
      <c r="J876" s="5">
        <v>45482.594524409724</v>
      </c>
      <c r="K876" s="5">
        <v>45485.189048819448</v>
      </c>
      <c r="M876">
        <f t="shared" si="27"/>
        <v>10029727548</v>
      </c>
      <c r="N876">
        <f ca="1">IF(M876&lt;&gt;M875,INDEX(CustInfo!$A$2:$A$1001,RANDBETWEEN(1,1000)),N875)</f>
        <v>11114</v>
      </c>
      <c r="O876" t="s">
        <v>1001</v>
      </c>
      <c r="P876">
        <v>52937010</v>
      </c>
    </row>
    <row r="877" spans="1:16" x14ac:dyDescent="0.35">
      <c r="A877">
        <v>93827212319</v>
      </c>
      <c r="C877" s="2" t="s">
        <v>883</v>
      </c>
      <c r="D877">
        <v>1</v>
      </c>
      <c r="E877">
        <v>76891213409</v>
      </c>
      <c r="F877">
        <f t="shared" ca="1" si="26"/>
        <v>23</v>
      </c>
      <c r="G877">
        <f ca="1">VLOOKUP(E877,PurchItem!$A$2:$H$508,8,0)</f>
        <v>2712.1982659831201</v>
      </c>
      <c r="H877">
        <v>0.04</v>
      </c>
      <c r="I877" t="s">
        <v>244</v>
      </c>
      <c r="J877" s="5">
        <v>45157.594524409724</v>
      </c>
      <c r="K877" s="5">
        <v>45160.189048819448</v>
      </c>
      <c r="M877">
        <f t="shared" si="27"/>
        <v>10029727549</v>
      </c>
      <c r="N877">
        <f ca="1">IF(M877&lt;&gt;M876,INDEX(CustInfo!$A$2:$A$1001,RANDBETWEEN(1,1000)),N876)</f>
        <v>11683</v>
      </c>
      <c r="O877" t="s">
        <v>1001</v>
      </c>
      <c r="P877">
        <v>52937011</v>
      </c>
    </row>
    <row r="878" spans="1:16" x14ac:dyDescent="0.35">
      <c r="A878">
        <v>93827212319</v>
      </c>
      <c r="C878" s="2" t="s">
        <v>883</v>
      </c>
      <c r="D878">
        <v>2</v>
      </c>
      <c r="E878">
        <v>76891213425</v>
      </c>
      <c r="F878">
        <f t="shared" ca="1" si="26"/>
        <v>56</v>
      </c>
      <c r="G878">
        <f ca="1">VLOOKUP(E878,PurchItem!$A$2:$H$508,8,0)</f>
        <v>7305.5008049485577</v>
      </c>
      <c r="H878">
        <v>0.06</v>
      </c>
      <c r="I878" t="s">
        <v>244</v>
      </c>
      <c r="J878" s="5">
        <v>45272.594524409724</v>
      </c>
      <c r="K878" s="5">
        <v>45274.189048819448</v>
      </c>
      <c r="M878">
        <f t="shared" si="27"/>
        <v>10029727549</v>
      </c>
      <c r="N878">
        <f ca="1">IF(M878&lt;&gt;M877,INDEX(CustInfo!$A$2:$A$1001,RANDBETWEEN(1,1000)),N877)</f>
        <v>11683</v>
      </c>
      <c r="O878" t="s">
        <v>1001</v>
      </c>
      <c r="P878">
        <v>52937012</v>
      </c>
    </row>
    <row r="879" spans="1:16" x14ac:dyDescent="0.35">
      <c r="A879">
        <v>93827212319</v>
      </c>
      <c r="C879" s="2" t="s">
        <v>883</v>
      </c>
      <c r="D879">
        <v>3</v>
      </c>
      <c r="E879">
        <v>76891213552</v>
      </c>
      <c r="F879">
        <f t="shared" ca="1" si="26"/>
        <v>6</v>
      </c>
      <c r="G879">
        <f ca="1">VLOOKUP(E879,PurchItem!$A$2:$H$508,8,0)</f>
        <v>1307.476350595766</v>
      </c>
      <c r="H879">
        <v>0.04</v>
      </c>
      <c r="I879" t="s">
        <v>244</v>
      </c>
      <c r="J879" s="5">
        <v>44826.594524409724</v>
      </c>
      <c r="K879" s="5">
        <v>44828.189048819448</v>
      </c>
      <c r="M879">
        <f t="shared" si="27"/>
        <v>10029727549</v>
      </c>
      <c r="N879">
        <f ca="1">IF(M879&lt;&gt;M878,INDEX(CustInfo!$A$2:$A$1001,RANDBETWEEN(1,1000)),N878)</f>
        <v>11683</v>
      </c>
      <c r="O879" t="s">
        <v>1001</v>
      </c>
      <c r="P879">
        <v>52937013</v>
      </c>
    </row>
    <row r="880" spans="1:16" x14ac:dyDescent="0.35">
      <c r="A880">
        <v>93827212319</v>
      </c>
      <c r="C880" s="2" t="s">
        <v>883</v>
      </c>
      <c r="D880">
        <v>4</v>
      </c>
      <c r="E880">
        <v>76891213557</v>
      </c>
      <c r="F880">
        <f t="shared" ca="1" si="26"/>
        <v>45</v>
      </c>
      <c r="G880">
        <f ca="1">VLOOKUP(E880,PurchItem!$A$2:$H$508,8,0)</f>
        <v>942.60995441491764</v>
      </c>
      <c r="H880">
        <v>0.04</v>
      </c>
      <c r="I880" t="s">
        <v>244</v>
      </c>
      <c r="J880" s="5">
        <v>45469.594524409724</v>
      </c>
      <c r="K880" s="5">
        <v>45470.189048819448</v>
      </c>
      <c r="M880">
        <f t="shared" si="27"/>
        <v>10029727549</v>
      </c>
      <c r="N880">
        <f ca="1">IF(M880&lt;&gt;M879,INDEX(CustInfo!$A$2:$A$1001,RANDBETWEEN(1,1000)),N879)</f>
        <v>11683</v>
      </c>
      <c r="O880" t="s">
        <v>1001</v>
      </c>
      <c r="P880">
        <v>52937014</v>
      </c>
    </row>
    <row r="881" spans="1:16" x14ac:dyDescent="0.35">
      <c r="A881">
        <v>93827212320</v>
      </c>
      <c r="C881" s="2" t="s">
        <v>883</v>
      </c>
      <c r="D881">
        <v>1</v>
      </c>
      <c r="E881">
        <v>76891213441</v>
      </c>
      <c r="F881">
        <f t="shared" ca="1" si="26"/>
        <v>58</v>
      </c>
      <c r="G881">
        <f ca="1">VLOOKUP(E881,PurchItem!$A$2:$H$508,8,0)</f>
        <v>244.74714031396113</v>
      </c>
      <c r="H881">
        <v>0.04</v>
      </c>
      <c r="I881" t="s">
        <v>244</v>
      </c>
      <c r="J881" s="5">
        <v>45028.594524409724</v>
      </c>
      <c r="K881" s="5">
        <v>45030.189048819448</v>
      </c>
      <c r="M881">
        <f t="shared" si="27"/>
        <v>10029727550</v>
      </c>
      <c r="N881">
        <f ca="1">IF(M881&lt;&gt;M880,INDEX(CustInfo!$A$2:$A$1001,RANDBETWEEN(1,1000)),N880)</f>
        <v>11112</v>
      </c>
      <c r="O881" t="s">
        <v>1003</v>
      </c>
      <c r="P881">
        <v>52937015</v>
      </c>
    </row>
    <row r="882" spans="1:16" x14ac:dyDescent="0.35">
      <c r="A882">
        <v>93827212320</v>
      </c>
      <c r="C882" s="2" t="s">
        <v>883</v>
      </c>
      <c r="D882">
        <v>2</v>
      </c>
      <c r="E882">
        <v>76891213318</v>
      </c>
      <c r="F882">
        <f t="shared" ca="1" si="26"/>
        <v>3</v>
      </c>
      <c r="G882">
        <f ca="1">VLOOKUP(E882,PurchItem!$A$2:$H$508,8,0)</f>
        <v>8260.5762424972345</v>
      </c>
      <c r="H882">
        <v>0.04</v>
      </c>
      <c r="I882" t="s">
        <v>244</v>
      </c>
      <c r="J882" s="5">
        <v>44576.594524409724</v>
      </c>
      <c r="K882" s="5">
        <v>44579.189048819448</v>
      </c>
      <c r="M882">
        <f t="shared" si="27"/>
        <v>10029727550</v>
      </c>
      <c r="N882">
        <f ca="1">IF(M882&lt;&gt;M881,INDEX(CustInfo!$A$2:$A$1001,RANDBETWEEN(1,1000)),N881)</f>
        <v>11112</v>
      </c>
      <c r="O882" t="s">
        <v>1003</v>
      </c>
      <c r="P882">
        <v>52937016</v>
      </c>
    </row>
    <row r="883" spans="1:16" x14ac:dyDescent="0.35">
      <c r="A883">
        <v>93827212321</v>
      </c>
      <c r="C883" s="2" t="s">
        <v>883</v>
      </c>
      <c r="D883">
        <v>1</v>
      </c>
      <c r="E883">
        <v>76891213492</v>
      </c>
      <c r="F883">
        <f t="shared" ca="1" si="26"/>
        <v>77</v>
      </c>
      <c r="G883">
        <f ca="1">VLOOKUP(E883,PurchItem!$A$2:$H$508,8,0)</f>
        <v>4212.9527121259771</v>
      </c>
      <c r="H883">
        <v>0.04</v>
      </c>
      <c r="I883" t="s">
        <v>244</v>
      </c>
      <c r="J883" s="5">
        <v>44745.594524409724</v>
      </c>
      <c r="K883" s="5">
        <v>44749.189048819448</v>
      </c>
      <c r="M883">
        <f t="shared" si="27"/>
        <v>10029727551</v>
      </c>
      <c r="N883">
        <f ca="1">IF(M883&lt;&gt;M882,INDEX(CustInfo!$A$2:$A$1001,RANDBETWEEN(1,1000)),N882)</f>
        <v>11981</v>
      </c>
      <c r="O883" t="s">
        <v>1001</v>
      </c>
      <c r="P883">
        <v>52937017</v>
      </c>
    </row>
    <row r="884" spans="1:16" x14ac:dyDescent="0.35">
      <c r="A884">
        <v>93827212321</v>
      </c>
      <c r="C884" s="2" t="s">
        <v>883</v>
      </c>
      <c r="D884">
        <v>2</v>
      </c>
      <c r="E884">
        <v>76891213422</v>
      </c>
      <c r="F884">
        <f t="shared" ca="1" si="26"/>
        <v>78</v>
      </c>
      <c r="G884">
        <f ca="1">VLOOKUP(E884,PurchItem!$A$2:$H$508,8,0)</f>
        <v>2902.3044736195407</v>
      </c>
      <c r="H884">
        <v>0.06</v>
      </c>
      <c r="I884" t="s">
        <v>244</v>
      </c>
      <c r="J884" s="5">
        <v>44902.594524409724</v>
      </c>
      <c r="K884" s="5">
        <v>44903.189048819448</v>
      </c>
      <c r="M884">
        <f t="shared" si="27"/>
        <v>10029727551</v>
      </c>
      <c r="N884">
        <f ca="1">IF(M884&lt;&gt;M883,INDEX(CustInfo!$A$2:$A$1001,RANDBETWEEN(1,1000)),N883)</f>
        <v>11981</v>
      </c>
      <c r="O884" t="s">
        <v>1001</v>
      </c>
      <c r="P884">
        <v>52937018</v>
      </c>
    </row>
    <row r="885" spans="1:16" x14ac:dyDescent="0.35">
      <c r="A885">
        <v>93827212321</v>
      </c>
      <c r="C885" s="2" t="s">
        <v>883</v>
      </c>
      <c r="D885">
        <v>3</v>
      </c>
      <c r="E885">
        <v>76891213295</v>
      </c>
      <c r="F885">
        <f t="shared" ca="1" si="26"/>
        <v>57</v>
      </c>
      <c r="G885">
        <f ca="1">VLOOKUP(E885,PurchItem!$A$2:$H$508,8,0)</f>
        <v>8376.1725815416812</v>
      </c>
      <c r="H885">
        <v>0.05</v>
      </c>
      <c r="I885" t="s">
        <v>244</v>
      </c>
      <c r="J885" s="5">
        <v>45140.594524409724</v>
      </c>
      <c r="K885" s="5">
        <v>45141.189048819448</v>
      </c>
      <c r="M885">
        <f t="shared" si="27"/>
        <v>10029727551</v>
      </c>
      <c r="N885">
        <f ca="1">IF(M885&lt;&gt;M884,INDEX(CustInfo!$A$2:$A$1001,RANDBETWEEN(1,1000)),N884)</f>
        <v>11981</v>
      </c>
      <c r="O885" t="s">
        <v>1001</v>
      </c>
      <c r="P885">
        <v>52937019</v>
      </c>
    </row>
    <row r="886" spans="1:16" x14ac:dyDescent="0.35">
      <c r="A886">
        <v>93827212321</v>
      </c>
      <c r="C886" s="2" t="s">
        <v>883</v>
      </c>
      <c r="D886">
        <v>4</v>
      </c>
      <c r="E886">
        <v>76891213452</v>
      </c>
      <c r="F886">
        <f t="shared" ca="1" si="26"/>
        <v>68</v>
      </c>
      <c r="G886">
        <f ca="1">VLOOKUP(E886,PurchItem!$A$2:$H$508,8,0)</f>
        <v>6346.9434428168151</v>
      </c>
      <c r="H886">
        <v>0.04</v>
      </c>
      <c r="I886" t="s">
        <v>244</v>
      </c>
      <c r="J886" s="5">
        <v>44567.594524409724</v>
      </c>
      <c r="K886" s="5">
        <v>44571.189048819448</v>
      </c>
      <c r="M886">
        <f t="shared" si="27"/>
        <v>10029727551</v>
      </c>
      <c r="N886">
        <f ca="1">IF(M886&lt;&gt;M885,INDEX(CustInfo!$A$2:$A$1001,RANDBETWEEN(1,1000)),N885)</f>
        <v>11981</v>
      </c>
      <c r="O886" t="s">
        <v>1001</v>
      </c>
      <c r="P886">
        <v>52937020</v>
      </c>
    </row>
    <row r="887" spans="1:16" x14ac:dyDescent="0.35">
      <c r="A887">
        <v>93827212322</v>
      </c>
      <c r="C887" s="2" t="s">
        <v>883</v>
      </c>
      <c r="D887">
        <v>1</v>
      </c>
      <c r="E887">
        <v>76891213324</v>
      </c>
      <c r="F887">
        <f t="shared" ca="1" si="26"/>
        <v>30</v>
      </c>
      <c r="G887">
        <f ca="1">VLOOKUP(E887,PurchItem!$A$2:$H$508,8,0)</f>
        <v>5167.9016211713106</v>
      </c>
      <c r="H887">
        <v>0.05</v>
      </c>
      <c r="I887" t="s">
        <v>244</v>
      </c>
      <c r="J887" s="5">
        <v>45321.594524409724</v>
      </c>
      <c r="K887" s="5">
        <v>45325.189048819448</v>
      </c>
      <c r="M887">
        <f t="shared" si="27"/>
        <v>10029727552</v>
      </c>
      <c r="N887">
        <f ca="1">IF(M887&lt;&gt;M886,INDEX(CustInfo!$A$2:$A$1001,RANDBETWEEN(1,1000)),N886)</f>
        <v>11097</v>
      </c>
      <c r="O887" t="s">
        <v>1001</v>
      </c>
      <c r="P887">
        <v>52937021</v>
      </c>
    </row>
    <row r="888" spans="1:16" x14ac:dyDescent="0.35">
      <c r="A888">
        <v>93827212322</v>
      </c>
      <c r="C888" s="2" t="s">
        <v>883</v>
      </c>
      <c r="D888">
        <v>2</v>
      </c>
      <c r="E888">
        <v>76891213632</v>
      </c>
      <c r="F888">
        <f t="shared" ca="1" si="26"/>
        <v>69</v>
      </c>
      <c r="G888">
        <f ca="1">VLOOKUP(E888,PurchItem!$A$2:$H$508,8,0)</f>
        <v>2684.3182600797395</v>
      </c>
      <c r="H888">
        <v>0.05</v>
      </c>
      <c r="I888" t="s">
        <v>244</v>
      </c>
      <c r="J888" s="5">
        <v>45058.594524409724</v>
      </c>
      <c r="K888" s="5">
        <v>45062.189048819448</v>
      </c>
      <c r="M888">
        <f t="shared" si="27"/>
        <v>10029727552</v>
      </c>
      <c r="N888">
        <f ca="1">IF(M888&lt;&gt;M887,INDEX(CustInfo!$A$2:$A$1001,RANDBETWEEN(1,1000)),N887)</f>
        <v>11097</v>
      </c>
      <c r="O888" t="s">
        <v>1001</v>
      </c>
      <c r="P888">
        <v>52937022</v>
      </c>
    </row>
    <row r="889" spans="1:16" x14ac:dyDescent="0.35">
      <c r="A889">
        <v>93827212322</v>
      </c>
      <c r="C889" s="2" t="s">
        <v>883</v>
      </c>
      <c r="D889">
        <v>3</v>
      </c>
      <c r="E889">
        <v>76891213622</v>
      </c>
      <c r="F889">
        <f t="shared" ca="1" si="26"/>
        <v>18</v>
      </c>
      <c r="G889">
        <f ca="1">VLOOKUP(E889,PurchItem!$A$2:$H$508,8,0)</f>
        <v>7391.767855280551</v>
      </c>
      <c r="H889">
        <v>0.04</v>
      </c>
      <c r="I889" t="s">
        <v>244</v>
      </c>
      <c r="J889" s="5">
        <v>45542.594524409724</v>
      </c>
      <c r="K889" s="5">
        <v>45543.189048819448</v>
      </c>
      <c r="M889">
        <f t="shared" si="27"/>
        <v>10029727552</v>
      </c>
      <c r="N889">
        <f ca="1">IF(M889&lt;&gt;M888,INDEX(CustInfo!$A$2:$A$1001,RANDBETWEEN(1,1000)),N888)</f>
        <v>11097</v>
      </c>
      <c r="O889" t="s">
        <v>1001</v>
      </c>
      <c r="P889">
        <v>52937023</v>
      </c>
    </row>
    <row r="890" spans="1:16" x14ac:dyDescent="0.35">
      <c r="A890">
        <v>93827212322</v>
      </c>
      <c r="C890" s="2" t="s">
        <v>883</v>
      </c>
      <c r="D890">
        <v>4</v>
      </c>
      <c r="E890">
        <v>76891213479</v>
      </c>
      <c r="F890">
        <f t="shared" ca="1" si="26"/>
        <v>41</v>
      </c>
      <c r="G890">
        <f ca="1">VLOOKUP(E890,PurchItem!$A$2:$H$508,8,0)</f>
        <v>6220.9089937272938</v>
      </c>
      <c r="H890">
        <v>0.06</v>
      </c>
      <c r="I890" t="s">
        <v>244</v>
      </c>
      <c r="J890" s="5">
        <v>45195.594524409724</v>
      </c>
      <c r="K890" s="5">
        <v>45199.189048819448</v>
      </c>
      <c r="M890">
        <f t="shared" si="27"/>
        <v>10029727552</v>
      </c>
      <c r="N890">
        <f ca="1">IF(M890&lt;&gt;M889,INDEX(CustInfo!$A$2:$A$1001,RANDBETWEEN(1,1000)),N889)</f>
        <v>11097</v>
      </c>
      <c r="O890" t="s">
        <v>1001</v>
      </c>
      <c r="P890">
        <v>52937024</v>
      </c>
    </row>
    <row r="891" spans="1:16" x14ac:dyDescent="0.35">
      <c r="A891">
        <v>93827212323</v>
      </c>
      <c r="C891" s="2" t="s">
        <v>883</v>
      </c>
      <c r="D891">
        <v>1</v>
      </c>
      <c r="E891">
        <v>76891213479</v>
      </c>
      <c r="F891">
        <f t="shared" ca="1" si="26"/>
        <v>81</v>
      </c>
      <c r="G891">
        <f ca="1">VLOOKUP(E891,PurchItem!$A$2:$H$508,8,0)</f>
        <v>6220.9089937272938</v>
      </c>
      <c r="H891">
        <v>0.04</v>
      </c>
      <c r="I891" t="s">
        <v>244</v>
      </c>
      <c r="J891" s="5">
        <v>45236.594524409724</v>
      </c>
      <c r="K891" s="5">
        <v>45238.189048819448</v>
      </c>
      <c r="M891">
        <f t="shared" si="27"/>
        <v>10029727553</v>
      </c>
      <c r="N891">
        <f ca="1">IF(M891&lt;&gt;M890,INDEX(CustInfo!$A$2:$A$1001,RANDBETWEEN(1,1000)),N890)</f>
        <v>11946</v>
      </c>
      <c r="O891" t="s">
        <v>1001</v>
      </c>
      <c r="P891">
        <v>52937025</v>
      </c>
    </row>
    <row r="892" spans="1:16" x14ac:dyDescent="0.35">
      <c r="A892">
        <v>93827212323</v>
      </c>
      <c r="C892" s="2" t="s">
        <v>883</v>
      </c>
      <c r="D892">
        <v>2</v>
      </c>
      <c r="E892">
        <v>76891213210</v>
      </c>
      <c r="F892">
        <f t="shared" ca="1" si="26"/>
        <v>43</v>
      </c>
      <c r="G892">
        <f ca="1">VLOOKUP(E892,PurchItem!$A$2:$H$508,8,0)</f>
        <v>2049.2315909139547</v>
      </c>
      <c r="H892">
        <v>0.04</v>
      </c>
      <c r="I892" t="s">
        <v>244</v>
      </c>
      <c r="J892" s="5">
        <v>44724.594524409724</v>
      </c>
      <c r="K892" s="5">
        <v>44727.189048819448</v>
      </c>
      <c r="M892">
        <f t="shared" si="27"/>
        <v>10029727553</v>
      </c>
      <c r="N892">
        <f ca="1">IF(M892&lt;&gt;M891,INDEX(CustInfo!$A$2:$A$1001,RANDBETWEEN(1,1000)),N891)</f>
        <v>11946</v>
      </c>
      <c r="O892" t="s">
        <v>1001</v>
      </c>
      <c r="P892">
        <v>52937026</v>
      </c>
    </row>
    <row r="893" spans="1:16" x14ac:dyDescent="0.35">
      <c r="A893">
        <v>93827212323</v>
      </c>
      <c r="C893" s="2" t="s">
        <v>883</v>
      </c>
      <c r="D893">
        <v>3</v>
      </c>
      <c r="E893">
        <v>76891213185</v>
      </c>
      <c r="F893">
        <f t="shared" ca="1" si="26"/>
        <v>72</v>
      </c>
      <c r="G893">
        <f ca="1">VLOOKUP(E893,PurchItem!$A$2:$H$508,8,0)</f>
        <v>3505.4054103103044</v>
      </c>
      <c r="H893">
        <v>0.06</v>
      </c>
      <c r="I893" t="s">
        <v>244</v>
      </c>
      <c r="J893" s="5">
        <v>45100.594524409724</v>
      </c>
      <c r="K893" s="5">
        <v>45102.189048819448</v>
      </c>
      <c r="M893">
        <f t="shared" si="27"/>
        <v>10029727553</v>
      </c>
      <c r="N893">
        <f ca="1">IF(M893&lt;&gt;M892,INDEX(CustInfo!$A$2:$A$1001,RANDBETWEEN(1,1000)),N892)</f>
        <v>11946</v>
      </c>
      <c r="O893" t="s">
        <v>1001</v>
      </c>
      <c r="P893">
        <v>52937027</v>
      </c>
    </row>
    <row r="894" spans="1:16" x14ac:dyDescent="0.35">
      <c r="A894">
        <v>93827212324</v>
      </c>
      <c r="C894" s="2" t="s">
        <v>883</v>
      </c>
      <c r="D894">
        <v>1</v>
      </c>
      <c r="E894">
        <v>76891213598</v>
      </c>
      <c r="F894">
        <f t="shared" ca="1" si="26"/>
        <v>29</v>
      </c>
      <c r="G894">
        <f ca="1">VLOOKUP(E894,PurchItem!$A$2:$H$508,8,0)</f>
        <v>3209.0538132389734</v>
      </c>
      <c r="H894">
        <v>0.06</v>
      </c>
      <c r="I894" t="s">
        <v>244</v>
      </c>
      <c r="J894" s="5">
        <v>45167.594524409724</v>
      </c>
      <c r="K894" s="5">
        <v>45168.189048819448</v>
      </c>
      <c r="M894">
        <f t="shared" si="27"/>
        <v>10029727554</v>
      </c>
      <c r="N894">
        <f ca="1">IF(M894&lt;&gt;M893,INDEX(CustInfo!$A$2:$A$1001,RANDBETWEEN(1,1000)),N893)</f>
        <v>11062</v>
      </c>
      <c r="O894" t="s">
        <v>1001</v>
      </c>
      <c r="P894">
        <v>52937028</v>
      </c>
    </row>
    <row r="895" spans="1:16" x14ac:dyDescent="0.35">
      <c r="A895">
        <v>93827212325</v>
      </c>
      <c r="C895" s="2" t="s">
        <v>883</v>
      </c>
      <c r="D895">
        <v>1</v>
      </c>
      <c r="E895">
        <v>76891213453</v>
      </c>
      <c r="F895">
        <f t="shared" ca="1" si="26"/>
        <v>67</v>
      </c>
      <c r="G895">
        <f ca="1">VLOOKUP(E895,PurchItem!$A$2:$H$508,8,0)</f>
        <v>6408.1054848483063</v>
      </c>
      <c r="H895">
        <v>0.05</v>
      </c>
      <c r="I895" t="s">
        <v>244</v>
      </c>
      <c r="J895" s="5">
        <v>44650.594524409724</v>
      </c>
      <c r="K895" s="5">
        <v>44654.189048819448</v>
      </c>
      <c r="M895">
        <f t="shared" si="27"/>
        <v>10029727555</v>
      </c>
      <c r="N895">
        <f ca="1">IF(M895&lt;&gt;M894,INDEX(CustInfo!$A$2:$A$1001,RANDBETWEEN(1,1000)),N894)</f>
        <v>11616</v>
      </c>
      <c r="O895" t="s">
        <v>1001</v>
      </c>
      <c r="P895">
        <v>52937029</v>
      </c>
    </row>
    <row r="896" spans="1:16" x14ac:dyDescent="0.35">
      <c r="A896">
        <v>93827212325</v>
      </c>
      <c r="C896" s="2" t="s">
        <v>883</v>
      </c>
      <c r="D896">
        <v>2</v>
      </c>
      <c r="E896">
        <v>76891213633</v>
      </c>
      <c r="F896">
        <f t="shared" ca="1" si="26"/>
        <v>61</v>
      </c>
      <c r="G896">
        <f ca="1">VLOOKUP(E896,PurchItem!$A$2:$H$508,8,0)</f>
        <v>4821.8382192090185</v>
      </c>
      <c r="H896">
        <v>0.06</v>
      </c>
      <c r="I896" t="s">
        <v>244</v>
      </c>
      <c r="J896" s="5">
        <v>44846.594524409724</v>
      </c>
      <c r="K896" s="5">
        <v>44848.189048819448</v>
      </c>
      <c r="M896">
        <f t="shared" si="27"/>
        <v>10029727555</v>
      </c>
      <c r="N896">
        <f ca="1">IF(M896&lt;&gt;M895,INDEX(CustInfo!$A$2:$A$1001,RANDBETWEEN(1,1000)),N895)</f>
        <v>11616</v>
      </c>
      <c r="O896" t="s">
        <v>1001</v>
      </c>
      <c r="P896">
        <v>52937030</v>
      </c>
    </row>
    <row r="897" spans="1:16" x14ac:dyDescent="0.35">
      <c r="A897">
        <v>93827212325</v>
      </c>
      <c r="C897" s="2" t="s">
        <v>883</v>
      </c>
      <c r="D897">
        <v>3</v>
      </c>
      <c r="E897">
        <v>76891213333</v>
      </c>
      <c r="F897">
        <f t="shared" ca="1" si="26"/>
        <v>39</v>
      </c>
      <c r="G897">
        <f ca="1">VLOOKUP(E897,PurchItem!$A$2:$H$508,8,0)</f>
        <v>8289.6692498362754</v>
      </c>
      <c r="H897">
        <v>0.06</v>
      </c>
      <c r="I897" t="s">
        <v>244</v>
      </c>
      <c r="J897" s="5">
        <v>45408.594524409724</v>
      </c>
      <c r="K897" s="5">
        <v>45412.189048819448</v>
      </c>
      <c r="M897">
        <f t="shared" si="27"/>
        <v>10029727555</v>
      </c>
      <c r="N897">
        <f ca="1">IF(M897&lt;&gt;M896,INDEX(CustInfo!$A$2:$A$1001,RANDBETWEEN(1,1000)),N896)</f>
        <v>11616</v>
      </c>
      <c r="O897" t="s">
        <v>1001</v>
      </c>
      <c r="P897">
        <v>52937031</v>
      </c>
    </row>
    <row r="898" spans="1:16" x14ac:dyDescent="0.35">
      <c r="A898">
        <v>93827212325</v>
      </c>
      <c r="C898" s="2" t="s">
        <v>883</v>
      </c>
      <c r="D898">
        <v>4</v>
      </c>
      <c r="E898">
        <v>76891213159</v>
      </c>
      <c r="F898">
        <f t="shared" ca="1" si="26"/>
        <v>99</v>
      </c>
      <c r="G898">
        <f ca="1">VLOOKUP(E898,PurchItem!$A$2:$H$508,8,0)</f>
        <v>1020.1296091286805</v>
      </c>
      <c r="H898">
        <v>0.06</v>
      </c>
      <c r="I898" t="s">
        <v>244</v>
      </c>
      <c r="J898" s="5">
        <v>45171.594524409724</v>
      </c>
      <c r="K898" s="5">
        <v>45172.189048819448</v>
      </c>
      <c r="M898">
        <f t="shared" si="27"/>
        <v>10029727555</v>
      </c>
      <c r="N898">
        <f ca="1">IF(M898&lt;&gt;M897,INDEX(CustInfo!$A$2:$A$1001,RANDBETWEEN(1,1000)),N897)</f>
        <v>11616</v>
      </c>
      <c r="O898" t="s">
        <v>1001</v>
      </c>
      <c r="P898">
        <v>52937032</v>
      </c>
    </row>
    <row r="899" spans="1:16" x14ac:dyDescent="0.35">
      <c r="A899">
        <v>93827212326</v>
      </c>
      <c r="C899" s="2" t="s">
        <v>883</v>
      </c>
      <c r="D899">
        <v>1</v>
      </c>
      <c r="E899">
        <v>76891213336</v>
      </c>
      <c r="F899">
        <f t="shared" ref="F899:F962" ca="1" si="28">RANDBETWEEN(1,100)</f>
        <v>90</v>
      </c>
      <c r="G899">
        <f ca="1">VLOOKUP(E899,PurchItem!$A$2:$H$508,8,0)</f>
        <v>2324.4800791164721</v>
      </c>
      <c r="H899">
        <v>0.04</v>
      </c>
      <c r="I899" t="s">
        <v>244</v>
      </c>
      <c r="J899" s="5">
        <v>45288.594524409724</v>
      </c>
      <c r="K899" s="5">
        <v>45292.189048819448</v>
      </c>
      <c r="M899">
        <f t="shared" si="27"/>
        <v>10029727556</v>
      </c>
      <c r="N899">
        <f ca="1">IF(M899&lt;&gt;M898,INDEX(CustInfo!$A$2:$A$1001,RANDBETWEEN(1,1000)),N898)</f>
        <v>11074</v>
      </c>
      <c r="O899" t="s">
        <v>1002</v>
      </c>
      <c r="P899">
        <v>52937033</v>
      </c>
    </row>
    <row r="900" spans="1:16" x14ac:dyDescent="0.35">
      <c r="A900">
        <v>93827212326</v>
      </c>
      <c r="C900" s="2" t="s">
        <v>883</v>
      </c>
      <c r="D900">
        <v>2</v>
      </c>
      <c r="E900">
        <v>76891213193</v>
      </c>
      <c r="F900">
        <f t="shared" ca="1" si="28"/>
        <v>54</v>
      </c>
      <c r="G900">
        <f ca="1">VLOOKUP(E900,PurchItem!$A$2:$H$508,8,0)</f>
        <v>6207.5236658812264</v>
      </c>
      <c r="H900">
        <v>0.05</v>
      </c>
      <c r="I900" t="s">
        <v>244</v>
      </c>
      <c r="J900" s="5">
        <v>45431.594524409724</v>
      </c>
      <c r="K900" s="5">
        <v>45434.189048819448</v>
      </c>
      <c r="M900">
        <f t="shared" si="27"/>
        <v>10029727556</v>
      </c>
      <c r="N900">
        <f ca="1">IF(M900&lt;&gt;M899,INDEX(CustInfo!$A$2:$A$1001,RANDBETWEEN(1,1000)),N899)</f>
        <v>11074</v>
      </c>
      <c r="O900" t="s">
        <v>1002</v>
      </c>
      <c r="P900">
        <v>52937034</v>
      </c>
    </row>
    <row r="901" spans="1:16" x14ac:dyDescent="0.35">
      <c r="A901">
        <v>93827212326</v>
      </c>
      <c r="C901" s="2" t="s">
        <v>883</v>
      </c>
      <c r="D901">
        <v>3</v>
      </c>
      <c r="E901">
        <v>76891213271</v>
      </c>
      <c r="F901">
        <f t="shared" ca="1" si="28"/>
        <v>25</v>
      </c>
      <c r="G901">
        <f ca="1">VLOOKUP(E901,PurchItem!$A$2:$H$508,8,0)</f>
        <v>2763.8336375941471</v>
      </c>
      <c r="H901">
        <v>0.05</v>
      </c>
      <c r="I901" t="s">
        <v>244</v>
      </c>
      <c r="J901" s="5">
        <v>45409.594524409724</v>
      </c>
      <c r="K901" s="5">
        <v>45412.189048819448</v>
      </c>
      <c r="M901">
        <f t="shared" ref="M901:M964" si="29">IF(A901&lt;&gt;A900,M900+1,M900)</f>
        <v>10029727556</v>
      </c>
      <c r="N901">
        <f ca="1">IF(M901&lt;&gt;M900,INDEX(CustInfo!$A$2:$A$1001,RANDBETWEEN(1,1000)),N900)</f>
        <v>11074</v>
      </c>
      <c r="O901" t="s">
        <v>1002</v>
      </c>
      <c r="P901">
        <v>52937035</v>
      </c>
    </row>
    <row r="902" spans="1:16" x14ac:dyDescent="0.35">
      <c r="A902">
        <v>93827212326</v>
      </c>
      <c r="C902" s="2" t="s">
        <v>883</v>
      </c>
      <c r="D902">
        <v>4</v>
      </c>
      <c r="E902">
        <v>76891213434</v>
      </c>
      <c r="F902">
        <f t="shared" ca="1" si="28"/>
        <v>5</v>
      </c>
      <c r="G902">
        <f ca="1">VLOOKUP(E902,PurchItem!$A$2:$H$508,8,0)</f>
        <v>1035.2793986688564</v>
      </c>
      <c r="H902">
        <v>0.04</v>
      </c>
      <c r="I902" t="s">
        <v>244</v>
      </c>
      <c r="J902" s="5">
        <f ca="1">RANDBETWEEN(DATE(2022,1,1),TODAY()-30)+$U$2</f>
        <v>45022</v>
      </c>
      <c r="K902" s="5">
        <f ca="1">J902+RANDBETWEEN(0,3)+$U$2</f>
        <v>45022</v>
      </c>
      <c r="M902">
        <f t="shared" si="29"/>
        <v>10029727556</v>
      </c>
      <c r="N902">
        <f ca="1">IF(M902&lt;&gt;M901,INDEX(CustInfo!$A$2:$A$1001,RANDBETWEEN(1,1000)),N901)</f>
        <v>11074</v>
      </c>
      <c r="O902" t="s">
        <v>1002</v>
      </c>
      <c r="P902">
        <v>52937036</v>
      </c>
    </row>
    <row r="903" spans="1:16" x14ac:dyDescent="0.35">
      <c r="A903">
        <v>93827212327</v>
      </c>
      <c r="C903" s="2" t="s">
        <v>883</v>
      </c>
      <c r="D903">
        <v>1</v>
      </c>
      <c r="E903">
        <v>76891213232</v>
      </c>
      <c r="F903">
        <f t="shared" ca="1" si="28"/>
        <v>39</v>
      </c>
      <c r="G903">
        <f ca="1">VLOOKUP(E903,PurchItem!$A$2:$H$508,8,0)</f>
        <v>8714.7937057341314</v>
      </c>
      <c r="H903">
        <v>0.05</v>
      </c>
      <c r="I903" t="s">
        <v>244</v>
      </c>
      <c r="J903" s="5">
        <v>44774.594524409724</v>
      </c>
      <c r="K903" s="5">
        <v>44776.189048819448</v>
      </c>
      <c r="M903">
        <f t="shared" si="29"/>
        <v>10029727557</v>
      </c>
      <c r="N903">
        <f ca="1">IF(M903&lt;&gt;M902,INDEX(CustInfo!$A$2:$A$1001,RANDBETWEEN(1,1000)),N902)</f>
        <v>11985</v>
      </c>
      <c r="O903" t="s">
        <v>1002</v>
      </c>
      <c r="P903">
        <v>52937037</v>
      </c>
    </row>
    <row r="904" spans="1:16" x14ac:dyDescent="0.35">
      <c r="A904">
        <v>93827212327</v>
      </c>
      <c r="C904" s="2" t="s">
        <v>883</v>
      </c>
      <c r="D904">
        <v>2</v>
      </c>
      <c r="E904">
        <v>76891213274</v>
      </c>
      <c r="F904">
        <f t="shared" ca="1" si="28"/>
        <v>25</v>
      </c>
      <c r="G904">
        <f ca="1">VLOOKUP(E904,PurchItem!$A$2:$H$508,8,0)</f>
        <v>6244.602607519897</v>
      </c>
      <c r="H904">
        <v>0.06</v>
      </c>
      <c r="I904" t="s">
        <v>244</v>
      </c>
      <c r="J904" s="5">
        <v>45569.594524409724</v>
      </c>
      <c r="K904" s="5">
        <v>45571.189048819448</v>
      </c>
      <c r="M904">
        <f t="shared" si="29"/>
        <v>10029727557</v>
      </c>
      <c r="N904">
        <f ca="1">IF(M904&lt;&gt;M903,INDEX(CustInfo!$A$2:$A$1001,RANDBETWEEN(1,1000)),N903)</f>
        <v>11985</v>
      </c>
      <c r="O904" t="s">
        <v>1002</v>
      </c>
      <c r="P904">
        <v>52937038</v>
      </c>
    </row>
    <row r="905" spans="1:16" x14ac:dyDescent="0.35">
      <c r="A905">
        <v>93827212327</v>
      </c>
      <c r="C905" s="2" t="s">
        <v>883</v>
      </c>
      <c r="D905">
        <v>3</v>
      </c>
      <c r="E905">
        <v>76891213186</v>
      </c>
      <c r="F905">
        <f t="shared" ca="1" si="28"/>
        <v>90</v>
      </c>
      <c r="G905">
        <f ca="1">VLOOKUP(E905,PurchItem!$A$2:$H$508,8,0)</f>
        <v>9814.0624540391254</v>
      </c>
      <c r="H905">
        <v>0.05</v>
      </c>
      <c r="I905" t="s">
        <v>244</v>
      </c>
      <c r="J905" s="5">
        <v>44605.594524409724</v>
      </c>
      <c r="K905" s="5">
        <v>44609.189048819448</v>
      </c>
      <c r="M905">
        <f t="shared" si="29"/>
        <v>10029727557</v>
      </c>
      <c r="N905">
        <f ca="1">IF(M905&lt;&gt;M904,INDEX(CustInfo!$A$2:$A$1001,RANDBETWEEN(1,1000)),N904)</f>
        <v>11985</v>
      </c>
      <c r="O905" t="s">
        <v>1002</v>
      </c>
      <c r="P905">
        <v>52937039</v>
      </c>
    </row>
    <row r="906" spans="1:16" x14ac:dyDescent="0.35">
      <c r="A906">
        <v>93827212328</v>
      </c>
      <c r="C906" s="2" t="s">
        <v>883</v>
      </c>
      <c r="D906">
        <v>1</v>
      </c>
      <c r="E906">
        <v>76891213382</v>
      </c>
      <c r="F906">
        <f t="shared" ca="1" si="28"/>
        <v>29</v>
      </c>
      <c r="G906">
        <f ca="1">VLOOKUP(E906,PurchItem!$A$2:$H$508,8,0)</f>
        <v>777.90611175999118</v>
      </c>
      <c r="H906">
        <v>0.06</v>
      </c>
      <c r="I906" t="s">
        <v>244</v>
      </c>
      <c r="J906" s="5">
        <v>45491.594524409724</v>
      </c>
      <c r="K906" s="5">
        <v>45493.189048819448</v>
      </c>
      <c r="M906">
        <f t="shared" si="29"/>
        <v>10029727558</v>
      </c>
      <c r="N906">
        <f ca="1">IF(M906&lt;&gt;M905,INDEX(CustInfo!$A$2:$A$1001,RANDBETWEEN(1,1000)),N905)</f>
        <v>11903</v>
      </c>
      <c r="O906" t="s">
        <v>1001</v>
      </c>
      <c r="P906">
        <v>52937040</v>
      </c>
    </row>
    <row r="907" spans="1:16" x14ac:dyDescent="0.35">
      <c r="A907">
        <v>93827212328</v>
      </c>
      <c r="C907" s="2" t="s">
        <v>883</v>
      </c>
      <c r="D907">
        <v>2</v>
      </c>
      <c r="E907">
        <v>76891213192</v>
      </c>
      <c r="F907">
        <f t="shared" ca="1" si="28"/>
        <v>81</v>
      </c>
      <c r="G907">
        <f ca="1">VLOOKUP(E907,PurchItem!$A$2:$H$508,8,0)</f>
        <v>6234.1103190362737</v>
      </c>
      <c r="H907">
        <v>0.05</v>
      </c>
      <c r="I907" t="s">
        <v>244</v>
      </c>
      <c r="J907" s="5">
        <v>45521.594524409724</v>
      </c>
      <c r="K907" s="5">
        <v>45523.189048819448</v>
      </c>
      <c r="M907">
        <f t="shared" si="29"/>
        <v>10029727558</v>
      </c>
      <c r="N907">
        <f ca="1">IF(M907&lt;&gt;M906,INDEX(CustInfo!$A$2:$A$1001,RANDBETWEEN(1,1000)),N906)</f>
        <v>11903</v>
      </c>
      <c r="O907" t="s">
        <v>1001</v>
      </c>
      <c r="P907">
        <v>52937041</v>
      </c>
    </row>
    <row r="908" spans="1:16" x14ac:dyDescent="0.35">
      <c r="A908">
        <v>93827212328</v>
      </c>
      <c r="C908" s="2" t="s">
        <v>883</v>
      </c>
      <c r="D908">
        <v>3</v>
      </c>
      <c r="E908">
        <v>76891213433</v>
      </c>
      <c r="F908">
        <f t="shared" ca="1" si="28"/>
        <v>15</v>
      </c>
      <c r="G908">
        <f ca="1">VLOOKUP(E908,PurchItem!$A$2:$H$508,8,0)</f>
        <v>8137.8051344838841</v>
      </c>
      <c r="H908">
        <v>0.05</v>
      </c>
      <c r="I908" t="s">
        <v>244</v>
      </c>
      <c r="J908" s="5">
        <v>45590.594524409724</v>
      </c>
      <c r="K908" s="5">
        <v>45593.189048819448</v>
      </c>
      <c r="M908">
        <f t="shared" si="29"/>
        <v>10029727558</v>
      </c>
      <c r="N908">
        <f ca="1">IF(M908&lt;&gt;M907,INDEX(CustInfo!$A$2:$A$1001,RANDBETWEEN(1,1000)),N907)</f>
        <v>11903</v>
      </c>
      <c r="O908" t="s">
        <v>1001</v>
      </c>
      <c r="P908">
        <v>52937042</v>
      </c>
    </row>
    <row r="909" spans="1:16" x14ac:dyDescent="0.35">
      <c r="A909">
        <v>93827212329</v>
      </c>
      <c r="C909" s="2" t="s">
        <v>883</v>
      </c>
      <c r="D909">
        <v>1</v>
      </c>
      <c r="E909">
        <v>76891213195</v>
      </c>
      <c r="F909">
        <f t="shared" ca="1" si="28"/>
        <v>60</v>
      </c>
      <c r="G909">
        <f ca="1">VLOOKUP(E909,PurchItem!$A$2:$H$508,8,0)</f>
        <v>2949.5166215472982</v>
      </c>
      <c r="H909">
        <v>0.04</v>
      </c>
      <c r="I909" t="s">
        <v>244</v>
      </c>
      <c r="J909" s="5">
        <v>45408.594524409724</v>
      </c>
      <c r="K909" s="5">
        <v>45411.189048819448</v>
      </c>
      <c r="M909">
        <f t="shared" si="29"/>
        <v>10029727559</v>
      </c>
      <c r="N909">
        <f ca="1">IF(M909&lt;&gt;M908,INDEX(CustInfo!$A$2:$A$1001,RANDBETWEEN(1,1000)),N908)</f>
        <v>11891</v>
      </c>
      <c r="O909" t="s">
        <v>1002</v>
      </c>
      <c r="P909">
        <v>52937043</v>
      </c>
    </row>
    <row r="910" spans="1:16" x14ac:dyDescent="0.35">
      <c r="A910">
        <v>93827212329</v>
      </c>
      <c r="C910" s="2" t="s">
        <v>883</v>
      </c>
      <c r="D910">
        <v>2</v>
      </c>
      <c r="E910">
        <v>76891213262</v>
      </c>
      <c r="F910">
        <f t="shared" ca="1" si="28"/>
        <v>16</v>
      </c>
      <c r="G910">
        <f ca="1">VLOOKUP(E910,PurchItem!$A$2:$H$508,8,0)</f>
        <v>3130.141280264294</v>
      </c>
      <c r="H910">
        <v>0.05</v>
      </c>
      <c r="I910" t="s">
        <v>244</v>
      </c>
      <c r="J910" s="5">
        <v>45202.594524409724</v>
      </c>
      <c r="K910" s="5">
        <v>45205.189048819448</v>
      </c>
      <c r="M910">
        <f t="shared" si="29"/>
        <v>10029727559</v>
      </c>
      <c r="N910">
        <f ca="1">IF(M910&lt;&gt;M909,INDEX(CustInfo!$A$2:$A$1001,RANDBETWEEN(1,1000)),N909)</f>
        <v>11891</v>
      </c>
      <c r="O910" t="s">
        <v>1002</v>
      </c>
      <c r="P910">
        <v>52937044</v>
      </c>
    </row>
    <row r="911" spans="1:16" x14ac:dyDescent="0.35">
      <c r="A911">
        <v>93827212329</v>
      </c>
      <c r="C911" s="2" t="s">
        <v>883</v>
      </c>
      <c r="D911">
        <v>3</v>
      </c>
      <c r="E911">
        <v>76891213485</v>
      </c>
      <c r="F911">
        <f t="shared" ca="1" si="28"/>
        <v>98</v>
      </c>
      <c r="G911">
        <f ca="1">VLOOKUP(E911,PurchItem!$A$2:$H$508,8,0)</f>
        <v>2807.3759282410369</v>
      </c>
      <c r="H911">
        <v>0.04</v>
      </c>
      <c r="I911" t="s">
        <v>244</v>
      </c>
      <c r="J911" s="5">
        <v>45002.594524409724</v>
      </c>
      <c r="K911" s="5">
        <v>45004.189048819448</v>
      </c>
      <c r="M911">
        <f t="shared" si="29"/>
        <v>10029727559</v>
      </c>
      <c r="N911">
        <f ca="1">IF(M911&lt;&gt;M910,INDEX(CustInfo!$A$2:$A$1001,RANDBETWEEN(1,1000)),N910)</f>
        <v>11891</v>
      </c>
      <c r="O911" t="s">
        <v>1002</v>
      </c>
      <c r="P911">
        <v>52937045</v>
      </c>
    </row>
    <row r="912" spans="1:16" x14ac:dyDescent="0.35">
      <c r="A912">
        <v>93827212329</v>
      </c>
      <c r="C912" s="2" t="s">
        <v>883</v>
      </c>
      <c r="D912">
        <v>4</v>
      </c>
      <c r="E912">
        <v>76891213348</v>
      </c>
      <c r="F912">
        <f t="shared" ca="1" si="28"/>
        <v>77</v>
      </c>
      <c r="G912">
        <f ca="1">VLOOKUP(E912,PurchItem!$A$2:$H$508,8,0)</f>
        <v>6169.9839706707698</v>
      </c>
      <c r="H912">
        <v>0.06</v>
      </c>
      <c r="I912" t="s">
        <v>244</v>
      </c>
      <c r="J912" s="5">
        <v>45250.594524409724</v>
      </c>
      <c r="K912" s="5">
        <v>45251.189048819448</v>
      </c>
      <c r="M912">
        <f t="shared" si="29"/>
        <v>10029727559</v>
      </c>
      <c r="N912">
        <f ca="1">IF(M912&lt;&gt;M911,INDEX(CustInfo!$A$2:$A$1001,RANDBETWEEN(1,1000)),N911)</f>
        <v>11891</v>
      </c>
      <c r="O912" t="s">
        <v>1002</v>
      </c>
      <c r="P912">
        <v>52937046</v>
      </c>
    </row>
    <row r="913" spans="1:16" x14ac:dyDescent="0.35">
      <c r="A913">
        <v>93827212330</v>
      </c>
      <c r="C913" s="2" t="s">
        <v>883</v>
      </c>
      <c r="D913">
        <v>1</v>
      </c>
      <c r="E913">
        <v>76891213396</v>
      </c>
      <c r="F913">
        <f t="shared" ca="1" si="28"/>
        <v>14</v>
      </c>
      <c r="G913">
        <f ca="1">VLOOKUP(E913,PurchItem!$A$2:$H$508,8,0)</f>
        <v>6179.0713956087257</v>
      </c>
      <c r="H913">
        <v>0.06</v>
      </c>
      <c r="I913" t="s">
        <v>244</v>
      </c>
      <c r="J913" s="5">
        <v>45401.594524409724</v>
      </c>
      <c r="K913" s="5">
        <v>45403.189048819448</v>
      </c>
      <c r="M913">
        <f t="shared" si="29"/>
        <v>10029727560</v>
      </c>
      <c r="N913">
        <f ca="1">IF(M913&lt;&gt;M912,INDEX(CustInfo!$A$2:$A$1001,RANDBETWEEN(1,1000)),N912)</f>
        <v>11551</v>
      </c>
      <c r="O913" t="s">
        <v>1001</v>
      </c>
      <c r="P913">
        <v>52937047</v>
      </c>
    </row>
    <row r="914" spans="1:16" x14ac:dyDescent="0.35">
      <c r="A914">
        <v>93827212330</v>
      </c>
      <c r="C914" s="2" t="s">
        <v>883</v>
      </c>
      <c r="D914">
        <v>2</v>
      </c>
      <c r="E914">
        <v>76891213516</v>
      </c>
      <c r="F914">
        <f t="shared" ca="1" si="28"/>
        <v>56</v>
      </c>
      <c r="G914">
        <f ca="1">VLOOKUP(E914,PurchItem!$A$2:$H$508,8,0)</f>
        <v>6085.3230799454695</v>
      </c>
      <c r="H914">
        <v>0.06</v>
      </c>
      <c r="I914" t="s">
        <v>244</v>
      </c>
      <c r="J914" s="5">
        <v>45421.594524409724</v>
      </c>
      <c r="K914" s="5">
        <v>45422.189048819448</v>
      </c>
      <c r="M914">
        <f t="shared" si="29"/>
        <v>10029727560</v>
      </c>
      <c r="N914">
        <f ca="1">IF(M914&lt;&gt;M913,INDEX(CustInfo!$A$2:$A$1001,RANDBETWEEN(1,1000)),N913)</f>
        <v>11551</v>
      </c>
      <c r="O914" t="s">
        <v>1001</v>
      </c>
      <c r="P914">
        <v>52937048</v>
      </c>
    </row>
    <row r="915" spans="1:16" x14ac:dyDescent="0.35">
      <c r="A915">
        <v>93827212330</v>
      </c>
      <c r="C915" s="2" t="s">
        <v>883</v>
      </c>
      <c r="D915">
        <v>3</v>
      </c>
      <c r="E915">
        <v>76891213379</v>
      </c>
      <c r="F915">
        <f t="shared" ca="1" si="28"/>
        <v>41</v>
      </c>
      <c r="G915">
        <f ca="1">VLOOKUP(E915,PurchItem!$A$2:$H$508,8,0)</f>
        <v>2648.7341541892197</v>
      </c>
      <c r="H915">
        <v>0.06</v>
      </c>
      <c r="I915" t="s">
        <v>244</v>
      </c>
      <c r="J915" s="5">
        <v>44696.594524409724</v>
      </c>
      <c r="K915" s="5">
        <v>44697.189048819448</v>
      </c>
      <c r="M915">
        <f t="shared" si="29"/>
        <v>10029727560</v>
      </c>
      <c r="N915">
        <f ca="1">IF(M915&lt;&gt;M914,INDEX(CustInfo!$A$2:$A$1001,RANDBETWEEN(1,1000)),N914)</f>
        <v>11551</v>
      </c>
      <c r="O915" t="s">
        <v>1001</v>
      </c>
      <c r="P915">
        <v>52937049</v>
      </c>
    </row>
    <row r="916" spans="1:16" x14ac:dyDescent="0.35">
      <c r="A916">
        <v>93827212330</v>
      </c>
      <c r="C916" s="2" t="s">
        <v>883</v>
      </c>
      <c r="D916">
        <v>4</v>
      </c>
      <c r="E916">
        <v>76891213294</v>
      </c>
      <c r="F916">
        <f t="shared" ca="1" si="28"/>
        <v>46</v>
      </c>
      <c r="G916">
        <f ca="1">VLOOKUP(E916,PurchItem!$A$2:$H$508,8,0)</f>
        <v>1758.1992003080466</v>
      </c>
      <c r="H916">
        <v>0.04</v>
      </c>
      <c r="I916" t="s">
        <v>244</v>
      </c>
      <c r="J916" s="5">
        <v>45399.594524409724</v>
      </c>
      <c r="K916" s="5">
        <v>45403.189048819448</v>
      </c>
      <c r="M916">
        <f t="shared" si="29"/>
        <v>10029727560</v>
      </c>
      <c r="N916">
        <f ca="1">IF(M916&lt;&gt;M915,INDEX(CustInfo!$A$2:$A$1001,RANDBETWEEN(1,1000)),N915)</f>
        <v>11551</v>
      </c>
      <c r="O916" t="s">
        <v>1001</v>
      </c>
      <c r="P916">
        <v>52937050</v>
      </c>
    </row>
    <row r="917" spans="1:16" x14ac:dyDescent="0.35">
      <c r="A917">
        <v>93827212331</v>
      </c>
      <c r="C917" s="2" t="s">
        <v>883</v>
      </c>
      <c r="D917">
        <v>1</v>
      </c>
      <c r="E917">
        <v>76891213260</v>
      </c>
      <c r="F917">
        <f t="shared" ca="1" si="28"/>
        <v>92</v>
      </c>
      <c r="G917">
        <f ca="1">VLOOKUP(E917,PurchItem!$A$2:$H$508,8,0)</f>
        <v>6861.119743288933</v>
      </c>
      <c r="H917">
        <v>0.04</v>
      </c>
      <c r="I917" t="s">
        <v>244</v>
      </c>
      <c r="J917" s="5">
        <v>44797.594524409724</v>
      </c>
      <c r="K917" s="5">
        <v>44798.189048819448</v>
      </c>
      <c r="M917">
        <f t="shared" si="29"/>
        <v>10029727561</v>
      </c>
      <c r="N917">
        <f ca="1">IF(M917&lt;&gt;M916,INDEX(CustInfo!$A$2:$A$1001,RANDBETWEEN(1,1000)),N916)</f>
        <v>11358</v>
      </c>
      <c r="O917" t="s">
        <v>1003</v>
      </c>
      <c r="P917">
        <v>52937051</v>
      </c>
    </row>
    <row r="918" spans="1:16" x14ac:dyDescent="0.35">
      <c r="A918">
        <v>93827212331</v>
      </c>
      <c r="C918" s="2" t="s">
        <v>883</v>
      </c>
      <c r="D918">
        <v>2</v>
      </c>
      <c r="E918">
        <v>76891213178</v>
      </c>
      <c r="F918">
        <f t="shared" ca="1" si="28"/>
        <v>31</v>
      </c>
      <c r="G918">
        <f ca="1">VLOOKUP(E918,PurchItem!$A$2:$H$508,8,0)</f>
        <v>2256.6727435914268</v>
      </c>
      <c r="H918">
        <v>0.06</v>
      </c>
      <c r="I918" t="s">
        <v>244</v>
      </c>
      <c r="J918" s="5">
        <v>44996.594524409724</v>
      </c>
      <c r="K918" s="5">
        <v>44997.189048819448</v>
      </c>
      <c r="M918">
        <f t="shared" si="29"/>
        <v>10029727561</v>
      </c>
      <c r="N918">
        <f ca="1">IF(M918&lt;&gt;M917,INDEX(CustInfo!$A$2:$A$1001,RANDBETWEEN(1,1000)),N917)</f>
        <v>11358</v>
      </c>
      <c r="O918" t="s">
        <v>1003</v>
      </c>
      <c r="P918">
        <v>52937052</v>
      </c>
    </row>
    <row r="919" spans="1:16" x14ac:dyDescent="0.35">
      <c r="A919">
        <v>93827212332</v>
      </c>
      <c r="C919" s="2" t="s">
        <v>883</v>
      </c>
      <c r="D919">
        <v>1</v>
      </c>
      <c r="E919">
        <v>76891213524</v>
      </c>
      <c r="F919">
        <f t="shared" ca="1" si="28"/>
        <v>57</v>
      </c>
      <c r="G919">
        <f ca="1">VLOOKUP(E919,PurchItem!$A$2:$H$508,8,0)</f>
        <v>2987.1429372726939</v>
      </c>
      <c r="H919">
        <v>0.04</v>
      </c>
      <c r="I919" t="s">
        <v>244</v>
      </c>
      <c r="J919" s="5">
        <v>45566.594524409724</v>
      </c>
      <c r="K919" s="5">
        <v>45568.189048819448</v>
      </c>
      <c r="M919">
        <f t="shared" si="29"/>
        <v>10029727562</v>
      </c>
      <c r="N919">
        <f ca="1">IF(M919&lt;&gt;M918,INDEX(CustInfo!$A$2:$A$1001,RANDBETWEEN(1,1000)),N918)</f>
        <v>11574</v>
      </c>
      <c r="O919" t="s">
        <v>1003</v>
      </c>
      <c r="P919">
        <v>52937053</v>
      </c>
    </row>
    <row r="920" spans="1:16" x14ac:dyDescent="0.35">
      <c r="A920">
        <v>93827212332</v>
      </c>
      <c r="C920" s="2" t="s">
        <v>883</v>
      </c>
      <c r="D920">
        <v>2</v>
      </c>
      <c r="E920">
        <v>76891213223</v>
      </c>
      <c r="F920">
        <f t="shared" ca="1" si="28"/>
        <v>61</v>
      </c>
      <c r="G920">
        <f ca="1">VLOOKUP(E920,PurchItem!$A$2:$H$508,8,0)</f>
        <v>9143.6020748149404</v>
      </c>
      <c r="H920">
        <v>0.04</v>
      </c>
      <c r="I920" t="s">
        <v>244</v>
      </c>
      <c r="J920" s="5">
        <v>44870.594524409724</v>
      </c>
      <c r="K920" s="5">
        <v>44872.189048819448</v>
      </c>
      <c r="M920">
        <f t="shared" si="29"/>
        <v>10029727562</v>
      </c>
      <c r="N920">
        <f ca="1">IF(M920&lt;&gt;M919,INDEX(CustInfo!$A$2:$A$1001,RANDBETWEEN(1,1000)),N919)</f>
        <v>11574</v>
      </c>
      <c r="O920" t="s">
        <v>1003</v>
      </c>
      <c r="P920">
        <v>52937054</v>
      </c>
    </row>
    <row r="921" spans="1:16" x14ac:dyDescent="0.35">
      <c r="A921">
        <v>93827212333</v>
      </c>
      <c r="C921" s="2" t="s">
        <v>883</v>
      </c>
      <c r="D921">
        <v>1</v>
      </c>
      <c r="E921">
        <v>76891213619</v>
      </c>
      <c r="F921">
        <f t="shared" ca="1" si="28"/>
        <v>79</v>
      </c>
      <c r="G921">
        <f ca="1">VLOOKUP(E921,PurchItem!$A$2:$H$508,8,0)</f>
        <v>1441.1583775333718</v>
      </c>
      <c r="H921">
        <v>0.06</v>
      </c>
      <c r="I921" t="s">
        <v>244</v>
      </c>
      <c r="J921" s="5">
        <v>45483.594524409724</v>
      </c>
      <c r="K921" s="5">
        <v>45486.189048819448</v>
      </c>
      <c r="M921">
        <f t="shared" si="29"/>
        <v>10029727563</v>
      </c>
      <c r="N921">
        <f ca="1">IF(M921&lt;&gt;M920,INDEX(CustInfo!$A$2:$A$1001,RANDBETWEEN(1,1000)),N920)</f>
        <v>11637</v>
      </c>
      <c r="O921" t="s">
        <v>1002</v>
      </c>
      <c r="P921">
        <v>52937055</v>
      </c>
    </row>
    <row r="922" spans="1:16" x14ac:dyDescent="0.35">
      <c r="A922">
        <v>93827212333</v>
      </c>
      <c r="C922" s="2" t="s">
        <v>883</v>
      </c>
      <c r="D922">
        <v>2</v>
      </c>
      <c r="E922">
        <v>76891213270</v>
      </c>
      <c r="F922">
        <f t="shared" ca="1" si="28"/>
        <v>26</v>
      </c>
      <c r="G922">
        <f ca="1">VLOOKUP(E922,PurchItem!$A$2:$H$508,8,0)</f>
        <v>990.28757034259388</v>
      </c>
      <c r="H922">
        <v>0.06</v>
      </c>
      <c r="I922" t="s">
        <v>244</v>
      </c>
      <c r="J922" s="5">
        <v>44572.594524409724</v>
      </c>
      <c r="K922" s="5">
        <v>44573.189048819448</v>
      </c>
      <c r="M922">
        <f t="shared" si="29"/>
        <v>10029727563</v>
      </c>
      <c r="N922">
        <f ca="1">IF(M922&lt;&gt;M921,INDEX(CustInfo!$A$2:$A$1001,RANDBETWEEN(1,1000)),N921)</f>
        <v>11637</v>
      </c>
      <c r="O922" t="s">
        <v>1002</v>
      </c>
      <c r="P922">
        <v>52937056</v>
      </c>
    </row>
    <row r="923" spans="1:16" x14ac:dyDescent="0.35">
      <c r="A923">
        <v>93827212333</v>
      </c>
      <c r="C923" s="2" t="s">
        <v>883</v>
      </c>
      <c r="D923">
        <v>3</v>
      </c>
      <c r="E923">
        <v>76891213154</v>
      </c>
      <c r="F923">
        <f t="shared" ca="1" si="28"/>
        <v>70</v>
      </c>
      <c r="G923">
        <f ca="1">VLOOKUP(E923,PurchItem!$A$2:$H$508,8,0)</f>
        <v>5837.3435594720122</v>
      </c>
      <c r="H923">
        <v>0.05</v>
      </c>
      <c r="I923" t="s">
        <v>244</v>
      </c>
      <c r="J923" s="5">
        <v>44801.594524409724</v>
      </c>
      <c r="K923" s="5">
        <v>44805.189048819448</v>
      </c>
      <c r="M923">
        <f t="shared" si="29"/>
        <v>10029727563</v>
      </c>
      <c r="N923">
        <f ca="1">IF(M923&lt;&gt;M922,INDEX(CustInfo!$A$2:$A$1001,RANDBETWEEN(1,1000)),N922)</f>
        <v>11637</v>
      </c>
      <c r="O923" t="s">
        <v>1002</v>
      </c>
      <c r="P923">
        <v>52937057</v>
      </c>
    </row>
    <row r="924" spans="1:16" x14ac:dyDescent="0.35">
      <c r="A924">
        <v>93827212333</v>
      </c>
      <c r="C924" s="2" t="s">
        <v>883</v>
      </c>
      <c r="D924">
        <v>4</v>
      </c>
      <c r="E924">
        <v>76891213622</v>
      </c>
      <c r="F924">
        <f t="shared" ca="1" si="28"/>
        <v>93</v>
      </c>
      <c r="G924">
        <f ca="1">VLOOKUP(E924,PurchItem!$A$2:$H$508,8,0)</f>
        <v>7391.767855280551</v>
      </c>
      <c r="H924">
        <v>0.04</v>
      </c>
      <c r="I924" t="s">
        <v>244</v>
      </c>
      <c r="J924" s="5">
        <v>44747.594524409724</v>
      </c>
      <c r="K924" s="5">
        <v>44749.189048819448</v>
      </c>
      <c r="M924">
        <f t="shared" si="29"/>
        <v>10029727563</v>
      </c>
      <c r="N924">
        <f ca="1">IF(M924&lt;&gt;M923,INDEX(CustInfo!$A$2:$A$1001,RANDBETWEEN(1,1000)),N923)</f>
        <v>11637</v>
      </c>
      <c r="O924" t="s">
        <v>1002</v>
      </c>
      <c r="P924">
        <v>52937058</v>
      </c>
    </row>
    <row r="925" spans="1:16" x14ac:dyDescent="0.35">
      <c r="A925">
        <v>93827212334</v>
      </c>
      <c r="C925" s="2" t="s">
        <v>883</v>
      </c>
      <c r="D925">
        <v>1</v>
      </c>
      <c r="E925">
        <v>76891213445</v>
      </c>
      <c r="F925">
        <f t="shared" ca="1" si="28"/>
        <v>93</v>
      </c>
      <c r="G925">
        <f ca="1">VLOOKUP(E925,PurchItem!$A$2:$H$508,8,0)</f>
        <v>4377.3477781707288</v>
      </c>
      <c r="H925">
        <v>0.04</v>
      </c>
      <c r="I925" t="s">
        <v>244</v>
      </c>
      <c r="J925" s="5">
        <v>44717.594524409724</v>
      </c>
      <c r="K925" s="5">
        <v>44719.189048819448</v>
      </c>
      <c r="M925">
        <f t="shared" si="29"/>
        <v>10029727564</v>
      </c>
      <c r="N925">
        <f ca="1">IF(M925&lt;&gt;M924,INDEX(CustInfo!$A$2:$A$1001,RANDBETWEEN(1,1000)),N924)</f>
        <v>11282</v>
      </c>
      <c r="O925" t="s">
        <v>1001</v>
      </c>
      <c r="P925">
        <v>52937059</v>
      </c>
    </row>
    <row r="926" spans="1:16" x14ac:dyDescent="0.35">
      <c r="A926">
        <v>93827212334</v>
      </c>
      <c r="C926" s="2" t="s">
        <v>883</v>
      </c>
      <c r="D926">
        <v>2</v>
      </c>
      <c r="E926">
        <v>76891213299</v>
      </c>
      <c r="F926">
        <f t="shared" ca="1" si="28"/>
        <v>71</v>
      </c>
      <c r="G926">
        <f ca="1">VLOOKUP(E926,PurchItem!$A$2:$H$508,8,0)</f>
        <v>2827.2951808398761</v>
      </c>
      <c r="H926">
        <v>0.06</v>
      </c>
      <c r="I926" t="s">
        <v>244</v>
      </c>
      <c r="J926" s="5">
        <v>45397.594524409724</v>
      </c>
      <c r="K926" s="5">
        <v>45399.189048819448</v>
      </c>
      <c r="M926">
        <f t="shared" si="29"/>
        <v>10029727564</v>
      </c>
      <c r="N926">
        <f ca="1">IF(M926&lt;&gt;M925,INDEX(CustInfo!$A$2:$A$1001,RANDBETWEEN(1,1000)),N925)</f>
        <v>11282</v>
      </c>
      <c r="O926" t="s">
        <v>1001</v>
      </c>
      <c r="P926">
        <v>52937060</v>
      </c>
    </row>
    <row r="927" spans="1:16" x14ac:dyDescent="0.35">
      <c r="A927">
        <v>93827212334</v>
      </c>
      <c r="C927" s="2" t="s">
        <v>883</v>
      </c>
      <c r="D927">
        <v>3</v>
      </c>
      <c r="E927">
        <v>76891213190</v>
      </c>
      <c r="F927">
        <f t="shared" ca="1" si="28"/>
        <v>52</v>
      </c>
      <c r="G927">
        <f ca="1">VLOOKUP(E927,PurchItem!$A$2:$H$508,8,0)</f>
        <v>2487.2197753691553</v>
      </c>
      <c r="H927">
        <v>0.04</v>
      </c>
      <c r="I927" t="s">
        <v>244</v>
      </c>
      <c r="J927" s="5">
        <v>45307.594524409724</v>
      </c>
      <c r="K927" s="5">
        <v>45311.189048819448</v>
      </c>
      <c r="M927">
        <f t="shared" si="29"/>
        <v>10029727564</v>
      </c>
      <c r="N927">
        <f ca="1">IF(M927&lt;&gt;M926,INDEX(CustInfo!$A$2:$A$1001,RANDBETWEEN(1,1000)),N926)</f>
        <v>11282</v>
      </c>
      <c r="O927" t="s">
        <v>1001</v>
      </c>
      <c r="P927">
        <v>52937061</v>
      </c>
    </row>
    <row r="928" spans="1:16" x14ac:dyDescent="0.35">
      <c r="A928">
        <v>93827212334</v>
      </c>
      <c r="C928" s="2" t="s">
        <v>883</v>
      </c>
      <c r="D928">
        <v>4</v>
      </c>
      <c r="E928">
        <v>76891213270</v>
      </c>
      <c r="F928">
        <f t="shared" ca="1" si="28"/>
        <v>3</v>
      </c>
      <c r="G928">
        <f ca="1">VLOOKUP(E928,PurchItem!$A$2:$H$508,8,0)</f>
        <v>990.28757034259388</v>
      </c>
      <c r="H928">
        <v>0.04</v>
      </c>
      <c r="I928" t="s">
        <v>244</v>
      </c>
      <c r="J928" s="5">
        <v>45305.594524409724</v>
      </c>
      <c r="K928" s="5">
        <v>45309.189048819448</v>
      </c>
      <c r="M928">
        <f t="shared" si="29"/>
        <v>10029727564</v>
      </c>
      <c r="N928">
        <f ca="1">IF(M928&lt;&gt;M927,INDEX(CustInfo!$A$2:$A$1001,RANDBETWEEN(1,1000)),N927)</f>
        <v>11282</v>
      </c>
      <c r="O928" t="s">
        <v>1001</v>
      </c>
      <c r="P928">
        <v>52937062</v>
      </c>
    </row>
    <row r="929" spans="1:16" x14ac:dyDescent="0.35">
      <c r="A929">
        <v>93827212335</v>
      </c>
      <c r="C929" s="2" t="s">
        <v>883</v>
      </c>
      <c r="D929">
        <v>1</v>
      </c>
      <c r="E929">
        <v>76891213377</v>
      </c>
      <c r="F929">
        <f t="shared" ca="1" si="28"/>
        <v>40</v>
      </c>
      <c r="G929">
        <f ca="1">VLOOKUP(E929,PurchItem!$A$2:$H$508,8,0)</f>
        <v>747.79686367362922</v>
      </c>
      <c r="H929">
        <v>0.06</v>
      </c>
      <c r="I929" t="s">
        <v>244</v>
      </c>
      <c r="J929" s="5">
        <v>45132.594524409724</v>
      </c>
      <c r="K929" s="5">
        <v>45134.189048819448</v>
      </c>
      <c r="M929">
        <f t="shared" si="29"/>
        <v>10029727565</v>
      </c>
      <c r="N929">
        <f ca="1">IF(M929&lt;&gt;M928,INDEX(CustInfo!$A$2:$A$1001,RANDBETWEEN(1,1000)),N928)</f>
        <v>11200</v>
      </c>
      <c r="O929" t="s">
        <v>1002</v>
      </c>
      <c r="P929">
        <v>52937063</v>
      </c>
    </row>
    <row r="930" spans="1:16" x14ac:dyDescent="0.35">
      <c r="A930">
        <v>93827212335</v>
      </c>
      <c r="C930" s="2" t="s">
        <v>883</v>
      </c>
      <c r="D930">
        <v>2</v>
      </c>
      <c r="E930">
        <v>76891213613</v>
      </c>
      <c r="F930">
        <f t="shared" ca="1" si="28"/>
        <v>17</v>
      </c>
      <c r="G930">
        <f ca="1">VLOOKUP(E930,PurchItem!$A$2:$H$508,8,0)</f>
        <v>6056.8631163138916</v>
      </c>
      <c r="H930">
        <v>0.05</v>
      </c>
      <c r="I930" t="s">
        <v>244</v>
      </c>
      <c r="J930" s="5">
        <v>45428.594524409724</v>
      </c>
      <c r="K930" s="5">
        <v>45431.189048819448</v>
      </c>
      <c r="M930">
        <f t="shared" si="29"/>
        <v>10029727565</v>
      </c>
      <c r="N930">
        <f ca="1">IF(M930&lt;&gt;M929,INDEX(CustInfo!$A$2:$A$1001,RANDBETWEEN(1,1000)),N929)</f>
        <v>11200</v>
      </c>
      <c r="O930" t="s">
        <v>1002</v>
      </c>
      <c r="P930">
        <v>52937064</v>
      </c>
    </row>
    <row r="931" spans="1:16" x14ac:dyDescent="0.35">
      <c r="A931">
        <v>93827212335</v>
      </c>
      <c r="C931" s="2" t="s">
        <v>883</v>
      </c>
      <c r="D931">
        <v>3</v>
      </c>
      <c r="E931">
        <v>76891213589</v>
      </c>
      <c r="F931">
        <f t="shared" ca="1" si="28"/>
        <v>55</v>
      </c>
      <c r="G931">
        <f ca="1">VLOOKUP(E931,PurchItem!$A$2:$H$508,8,0)</f>
        <v>3128.167531064591</v>
      </c>
      <c r="H931">
        <v>0.05</v>
      </c>
      <c r="I931" t="s">
        <v>244</v>
      </c>
      <c r="J931" s="5">
        <v>44831.594524409724</v>
      </c>
      <c r="K931" s="5">
        <v>44833.189048819448</v>
      </c>
      <c r="M931">
        <f t="shared" si="29"/>
        <v>10029727565</v>
      </c>
      <c r="N931">
        <f ca="1">IF(M931&lt;&gt;M930,INDEX(CustInfo!$A$2:$A$1001,RANDBETWEEN(1,1000)),N930)</f>
        <v>11200</v>
      </c>
      <c r="O931" t="s">
        <v>1002</v>
      </c>
      <c r="P931">
        <v>52937065</v>
      </c>
    </row>
    <row r="932" spans="1:16" x14ac:dyDescent="0.35">
      <c r="A932">
        <v>93827212336</v>
      </c>
      <c r="C932" s="2" t="s">
        <v>883</v>
      </c>
      <c r="D932">
        <v>1</v>
      </c>
      <c r="E932">
        <v>76891213620</v>
      </c>
      <c r="F932">
        <f t="shared" ca="1" si="28"/>
        <v>21</v>
      </c>
      <c r="G932">
        <f ca="1">VLOOKUP(E932,PurchItem!$A$2:$H$508,8,0)</f>
        <v>261.77946432896999</v>
      </c>
      <c r="H932">
        <v>0.06</v>
      </c>
      <c r="I932" t="s">
        <v>244</v>
      </c>
      <c r="J932" s="5">
        <v>44859.594524409724</v>
      </c>
      <c r="K932" s="5">
        <v>44862.189048819448</v>
      </c>
      <c r="M932">
        <f t="shared" si="29"/>
        <v>10029727566</v>
      </c>
      <c r="N932">
        <f ca="1">IF(M932&lt;&gt;M931,INDEX(CustInfo!$A$2:$A$1001,RANDBETWEEN(1,1000)),N931)</f>
        <v>11486</v>
      </c>
      <c r="O932" t="s">
        <v>1002</v>
      </c>
      <c r="P932">
        <v>52937066</v>
      </c>
    </row>
    <row r="933" spans="1:16" x14ac:dyDescent="0.35">
      <c r="A933">
        <v>93827212336</v>
      </c>
      <c r="C933" s="2" t="s">
        <v>883</v>
      </c>
      <c r="D933">
        <v>2</v>
      </c>
      <c r="E933">
        <v>76891213318</v>
      </c>
      <c r="F933">
        <f t="shared" ca="1" si="28"/>
        <v>37</v>
      </c>
      <c r="G933">
        <f ca="1">VLOOKUP(E933,PurchItem!$A$2:$H$508,8,0)</f>
        <v>8260.5762424972345</v>
      </c>
      <c r="H933">
        <v>0.05</v>
      </c>
      <c r="I933" t="s">
        <v>244</v>
      </c>
      <c r="J933" s="5">
        <v>45579.594524409724</v>
      </c>
      <c r="K933" s="5">
        <v>45581.189048819448</v>
      </c>
      <c r="M933">
        <f t="shared" si="29"/>
        <v>10029727566</v>
      </c>
      <c r="N933">
        <f ca="1">IF(M933&lt;&gt;M932,INDEX(CustInfo!$A$2:$A$1001,RANDBETWEEN(1,1000)),N932)</f>
        <v>11486</v>
      </c>
      <c r="O933" t="s">
        <v>1002</v>
      </c>
      <c r="P933">
        <v>52937067</v>
      </c>
    </row>
    <row r="934" spans="1:16" x14ac:dyDescent="0.35">
      <c r="A934">
        <v>93827212336</v>
      </c>
      <c r="C934" s="2" t="s">
        <v>883</v>
      </c>
      <c r="D934">
        <v>3</v>
      </c>
      <c r="E934">
        <v>76891213334</v>
      </c>
      <c r="F934">
        <f t="shared" ca="1" si="28"/>
        <v>50</v>
      </c>
      <c r="G934">
        <f ca="1">VLOOKUP(E934,PurchItem!$A$2:$H$508,8,0)</f>
        <v>8701.4873817400676</v>
      </c>
      <c r="H934">
        <v>0.05</v>
      </c>
      <c r="I934" t="s">
        <v>244</v>
      </c>
      <c r="J934" s="5">
        <v>45572.594524409724</v>
      </c>
      <c r="K934" s="5">
        <v>45576.189048819448</v>
      </c>
      <c r="M934">
        <f t="shared" si="29"/>
        <v>10029727566</v>
      </c>
      <c r="N934">
        <f ca="1">IF(M934&lt;&gt;M933,INDEX(CustInfo!$A$2:$A$1001,RANDBETWEEN(1,1000)),N933)</f>
        <v>11486</v>
      </c>
      <c r="O934" t="s">
        <v>1002</v>
      </c>
      <c r="P934">
        <v>52937068</v>
      </c>
    </row>
    <row r="935" spans="1:16" x14ac:dyDescent="0.35">
      <c r="A935">
        <v>93827212336</v>
      </c>
      <c r="C935" s="2" t="s">
        <v>883</v>
      </c>
      <c r="D935">
        <v>4</v>
      </c>
      <c r="E935">
        <v>76891213461</v>
      </c>
      <c r="F935">
        <f t="shared" ca="1" si="28"/>
        <v>63</v>
      </c>
      <c r="G935">
        <f ca="1">VLOOKUP(E935,PurchItem!$A$2:$H$508,8,0)</f>
        <v>9741.5601221964425</v>
      </c>
      <c r="H935">
        <v>0.04</v>
      </c>
      <c r="I935" t="s">
        <v>244</v>
      </c>
      <c r="J935" s="5">
        <v>44912.594524409724</v>
      </c>
      <c r="K935" s="5">
        <v>44913.189048819448</v>
      </c>
      <c r="M935">
        <f t="shared" si="29"/>
        <v>10029727566</v>
      </c>
      <c r="N935">
        <f ca="1">IF(M935&lt;&gt;M934,INDEX(CustInfo!$A$2:$A$1001,RANDBETWEEN(1,1000)),N934)</f>
        <v>11486</v>
      </c>
      <c r="O935" t="s">
        <v>1002</v>
      </c>
      <c r="P935">
        <v>52937069</v>
      </c>
    </row>
    <row r="936" spans="1:16" x14ac:dyDescent="0.35">
      <c r="A936">
        <v>93827212337</v>
      </c>
      <c r="C936" s="2" t="s">
        <v>883</v>
      </c>
      <c r="D936">
        <v>1</v>
      </c>
      <c r="E936">
        <v>76891213485</v>
      </c>
      <c r="F936">
        <f t="shared" ca="1" si="28"/>
        <v>44</v>
      </c>
      <c r="G936">
        <f ca="1">VLOOKUP(E936,PurchItem!$A$2:$H$508,8,0)</f>
        <v>2807.3759282410369</v>
      </c>
      <c r="H936">
        <v>0.04</v>
      </c>
      <c r="I936" t="s">
        <v>244</v>
      </c>
      <c r="J936" s="5">
        <v>44717.594524409724</v>
      </c>
      <c r="K936" s="5">
        <v>44719.189048819448</v>
      </c>
      <c r="M936">
        <f t="shared" si="29"/>
        <v>10029727567</v>
      </c>
      <c r="N936">
        <f ca="1">IF(M936&lt;&gt;M935,INDEX(CustInfo!$A$2:$A$1001,RANDBETWEEN(1,1000)),N935)</f>
        <v>11341</v>
      </c>
      <c r="O936" t="s">
        <v>1002</v>
      </c>
      <c r="P936">
        <v>52937070</v>
      </c>
    </row>
    <row r="937" spans="1:16" x14ac:dyDescent="0.35">
      <c r="A937">
        <v>93827212338</v>
      </c>
      <c r="C937" s="2" t="s">
        <v>883</v>
      </c>
      <c r="D937">
        <v>1</v>
      </c>
      <c r="E937">
        <v>76891213348</v>
      </c>
      <c r="F937">
        <f t="shared" ca="1" si="28"/>
        <v>51</v>
      </c>
      <c r="G937">
        <f ca="1">VLOOKUP(E937,PurchItem!$A$2:$H$508,8,0)</f>
        <v>6169.9839706707698</v>
      </c>
      <c r="H937">
        <v>0.06</v>
      </c>
      <c r="I937" t="s">
        <v>244</v>
      </c>
      <c r="J937" s="5">
        <v>45150.594524409724</v>
      </c>
      <c r="K937" s="5">
        <v>45152.189048819448</v>
      </c>
      <c r="M937">
        <f t="shared" si="29"/>
        <v>10029727568</v>
      </c>
      <c r="N937">
        <f ca="1">IF(M937&lt;&gt;M936,INDEX(CustInfo!$A$2:$A$1001,RANDBETWEEN(1,1000)),N936)</f>
        <v>11607</v>
      </c>
      <c r="O937" t="s">
        <v>1002</v>
      </c>
      <c r="P937">
        <v>52937071</v>
      </c>
    </row>
    <row r="938" spans="1:16" x14ac:dyDescent="0.35">
      <c r="A938">
        <v>93827212338</v>
      </c>
      <c r="C938" s="2" t="s">
        <v>883</v>
      </c>
      <c r="D938">
        <v>2</v>
      </c>
      <c r="E938">
        <v>76891213215</v>
      </c>
      <c r="F938">
        <f t="shared" ca="1" si="28"/>
        <v>54</v>
      </c>
      <c r="G938">
        <f ca="1">VLOOKUP(E938,PurchItem!$A$2:$H$508,8,0)</f>
        <v>2142.1644782232815</v>
      </c>
      <c r="H938">
        <v>0.06</v>
      </c>
      <c r="I938" t="s">
        <v>244</v>
      </c>
      <c r="J938" s="5">
        <v>45470.594524409724</v>
      </c>
      <c r="K938" s="5">
        <v>45473.189048819448</v>
      </c>
      <c r="M938">
        <f t="shared" si="29"/>
        <v>10029727568</v>
      </c>
      <c r="N938">
        <f ca="1">IF(M938&lt;&gt;M937,INDEX(CustInfo!$A$2:$A$1001,RANDBETWEEN(1,1000)),N937)</f>
        <v>11607</v>
      </c>
      <c r="O938" t="s">
        <v>1002</v>
      </c>
      <c r="P938">
        <v>52937072</v>
      </c>
    </row>
    <row r="939" spans="1:16" x14ac:dyDescent="0.35">
      <c r="A939">
        <v>93827212339</v>
      </c>
      <c r="C939" s="2" t="s">
        <v>883</v>
      </c>
      <c r="D939">
        <v>1</v>
      </c>
      <c r="E939">
        <v>76891213160</v>
      </c>
      <c r="F939">
        <f t="shared" ca="1" si="28"/>
        <v>68</v>
      </c>
      <c r="G939">
        <f ca="1">VLOOKUP(E939,PurchItem!$A$2:$H$508,8,0)</f>
        <v>8462.9770245013115</v>
      </c>
      <c r="H939">
        <v>0.05</v>
      </c>
      <c r="I939" t="s">
        <v>244</v>
      </c>
      <c r="J939" s="5">
        <v>45098.594524409724</v>
      </c>
      <c r="K939" s="5">
        <v>45099.189048819448</v>
      </c>
      <c r="M939">
        <f t="shared" si="29"/>
        <v>10029727569</v>
      </c>
      <c r="N939">
        <f ca="1">IF(M939&lt;&gt;M938,INDEX(CustInfo!$A$2:$A$1001,RANDBETWEEN(1,1000)),N938)</f>
        <v>11004</v>
      </c>
      <c r="O939" t="s">
        <v>1002</v>
      </c>
      <c r="P939">
        <v>52937073</v>
      </c>
    </row>
    <row r="940" spans="1:16" x14ac:dyDescent="0.35">
      <c r="A940">
        <v>93827212339</v>
      </c>
      <c r="C940" s="2" t="s">
        <v>883</v>
      </c>
      <c r="D940">
        <v>2</v>
      </c>
      <c r="E940">
        <v>76891213437</v>
      </c>
      <c r="F940">
        <f t="shared" ca="1" si="28"/>
        <v>26</v>
      </c>
      <c r="G940">
        <f ca="1">VLOOKUP(E940,PurchItem!$A$2:$H$508,8,0)</f>
        <v>8431.2390871264779</v>
      </c>
      <c r="H940">
        <v>0.04</v>
      </c>
      <c r="I940" t="s">
        <v>244</v>
      </c>
      <c r="J940" s="5">
        <v>44589.594524409724</v>
      </c>
      <c r="K940" s="5">
        <v>44590.189048819448</v>
      </c>
      <c r="M940">
        <f t="shared" si="29"/>
        <v>10029727569</v>
      </c>
      <c r="N940">
        <f ca="1">IF(M940&lt;&gt;M939,INDEX(CustInfo!$A$2:$A$1001,RANDBETWEEN(1,1000)),N939)</f>
        <v>11004</v>
      </c>
      <c r="O940" t="s">
        <v>1002</v>
      </c>
      <c r="P940">
        <v>52937074</v>
      </c>
    </row>
    <row r="941" spans="1:16" x14ac:dyDescent="0.35">
      <c r="A941">
        <v>93827212339</v>
      </c>
      <c r="C941" s="2" t="s">
        <v>883</v>
      </c>
      <c r="D941">
        <v>3</v>
      </c>
      <c r="E941">
        <v>76891213403</v>
      </c>
      <c r="F941">
        <f t="shared" ca="1" si="28"/>
        <v>92</v>
      </c>
      <c r="G941">
        <f ca="1">VLOOKUP(E941,PurchItem!$A$2:$H$508,8,0)</f>
        <v>7222.6267597950819</v>
      </c>
      <c r="H941">
        <v>0.04</v>
      </c>
      <c r="I941" t="s">
        <v>244</v>
      </c>
      <c r="J941" s="5">
        <v>45258.594524409724</v>
      </c>
      <c r="K941" s="5">
        <v>45262.189048819448</v>
      </c>
      <c r="M941">
        <f t="shared" si="29"/>
        <v>10029727569</v>
      </c>
      <c r="N941">
        <f ca="1">IF(M941&lt;&gt;M940,INDEX(CustInfo!$A$2:$A$1001,RANDBETWEEN(1,1000)),N940)</f>
        <v>11004</v>
      </c>
      <c r="O941" t="s">
        <v>1002</v>
      </c>
      <c r="P941">
        <v>52937075</v>
      </c>
    </row>
    <row r="942" spans="1:16" x14ac:dyDescent="0.35">
      <c r="A942">
        <v>93827212339</v>
      </c>
      <c r="C942" s="2" t="s">
        <v>883</v>
      </c>
      <c r="D942">
        <v>4</v>
      </c>
      <c r="E942">
        <v>76891213429</v>
      </c>
      <c r="F942">
        <f t="shared" ca="1" si="28"/>
        <v>21</v>
      </c>
      <c r="G942">
        <f ca="1">VLOOKUP(E942,PurchItem!$A$2:$H$508,8,0)</f>
        <v>8406.1091392579347</v>
      </c>
      <c r="H942">
        <v>0.05</v>
      </c>
      <c r="I942" t="s">
        <v>244</v>
      </c>
      <c r="J942" s="5">
        <v>44592.594524409724</v>
      </c>
      <c r="K942" s="5">
        <v>44594.189048819448</v>
      </c>
      <c r="M942">
        <f t="shared" si="29"/>
        <v>10029727569</v>
      </c>
      <c r="N942">
        <f ca="1">IF(M942&lt;&gt;M941,INDEX(CustInfo!$A$2:$A$1001,RANDBETWEEN(1,1000)),N941)</f>
        <v>11004</v>
      </c>
      <c r="O942" t="s">
        <v>1002</v>
      </c>
      <c r="P942">
        <v>52937076</v>
      </c>
    </row>
    <row r="943" spans="1:16" x14ac:dyDescent="0.35">
      <c r="A943">
        <v>93827212340</v>
      </c>
      <c r="C943" s="2" t="s">
        <v>883</v>
      </c>
      <c r="D943">
        <v>1</v>
      </c>
      <c r="E943">
        <v>76891213322</v>
      </c>
      <c r="F943">
        <f t="shared" ca="1" si="28"/>
        <v>67</v>
      </c>
      <c r="G943">
        <f ca="1">VLOOKUP(E943,PurchItem!$A$2:$H$508,8,0)</f>
        <v>941.07053196484935</v>
      </c>
      <c r="H943">
        <v>0.05</v>
      </c>
      <c r="I943" t="s">
        <v>244</v>
      </c>
      <c r="J943" s="5">
        <v>44667.594524409724</v>
      </c>
      <c r="K943" s="5">
        <v>44668.189048819448</v>
      </c>
      <c r="M943">
        <f t="shared" si="29"/>
        <v>10029727570</v>
      </c>
      <c r="N943">
        <f ca="1">IF(M943&lt;&gt;M942,INDEX(CustInfo!$A$2:$A$1001,RANDBETWEEN(1,1000)),N942)</f>
        <v>11179</v>
      </c>
      <c r="O943" t="s">
        <v>1003</v>
      </c>
      <c r="P943">
        <v>52937077</v>
      </c>
    </row>
    <row r="944" spans="1:16" x14ac:dyDescent="0.35">
      <c r="A944">
        <v>93827212340</v>
      </c>
      <c r="C944" s="2" t="s">
        <v>883</v>
      </c>
      <c r="D944">
        <v>2</v>
      </c>
      <c r="E944">
        <v>76891213268</v>
      </c>
      <c r="F944">
        <f t="shared" ca="1" si="28"/>
        <v>30</v>
      </c>
      <c r="G944">
        <f ca="1">VLOOKUP(E944,PurchItem!$A$2:$H$508,8,0)</f>
        <v>3438.1492682800576</v>
      </c>
      <c r="H944">
        <v>0.06</v>
      </c>
      <c r="I944" t="s">
        <v>244</v>
      </c>
      <c r="J944" s="5">
        <v>44652.594524409724</v>
      </c>
      <c r="K944" s="5">
        <v>44653.189048819448</v>
      </c>
      <c r="M944">
        <f t="shared" si="29"/>
        <v>10029727570</v>
      </c>
      <c r="N944">
        <f ca="1">IF(M944&lt;&gt;M943,INDEX(CustInfo!$A$2:$A$1001,RANDBETWEEN(1,1000)),N943)</f>
        <v>11179</v>
      </c>
      <c r="O944" t="s">
        <v>1003</v>
      </c>
      <c r="P944">
        <v>52937078</v>
      </c>
    </row>
    <row r="945" spans="1:16" x14ac:dyDescent="0.35">
      <c r="A945">
        <v>93827212340</v>
      </c>
      <c r="C945" s="2" t="s">
        <v>883</v>
      </c>
      <c r="D945">
        <v>3</v>
      </c>
      <c r="E945">
        <v>76891213436</v>
      </c>
      <c r="F945">
        <f t="shared" ca="1" si="28"/>
        <v>72</v>
      </c>
      <c r="G945">
        <f ca="1">VLOOKUP(E945,PurchItem!$A$2:$H$508,8,0)</f>
        <v>7382.4174647878453</v>
      </c>
      <c r="H945">
        <v>0.04</v>
      </c>
      <c r="I945" t="s">
        <v>244</v>
      </c>
      <c r="J945" s="5">
        <v>45293.594524409724</v>
      </c>
      <c r="K945" s="5">
        <v>45295.189048819448</v>
      </c>
      <c r="M945">
        <f t="shared" si="29"/>
        <v>10029727570</v>
      </c>
      <c r="N945">
        <f ca="1">IF(M945&lt;&gt;M944,INDEX(CustInfo!$A$2:$A$1001,RANDBETWEEN(1,1000)),N944)</f>
        <v>11179</v>
      </c>
      <c r="O945" t="s">
        <v>1003</v>
      </c>
      <c r="P945">
        <v>52937079</v>
      </c>
    </row>
    <row r="946" spans="1:16" x14ac:dyDescent="0.35">
      <c r="A946">
        <v>93827212340</v>
      </c>
      <c r="C946" s="2" t="s">
        <v>883</v>
      </c>
      <c r="D946">
        <v>4</v>
      </c>
      <c r="E946">
        <v>76891213439</v>
      </c>
      <c r="F946">
        <f t="shared" ca="1" si="28"/>
        <v>81</v>
      </c>
      <c r="G946">
        <f ca="1">VLOOKUP(E946,PurchItem!$A$2:$H$508,8,0)</f>
        <v>927.70201425852463</v>
      </c>
      <c r="H946">
        <v>0.04</v>
      </c>
      <c r="I946" t="s">
        <v>244</v>
      </c>
      <c r="J946" s="5">
        <v>45191.594524409724</v>
      </c>
      <c r="K946" s="5">
        <v>45192.189048819448</v>
      </c>
      <c r="M946">
        <f t="shared" si="29"/>
        <v>10029727570</v>
      </c>
      <c r="N946">
        <f ca="1">IF(M946&lt;&gt;M945,INDEX(CustInfo!$A$2:$A$1001,RANDBETWEEN(1,1000)),N945)</f>
        <v>11179</v>
      </c>
      <c r="O946" t="s">
        <v>1003</v>
      </c>
      <c r="P946">
        <v>52937080</v>
      </c>
    </row>
    <row r="947" spans="1:16" x14ac:dyDescent="0.35">
      <c r="A947">
        <v>93827212341</v>
      </c>
      <c r="C947" s="2" t="s">
        <v>883</v>
      </c>
      <c r="D947">
        <v>1</v>
      </c>
      <c r="E947">
        <v>76891213193</v>
      </c>
      <c r="F947">
        <f t="shared" ca="1" si="28"/>
        <v>63</v>
      </c>
      <c r="G947">
        <f ca="1">VLOOKUP(E947,PurchItem!$A$2:$H$508,8,0)</f>
        <v>6207.5236658812264</v>
      </c>
      <c r="H947">
        <v>0.06</v>
      </c>
      <c r="I947" t="s">
        <v>244</v>
      </c>
      <c r="J947" s="5">
        <v>44673.594524409724</v>
      </c>
      <c r="K947" s="5">
        <v>44677.189048819448</v>
      </c>
      <c r="M947">
        <f t="shared" si="29"/>
        <v>10029727571</v>
      </c>
      <c r="N947">
        <f ca="1">IF(M947&lt;&gt;M946,INDEX(CustInfo!$A$2:$A$1001,RANDBETWEEN(1,1000)),N946)</f>
        <v>11160</v>
      </c>
      <c r="O947" t="s">
        <v>1001</v>
      </c>
      <c r="P947">
        <v>52937081</v>
      </c>
    </row>
    <row r="948" spans="1:16" x14ac:dyDescent="0.35">
      <c r="A948">
        <v>93827212341</v>
      </c>
      <c r="C948" s="2" t="s">
        <v>883</v>
      </c>
      <c r="D948">
        <v>2</v>
      </c>
      <c r="E948">
        <v>76891213423</v>
      </c>
      <c r="F948">
        <f t="shared" ca="1" si="28"/>
        <v>30</v>
      </c>
      <c r="G948">
        <f ca="1">VLOOKUP(E948,PurchItem!$A$2:$H$508,8,0)</f>
        <v>1141.5267093600655</v>
      </c>
      <c r="H948">
        <v>0.04</v>
      </c>
      <c r="I948" t="s">
        <v>244</v>
      </c>
      <c r="J948" s="5">
        <v>45351.594524409724</v>
      </c>
      <c r="K948" s="5">
        <v>45352.189048819448</v>
      </c>
      <c r="M948">
        <f t="shared" si="29"/>
        <v>10029727571</v>
      </c>
      <c r="N948">
        <f ca="1">IF(M948&lt;&gt;M947,INDEX(CustInfo!$A$2:$A$1001,RANDBETWEEN(1,1000)),N947)</f>
        <v>11160</v>
      </c>
      <c r="O948" t="s">
        <v>1001</v>
      </c>
      <c r="P948">
        <v>52937082</v>
      </c>
    </row>
    <row r="949" spans="1:16" x14ac:dyDescent="0.35">
      <c r="A949">
        <v>93827212341</v>
      </c>
      <c r="C949" s="2" t="s">
        <v>883</v>
      </c>
      <c r="D949">
        <v>3</v>
      </c>
      <c r="E949">
        <v>76891213338</v>
      </c>
      <c r="F949">
        <f t="shared" ca="1" si="28"/>
        <v>59</v>
      </c>
      <c r="G949">
        <f ca="1">VLOOKUP(E949,PurchItem!$A$2:$H$508,8,0)</f>
        <v>4118.7626507182194</v>
      </c>
      <c r="H949">
        <v>0.04</v>
      </c>
      <c r="I949" t="s">
        <v>244</v>
      </c>
      <c r="J949" s="5">
        <v>45267.594524409724</v>
      </c>
      <c r="K949" s="5">
        <v>45268.189048819448</v>
      </c>
      <c r="M949">
        <f t="shared" si="29"/>
        <v>10029727571</v>
      </c>
      <c r="N949">
        <f ca="1">IF(M949&lt;&gt;M948,INDEX(CustInfo!$A$2:$A$1001,RANDBETWEEN(1,1000)),N948)</f>
        <v>11160</v>
      </c>
      <c r="O949" t="s">
        <v>1001</v>
      </c>
      <c r="P949">
        <v>52937083</v>
      </c>
    </row>
    <row r="950" spans="1:16" x14ac:dyDescent="0.35">
      <c r="A950">
        <v>93827212342</v>
      </c>
      <c r="C950" s="2" t="s">
        <v>883</v>
      </c>
      <c r="D950">
        <v>1</v>
      </c>
      <c r="E950">
        <v>76891213320</v>
      </c>
      <c r="F950">
        <f t="shared" ca="1" si="28"/>
        <v>89</v>
      </c>
      <c r="G950">
        <f ca="1">VLOOKUP(E950,PurchItem!$A$2:$H$508,8,0)</f>
        <v>3481.7028429663255</v>
      </c>
      <c r="H950">
        <v>0.04</v>
      </c>
      <c r="I950" t="s">
        <v>244</v>
      </c>
      <c r="J950" s="5">
        <v>45077.594524409724</v>
      </c>
      <c r="K950" s="5">
        <v>45078.189048819448</v>
      </c>
      <c r="M950">
        <f t="shared" si="29"/>
        <v>10029727572</v>
      </c>
      <c r="N950">
        <f ca="1">IF(M950&lt;&gt;M949,INDEX(CustInfo!$A$2:$A$1001,RANDBETWEEN(1,1000)),N949)</f>
        <v>11532</v>
      </c>
      <c r="O950" t="s">
        <v>1002</v>
      </c>
      <c r="P950">
        <v>52937084</v>
      </c>
    </row>
    <row r="951" spans="1:16" x14ac:dyDescent="0.35">
      <c r="A951">
        <v>93827212342</v>
      </c>
      <c r="C951" s="2" t="s">
        <v>883</v>
      </c>
      <c r="D951">
        <v>2</v>
      </c>
      <c r="E951">
        <v>76891213175</v>
      </c>
      <c r="F951">
        <f t="shared" ca="1" si="28"/>
        <v>22</v>
      </c>
      <c r="G951">
        <f ca="1">VLOOKUP(E951,PurchItem!$A$2:$H$508,8,0)</f>
        <v>8239.6279667406998</v>
      </c>
      <c r="H951">
        <v>0.05</v>
      </c>
      <c r="I951" t="s">
        <v>244</v>
      </c>
      <c r="J951" s="5">
        <v>45367.594524409724</v>
      </c>
      <c r="K951" s="5">
        <v>45368.189048819448</v>
      </c>
      <c r="M951">
        <f t="shared" si="29"/>
        <v>10029727572</v>
      </c>
      <c r="N951">
        <f ca="1">IF(M951&lt;&gt;M950,INDEX(CustInfo!$A$2:$A$1001,RANDBETWEEN(1,1000)),N950)</f>
        <v>11532</v>
      </c>
      <c r="O951" t="s">
        <v>1002</v>
      </c>
      <c r="P951">
        <v>52937085</v>
      </c>
    </row>
    <row r="952" spans="1:16" x14ac:dyDescent="0.35">
      <c r="A952">
        <v>93827212342</v>
      </c>
      <c r="C952" s="2" t="s">
        <v>883</v>
      </c>
      <c r="D952">
        <v>3</v>
      </c>
      <c r="E952">
        <v>76891213228</v>
      </c>
      <c r="F952">
        <f t="shared" ca="1" si="28"/>
        <v>76</v>
      </c>
      <c r="G952">
        <f ca="1">VLOOKUP(E952,PurchItem!$A$2:$H$508,8,0)</f>
        <v>2204.5147768831243</v>
      </c>
      <c r="H952">
        <v>0.06</v>
      </c>
      <c r="I952" t="s">
        <v>244</v>
      </c>
      <c r="J952" s="5">
        <v>45234.594524409724</v>
      </c>
      <c r="K952" s="5">
        <v>45237.189048819448</v>
      </c>
      <c r="M952">
        <f t="shared" si="29"/>
        <v>10029727572</v>
      </c>
      <c r="N952">
        <f ca="1">IF(M952&lt;&gt;M951,INDEX(CustInfo!$A$2:$A$1001,RANDBETWEEN(1,1000)),N951)</f>
        <v>11532</v>
      </c>
      <c r="O952" t="s">
        <v>1002</v>
      </c>
      <c r="P952">
        <v>52937086</v>
      </c>
    </row>
    <row r="953" spans="1:16" x14ac:dyDescent="0.35">
      <c r="A953">
        <v>93827212343</v>
      </c>
      <c r="C953" s="2" t="s">
        <v>883</v>
      </c>
      <c r="D953">
        <v>1</v>
      </c>
      <c r="E953">
        <v>76891213283</v>
      </c>
      <c r="F953">
        <f t="shared" ca="1" si="28"/>
        <v>46</v>
      </c>
      <c r="G953">
        <f ca="1">VLOOKUP(E953,PurchItem!$A$2:$H$508,8,0)</f>
        <v>871.93450976358122</v>
      </c>
      <c r="H953">
        <v>0.04</v>
      </c>
      <c r="I953" t="s">
        <v>244</v>
      </c>
      <c r="J953" s="5">
        <v>45225.594524409724</v>
      </c>
      <c r="K953" s="5">
        <v>45227.189048819448</v>
      </c>
      <c r="M953">
        <f t="shared" si="29"/>
        <v>10029727573</v>
      </c>
      <c r="N953">
        <f ca="1">IF(M953&lt;&gt;M952,INDEX(CustInfo!$A$2:$A$1001,RANDBETWEEN(1,1000)),N952)</f>
        <v>11896</v>
      </c>
      <c r="O953" t="s">
        <v>1003</v>
      </c>
      <c r="P953">
        <v>52937087</v>
      </c>
    </row>
    <row r="954" spans="1:16" x14ac:dyDescent="0.35">
      <c r="A954">
        <v>93827212343</v>
      </c>
      <c r="C954" s="2" t="s">
        <v>883</v>
      </c>
      <c r="D954">
        <v>2</v>
      </c>
      <c r="E954">
        <v>76891213413</v>
      </c>
      <c r="F954">
        <f t="shared" ca="1" si="28"/>
        <v>25</v>
      </c>
      <c r="G954">
        <f ca="1">VLOOKUP(E954,PurchItem!$A$2:$H$508,8,0)</f>
        <v>5860.803601844581</v>
      </c>
      <c r="H954">
        <v>0.04</v>
      </c>
      <c r="I954" t="s">
        <v>244</v>
      </c>
      <c r="J954" s="5">
        <v>44569.594524409724</v>
      </c>
      <c r="K954" s="5">
        <v>44570.189048819448</v>
      </c>
      <c r="M954">
        <f t="shared" si="29"/>
        <v>10029727573</v>
      </c>
      <c r="N954">
        <f ca="1">IF(M954&lt;&gt;M953,INDEX(CustInfo!$A$2:$A$1001,RANDBETWEEN(1,1000)),N953)</f>
        <v>11896</v>
      </c>
      <c r="O954" t="s">
        <v>1003</v>
      </c>
      <c r="P954">
        <v>52937088</v>
      </c>
    </row>
    <row r="955" spans="1:16" x14ac:dyDescent="0.35">
      <c r="A955">
        <v>93827212344</v>
      </c>
      <c r="C955" s="2" t="s">
        <v>883</v>
      </c>
      <c r="D955">
        <v>1</v>
      </c>
      <c r="E955">
        <v>76891213180</v>
      </c>
      <c r="F955">
        <f t="shared" ca="1" si="28"/>
        <v>9</v>
      </c>
      <c r="G955">
        <f ca="1">VLOOKUP(E955,PurchItem!$A$2:$H$508,8,0)</f>
        <v>3521.2371052414392</v>
      </c>
      <c r="H955">
        <v>0.06</v>
      </c>
      <c r="I955" t="s">
        <v>244</v>
      </c>
      <c r="J955" s="5">
        <v>45334.594524409724</v>
      </c>
      <c r="K955" s="5">
        <v>45335.189048819448</v>
      </c>
      <c r="M955">
        <f t="shared" si="29"/>
        <v>10029727574</v>
      </c>
      <c r="N955">
        <f ca="1">IF(M955&lt;&gt;M954,INDEX(CustInfo!$A$2:$A$1001,RANDBETWEEN(1,1000)),N954)</f>
        <v>11024</v>
      </c>
      <c r="O955" t="s">
        <v>1002</v>
      </c>
      <c r="P955">
        <v>52937089</v>
      </c>
    </row>
    <row r="956" spans="1:16" x14ac:dyDescent="0.35">
      <c r="A956">
        <v>93827212345</v>
      </c>
      <c r="C956" s="2" t="s">
        <v>883</v>
      </c>
      <c r="D956">
        <v>1</v>
      </c>
      <c r="E956">
        <v>76891213423</v>
      </c>
      <c r="F956">
        <f t="shared" ca="1" si="28"/>
        <v>77</v>
      </c>
      <c r="G956">
        <f ca="1">VLOOKUP(E956,PurchItem!$A$2:$H$508,8,0)</f>
        <v>1141.5267093600655</v>
      </c>
      <c r="H956">
        <v>0.04</v>
      </c>
      <c r="I956" t="s">
        <v>244</v>
      </c>
      <c r="J956" s="5">
        <v>44631.594524409724</v>
      </c>
      <c r="K956" s="5">
        <v>44632.189048819448</v>
      </c>
      <c r="M956">
        <f t="shared" si="29"/>
        <v>10029727575</v>
      </c>
      <c r="N956">
        <f ca="1">IF(M956&lt;&gt;M955,INDEX(CustInfo!$A$2:$A$1001,RANDBETWEEN(1,1000)),N955)</f>
        <v>11815</v>
      </c>
      <c r="O956" t="s">
        <v>1002</v>
      </c>
      <c r="P956">
        <v>52937090</v>
      </c>
    </row>
    <row r="957" spans="1:16" x14ac:dyDescent="0.35">
      <c r="A957">
        <v>93827212345</v>
      </c>
      <c r="C957" s="2" t="s">
        <v>883</v>
      </c>
      <c r="D957">
        <v>2</v>
      </c>
      <c r="E957">
        <v>76891213300</v>
      </c>
      <c r="F957">
        <f t="shared" ca="1" si="28"/>
        <v>9</v>
      </c>
      <c r="G957">
        <f ca="1">VLOOKUP(E957,PurchItem!$A$2:$H$508,8,0)</f>
        <v>7933.1351105062431</v>
      </c>
      <c r="H957">
        <v>0.04</v>
      </c>
      <c r="I957" t="s">
        <v>244</v>
      </c>
      <c r="J957" s="5">
        <v>45575.594524409724</v>
      </c>
      <c r="K957" s="5">
        <v>45578.189048819448</v>
      </c>
      <c r="M957">
        <f t="shared" si="29"/>
        <v>10029727575</v>
      </c>
      <c r="N957">
        <f ca="1">IF(M957&lt;&gt;M956,INDEX(CustInfo!$A$2:$A$1001,RANDBETWEEN(1,1000)),N956)</f>
        <v>11815</v>
      </c>
      <c r="O957" t="s">
        <v>1002</v>
      </c>
      <c r="P957">
        <v>52937091</v>
      </c>
    </row>
    <row r="958" spans="1:16" x14ac:dyDescent="0.35">
      <c r="A958">
        <v>93827212345</v>
      </c>
      <c r="C958" s="2" t="s">
        <v>883</v>
      </c>
      <c r="D958">
        <v>3</v>
      </c>
      <c r="E958">
        <v>76891213290</v>
      </c>
      <c r="F958">
        <f t="shared" ca="1" si="28"/>
        <v>12</v>
      </c>
      <c r="G958">
        <f ca="1">VLOOKUP(E958,PurchItem!$A$2:$H$508,8,0)</f>
        <v>8789.9228489399866</v>
      </c>
      <c r="H958">
        <v>0.04</v>
      </c>
      <c r="I958" t="s">
        <v>244</v>
      </c>
      <c r="J958" s="5">
        <v>44984.594524409724</v>
      </c>
      <c r="K958" s="5">
        <v>44986.189048819448</v>
      </c>
      <c r="M958">
        <f t="shared" si="29"/>
        <v>10029727575</v>
      </c>
      <c r="N958">
        <f ca="1">IF(M958&lt;&gt;M957,INDEX(CustInfo!$A$2:$A$1001,RANDBETWEEN(1,1000)),N957)</f>
        <v>11815</v>
      </c>
      <c r="O958" t="s">
        <v>1002</v>
      </c>
      <c r="P958">
        <v>52937092</v>
      </c>
    </row>
    <row r="959" spans="1:16" x14ac:dyDescent="0.35">
      <c r="A959">
        <v>93827212345</v>
      </c>
      <c r="C959" s="2" t="s">
        <v>883</v>
      </c>
      <c r="D959">
        <v>4</v>
      </c>
      <c r="E959">
        <v>76891213539</v>
      </c>
      <c r="F959">
        <f t="shared" ca="1" si="28"/>
        <v>85</v>
      </c>
      <c r="G959">
        <f ca="1">VLOOKUP(E959,PurchItem!$A$2:$H$508,8,0)</f>
        <v>2018.0212140707813</v>
      </c>
      <c r="H959">
        <v>0.06</v>
      </c>
      <c r="I959" t="s">
        <v>244</v>
      </c>
      <c r="J959" s="5">
        <v>45056.594524409724</v>
      </c>
      <c r="K959" s="5">
        <v>45058.189048819448</v>
      </c>
      <c r="M959">
        <f t="shared" si="29"/>
        <v>10029727575</v>
      </c>
      <c r="N959">
        <f ca="1">IF(M959&lt;&gt;M958,INDEX(CustInfo!$A$2:$A$1001,RANDBETWEEN(1,1000)),N958)</f>
        <v>11815</v>
      </c>
      <c r="O959" t="s">
        <v>1002</v>
      </c>
      <c r="P959">
        <v>52937093</v>
      </c>
    </row>
    <row r="960" spans="1:16" x14ac:dyDescent="0.35">
      <c r="A960">
        <v>93827212346</v>
      </c>
      <c r="C960" s="2" t="s">
        <v>883</v>
      </c>
      <c r="D960">
        <v>1</v>
      </c>
      <c r="E960">
        <v>76891213381</v>
      </c>
      <c r="F960">
        <f t="shared" ca="1" si="28"/>
        <v>82</v>
      </c>
      <c r="G960">
        <f ca="1">VLOOKUP(E960,PurchItem!$A$2:$H$508,8,0)</f>
        <v>3713.0360352334424</v>
      </c>
      <c r="H960">
        <v>0.06</v>
      </c>
      <c r="I960" t="s">
        <v>244</v>
      </c>
      <c r="J960" s="5">
        <v>44807.594524409724</v>
      </c>
      <c r="K960" s="5">
        <v>44808.189048819448</v>
      </c>
      <c r="M960">
        <f t="shared" si="29"/>
        <v>10029727576</v>
      </c>
      <c r="N960">
        <f ca="1">IF(M960&lt;&gt;M959,INDEX(CustInfo!$A$2:$A$1001,RANDBETWEEN(1,1000)),N959)</f>
        <v>11083</v>
      </c>
      <c r="O960" t="s">
        <v>1003</v>
      </c>
      <c r="P960">
        <v>52937094</v>
      </c>
    </row>
    <row r="961" spans="1:16" x14ac:dyDescent="0.35">
      <c r="A961">
        <v>93827212347</v>
      </c>
      <c r="C961" s="2" t="s">
        <v>883</v>
      </c>
      <c r="D961">
        <v>1</v>
      </c>
      <c r="E961">
        <v>76891213405</v>
      </c>
      <c r="F961">
        <f t="shared" ca="1" si="28"/>
        <v>63</v>
      </c>
      <c r="G961">
        <f ca="1">VLOOKUP(E961,PurchItem!$A$2:$H$508,8,0)</f>
        <v>140.45123256001332</v>
      </c>
      <c r="H961">
        <v>0.06</v>
      </c>
      <c r="I961" t="s">
        <v>244</v>
      </c>
      <c r="J961" s="5">
        <v>44624.594524409724</v>
      </c>
      <c r="K961" s="5">
        <v>44628.189048819448</v>
      </c>
      <c r="M961">
        <f t="shared" si="29"/>
        <v>10029727577</v>
      </c>
      <c r="N961">
        <f ca="1">IF(M961&lt;&gt;M960,INDEX(CustInfo!$A$2:$A$1001,RANDBETWEEN(1,1000)),N960)</f>
        <v>11774</v>
      </c>
      <c r="O961" t="s">
        <v>1001</v>
      </c>
      <c r="P961">
        <v>52937095</v>
      </c>
    </row>
    <row r="962" spans="1:16" x14ac:dyDescent="0.35">
      <c r="A962">
        <v>93827212347</v>
      </c>
      <c r="C962" s="2" t="s">
        <v>883</v>
      </c>
      <c r="D962">
        <v>2</v>
      </c>
      <c r="E962">
        <v>76891213266</v>
      </c>
      <c r="F962">
        <f t="shared" ca="1" si="28"/>
        <v>9</v>
      </c>
      <c r="G962">
        <f ca="1">VLOOKUP(E962,PurchItem!$A$2:$H$508,8,0)</f>
        <v>1275.2501267518942</v>
      </c>
      <c r="H962">
        <v>0.06</v>
      </c>
      <c r="I962" t="s">
        <v>244</v>
      </c>
      <c r="J962" s="5">
        <v>44562.594524409724</v>
      </c>
      <c r="K962" s="5">
        <v>44565.189048819448</v>
      </c>
      <c r="M962">
        <f t="shared" si="29"/>
        <v>10029727577</v>
      </c>
      <c r="N962">
        <f ca="1">IF(M962&lt;&gt;M961,INDEX(CustInfo!$A$2:$A$1001,RANDBETWEEN(1,1000)),N961)</f>
        <v>11774</v>
      </c>
      <c r="O962" t="s">
        <v>1001</v>
      </c>
      <c r="P962">
        <v>52937096</v>
      </c>
    </row>
    <row r="963" spans="1:16" x14ac:dyDescent="0.35">
      <c r="A963">
        <v>93827212347</v>
      </c>
      <c r="C963" s="2" t="s">
        <v>883</v>
      </c>
      <c r="D963">
        <v>3</v>
      </c>
      <c r="E963">
        <v>76891213204</v>
      </c>
      <c r="F963">
        <f t="shared" ref="F963:F1026" ca="1" si="30">RANDBETWEEN(1,100)</f>
        <v>36</v>
      </c>
      <c r="G963">
        <f ca="1">VLOOKUP(E963,PurchItem!$A$2:$H$508,8,0)</f>
        <v>463.02454813375948</v>
      </c>
      <c r="H963">
        <v>0.05</v>
      </c>
      <c r="I963" t="s">
        <v>244</v>
      </c>
      <c r="J963" s="5">
        <v>45285.594524409724</v>
      </c>
      <c r="K963" s="5">
        <v>45289.189048819448</v>
      </c>
      <c r="M963">
        <f t="shared" si="29"/>
        <v>10029727577</v>
      </c>
      <c r="N963">
        <f ca="1">IF(M963&lt;&gt;M962,INDEX(CustInfo!$A$2:$A$1001,RANDBETWEEN(1,1000)),N962)</f>
        <v>11774</v>
      </c>
      <c r="O963" t="s">
        <v>1001</v>
      </c>
      <c r="P963">
        <v>52937097</v>
      </c>
    </row>
    <row r="964" spans="1:16" x14ac:dyDescent="0.35">
      <c r="A964">
        <v>93827212348</v>
      </c>
      <c r="C964" s="2" t="s">
        <v>883</v>
      </c>
      <c r="D964">
        <v>1</v>
      </c>
      <c r="E964">
        <v>76891213160</v>
      </c>
      <c r="F964">
        <f t="shared" ca="1" si="30"/>
        <v>93</v>
      </c>
      <c r="G964">
        <f ca="1">VLOOKUP(E964,PurchItem!$A$2:$H$508,8,0)</f>
        <v>8462.9770245013115</v>
      </c>
      <c r="H964">
        <v>0.06</v>
      </c>
      <c r="I964" t="s">
        <v>244</v>
      </c>
      <c r="J964" s="5">
        <v>44810.594524409724</v>
      </c>
      <c r="K964" s="5">
        <v>44813.189048819448</v>
      </c>
      <c r="M964">
        <f t="shared" si="29"/>
        <v>10029727578</v>
      </c>
      <c r="N964">
        <f ca="1">IF(M964&lt;&gt;M963,INDEX(CustInfo!$A$2:$A$1001,RANDBETWEEN(1,1000)),N963)</f>
        <v>11684</v>
      </c>
      <c r="O964" t="s">
        <v>1002</v>
      </c>
      <c r="P964">
        <v>52937098</v>
      </c>
    </row>
    <row r="965" spans="1:16" x14ac:dyDescent="0.35">
      <c r="A965">
        <v>93827212348</v>
      </c>
      <c r="C965" s="2" t="s">
        <v>883</v>
      </c>
      <c r="D965">
        <v>2</v>
      </c>
      <c r="E965">
        <v>76891213148</v>
      </c>
      <c r="F965">
        <f t="shared" ca="1" si="30"/>
        <v>3</v>
      </c>
      <c r="G965">
        <f ca="1">VLOOKUP(E965,PurchItem!$A$2:$H$508,8,0)</f>
        <v>1059.7105318061322</v>
      </c>
      <c r="H965">
        <v>0.04</v>
      </c>
      <c r="I965" t="s">
        <v>244</v>
      </c>
      <c r="J965" s="5">
        <v>45538.594524409724</v>
      </c>
      <c r="K965" s="5">
        <v>45541.189048819448</v>
      </c>
      <c r="M965">
        <f t="shared" ref="M965:M1028" si="31">IF(A965&lt;&gt;A964,M964+1,M964)</f>
        <v>10029727578</v>
      </c>
      <c r="N965">
        <f ca="1">IF(M965&lt;&gt;M964,INDEX(CustInfo!$A$2:$A$1001,RANDBETWEEN(1,1000)),N964)</f>
        <v>11684</v>
      </c>
      <c r="O965" t="s">
        <v>1002</v>
      </c>
      <c r="P965">
        <v>52937099</v>
      </c>
    </row>
    <row r="966" spans="1:16" x14ac:dyDescent="0.35">
      <c r="A966">
        <v>93827212348</v>
      </c>
      <c r="C966" s="2" t="s">
        <v>883</v>
      </c>
      <c r="D966">
        <v>3</v>
      </c>
      <c r="E966">
        <v>76891213225</v>
      </c>
      <c r="F966">
        <f t="shared" ca="1" si="30"/>
        <v>64</v>
      </c>
      <c r="G966">
        <f ca="1">VLOOKUP(E966,PurchItem!$A$2:$H$508,8,0)</f>
        <v>8536.5473217392282</v>
      </c>
      <c r="H966">
        <v>0.05</v>
      </c>
      <c r="I966" t="s">
        <v>244</v>
      </c>
      <c r="J966" s="5">
        <v>44634.594524409724</v>
      </c>
      <c r="K966" s="5">
        <v>44638.189048819448</v>
      </c>
      <c r="M966">
        <f t="shared" si="31"/>
        <v>10029727578</v>
      </c>
      <c r="N966">
        <f ca="1">IF(M966&lt;&gt;M965,INDEX(CustInfo!$A$2:$A$1001,RANDBETWEEN(1,1000)),N965)</f>
        <v>11684</v>
      </c>
      <c r="O966" t="s">
        <v>1002</v>
      </c>
      <c r="P966">
        <v>52937100</v>
      </c>
    </row>
    <row r="967" spans="1:16" x14ac:dyDescent="0.35">
      <c r="A967">
        <v>93827212349</v>
      </c>
      <c r="C967" s="2" t="s">
        <v>883</v>
      </c>
      <c r="D967">
        <v>1</v>
      </c>
      <c r="E967">
        <v>76891213574</v>
      </c>
      <c r="F967">
        <f t="shared" ca="1" si="30"/>
        <v>85</v>
      </c>
      <c r="G967">
        <f ca="1">VLOOKUP(E967,PurchItem!$A$2:$H$508,8,0)</f>
        <v>464.77139842259504</v>
      </c>
      <c r="H967">
        <v>0.06</v>
      </c>
      <c r="I967" t="s">
        <v>244</v>
      </c>
      <c r="J967" s="5">
        <v>44593.594524409724</v>
      </c>
      <c r="K967" s="5">
        <v>44594.189048819448</v>
      </c>
      <c r="M967">
        <f t="shared" si="31"/>
        <v>10029727579</v>
      </c>
      <c r="N967">
        <f ca="1">IF(M967&lt;&gt;M966,INDEX(CustInfo!$A$2:$A$1001,RANDBETWEEN(1,1000)),N966)</f>
        <v>11866</v>
      </c>
      <c r="O967" t="s">
        <v>1002</v>
      </c>
      <c r="P967">
        <v>52937101</v>
      </c>
    </row>
    <row r="968" spans="1:16" x14ac:dyDescent="0.35">
      <c r="A968">
        <v>93827212349</v>
      </c>
      <c r="C968" s="2" t="s">
        <v>883</v>
      </c>
      <c r="D968">
        <v>2</v>
      </c>
      <c r="E968">
        <v>76891213294</v>
      </c>
      <c r="F968">
        <f t="shared" ca="1" si="30"/>
        <v>10</v>
      </c>
      <c r="G968">
        <f ca="1">VLOOKUP(E968,PurchItem!$A$2:$H$508,8,0)</f>
        <v>1758.1992003080466</v>
      </c>
      <c r="H968">
        <v>0.04</v>
      </c>
      <c r="I968" t="s">
        <v>244</v>
      </c>
      <c r="J968" s="5">
        <v>44619.594524409724</v>
      </c>
      <c r="K968" s="5">
        <v>44621.189048819448</v>
      </c>
      <c r="M968">
        <f t="shared" si="31"/>
        <v>10029727579</v>
      </c>
      <c r="N968">
        <f ca="1">IF(M968&lt;&gt;M967,INDEX(CustInfo!$A$2:$A$1001,RANDBETWEEN(1,1000)),N967)</f>
        <v>11866</v>
      </c>
      <c r="O968" t="s">
        <v>1002</v>
      </c>
      <c r="P968">
        <v>52937102</v>
      </c>
    </row>
    <row r="969" spans="1:16" x14ac:dyDescent="0.35">
      <c r="A969">
        <v>93827212350</v>
      </c>
      <c r="C969" s="2" t="s">
        <v>883</v>
      </c>
      <c r="D969">
        <v>1</v>
      </c>
      <c r="E969">
        <v>76891213635</v>
      </c>
      <c r="F969">
        <f t="shared" ca="1" si="30"/>
        <v>18</v>
      </c>
      <c r="G969">
        <f ca="1">VLOOKUP(E969,PurchItem!$A$2:$H$508,8,0)</f>
        <v>683.81529686480883</v>
      </c>
      <c r="H969">
        <v>0.04</v>
      </c>
      <c r="I969" t="s">
        <v>244</v>
      </c>
      <c r="J969" s="5">
        <v>45030.594524409724</v>
      </c>
      <c r="K969" s="5">
        <v>45034.189048819448</v>
      </c>
      <c r="M969">
        <f t="shared" si="31"/>
        <v>10029727580</v>
      </c>
      <c r="N969">
        <f ca="1">IF(M969&lt;&gt;M968,INDEX(CustInfo!$A$2:$A$1001,RANDBETWEEN(1,1000)),N968)</f>
        <v>11577</v>
      </c>
      <c r="O969" t="s">
        <v>1002</v>
      </c>
      <c r="P969">
        <v>52937103</v>
      </c>
    </row>
    <row r="970" spans="1:16" x14ac:dyDescent="0.35">
      <c r="A970">
        <v>93827212351</v>
      </c>
      <c r="C970" s="2" t="s">
        <v>883</v>
      </c>
      <c r="D970">
        <v>1</v>
      </c>
      <c r="E970">
        <v>76891213606</v>
      </c>
      <c r="F970">
        <f t="shared" ca="1" si="30"/>
        <v>84</v>
      </c>
      <c r="G970">
        <f ca="1">VLOOKUP(E970,PurchItem!$A$2:$H$508,8,0)</f>
        <v>2599.1188743033085</v>
      </c>
      <c r="H970">
        <v>0.06</v>
      </c>
      <c r="I970" t="s">
        <v>244</v>
      </c>
      <c r="J970" s="5">
        <v>45115.594524409724</v>
      </c>
      <c r="K970" s="5">
        <v>45118.189048819448</v>
      </c>
      <c r="M970">
        <f t="shared" si="31"/>
        <v>10029727581</v>
      </c>
      <c r="N970">
        <f ca="1">IF(M970&lt;&gt;M969,INDEX(CustInfo!$A$2:$A$1001,RANDBETWEEN(1,1000)),N969)</f>
        <v>11279</v>
      </c>
      <c r="O970" t="s">
        <v>1003</v>
      </c>
      <c r="P970">
        <v>52937104</v>
      </c>
    </row>
    <row r="971" spans="1:16" x14ac:dyDescent="0.35">
      <c r="A971">
        <v>93827212351</v>
      </c>
      <c r="C971" s="2" t="s">
        <v>883</v>
      </c>
      <c r="D971">
        <v>2</v>
      </c>
      <c r="E971">
        <v>76891213342</v>
      </c>
      <c r="F971">
        <f t="shared" ca="1" si="30"/>
        <v>95</v>
      </c>
      <c r="G971">
        <f ca="1">VLOOKUP(E971,PurchItem!$A$2:$H$508,8,0)</f>
        <v>2652.6752980988185</v>
      </c>
      <c r="H971">
        <v>0.04</v>
      </c>
      <c r="I971" t="s">
        <v>244</v>
      </c>
      <c r="J971" s="5">
        <v>44870.594524409724</v>
      </c>
      <c r="K971" s="5">
        <v>44873.189048819448</v>
      </c>
      <c r="M971">
        <f t="shared" si="31"/>
        <v>10029727581</v>
      </c>
      <c r="N971">
        <f ca="1">IF(M971&lt;&gt;M970,INDEX(CustInfo!$A$2:$A$1001,RANDBETWEEN(1,1000)),N970)</f>
        <v>11279</v>
      </c>
      <c r="O971" t="s">
        <v>1003</v>
      </c>
      <c r="P971">
        <v>52937105</v>
      </c>
    </row>
    <row r="972" spans="1:16" x14ac:dyDescent="0.35">
      <c r="A972">
        <v>93827212351</v>
      </c>
      <c r="C972" s="2" t="s">
        <v>883</v>
      </c>
      <c r="D972">
        <v>3</v>
      </c>
      <c r="E972">
        <v>76891213329</v>
      </c>
      <c r="F972">
        <f t="shared" ca="1" si="30"/>
        <v>56</v>
      </c>
      <c r="G972">
        <f ca="1">VLOOKUP(E972,PurchItem!$A$2:$H$508,8,0)</f>
        <v>3846.001981135933</v>
      </c>
      <c r="H972">
        <v>0.06</v>
      </c>
      <c r="I972" t="s">
        <v>244</v>
      </c>
      <c r="J972" s="5">
        <v>44601.594524409724</v>
      </c>
      <c r="K972" s="5">
        <v>44602.189048819448</v>
      </c>
      <c r="M972">
        <f t="shared" si="31"/>
        <v>10029727581</v>
      </c>
      <c r="N972">
        <f ca="1">IF(M972&lt;&gt;M971,INDEX(CustInfo!$A$2:$A$1001,RANDBETWEEN(1,1000)),N971)</f>
        <v>11279</v>
      </c>
      <c r="O972" t="s">
        <v>1003</v>
      </c>
      <c r="P972">
        <v>52937106</v>
      </c>
    </row>
    <row r="973" spans="1:16" x14ac:dyDescent="0.35">
      <c r="A973">
        <v>93827212351</v>
      </c>
      <c r="C973" s="2" t="s">
        <v>883</v>
      </c>
      <c r="D973">
        <v>4</v>
      </c>
      <c r="E973">
        <v>76891213452</v>
      </c>
      <c r="F973">
        <f t="shared" ca="1" si="30"/>
        <v>48</v>
      </c>
      <c r="G973">
        <f ca="1">VLOOKUP(E973,PurchItem!$A$2:$H$508,8,0)</f>
        <v>6346.9434428168151</v>
      </c>
      <c r="H973">
        <v>0.06</v>
      </c>
      <c r="I973" t="s">
        <v>244</v>
      </c>
      <c r="J973" s="5">
        <v>44933.594524409724</v>
      </c>
      <c r="K973" s="5">
        <v>44935.189048819448</v>
      </c>
      <c r="M973">
        <f t="shared" si="31"/>
        <v>10029727581</v>
      </c>
      <c r="N973">
        <f ca="1">IF(M973&lt;&gt;M972,INDEX(CustInfo!$A$2:$A$1001,RANDBETWEEN(1,1000)),N972)</f>
        <v>11279</v>
      </c>
      <c r="O973" t="s">
        <v>1003</v>
      </c>
      <c r="P973">
        <v>52937107</v>
      </c>
    </row>
    <row r="974" spans="1:16" x14ac:dyDescent="0.35">
      <c r="A974">
        <v>93827212352</v>
      </c>
      <c r="C974" s="2" t="s">
        <v>883</v>
      </c>
      <c r="D974">
        <v>1</v>
      </c>
      <c r="E974">
        <v>76891213311</v>
      </c>
      <c r="F974">
        <f t="shared" ca="1" si="30"/>
        <v>30</v>
      </c>
      <c r="G974">
        <f ca="1">VLOOKUP(E974,PurchItem!$A$2:$H$508,8,0)</f>
        <v>6621.6992314843292</v>
      </c>
      <c r="H974">
        <v>0.05</v>
      </c>
      <c r="I974" t="s">
        <v>244</v>
      </c>
      <c r="J974" s="5">
        <v>45524.594524409724</v>
      </c>
      <c r="K974" s="5">
        <v>45525.189048819448</v>
      </c>
      <c r="M974">
        <f t="shared" si="31"/>
        <v>10029727582</v>
      </c>
      <c r="N974">
        <f ca="1">IF(M974&lt;&gt;M973,INDEX(CustInfo!$A$2:$A$1001,RANDBETWEEN(1,1000)),N973)</f>
        <v>11536</v>
      </c>
      <c r="O974" t="s">
        <v>1003</v>
      </c>
      <c r="P974">
        <v>52937108</v>
      </c>
    </row>
    <row r="975" spans="1:16" x14ac:dyDescent="0.35">
      <c r="A975">
        <v>93827212352</v>
      </c>
      <c r="C975" s="2" t="s">
        <v>883</v>
      </c>
      <c r="D975">
        <v>2</v>
      </c>
      <c r="E975">
        <v>76891213619</v>
      </c>
      <c r="F975">
        <f t="shared" ca="1" si="30"/>
        <v>6</v>
      </c>
      <c r="G975">
        <f ca="1">VLOOKUP(E975,PurchItem!$A$2:$H$508,8,0)</f>
        <v>1441.1583775333718</v>
      </c>
      <c r="H975">
        <v>0.04</v>
      </c>
      <c r="I975" t="s">
        <v>244</v>
      </c>
      <c r="J975" s="5">
        <v>45282.594524409724</v>
      </c>
      <c r="K975" s="5">
        <v>45283.189048819448</v>
      </c>
      <c r="M975">
        <f t="shared" si="31"/>
        <v>10029727582</v>
      </c>
      <c r="N975">
        <f ca="1">IF(M975&lt;&gt;M974,INDEX(CustInfo!$A$2:$A$1001,RANDBETWEEN(1,1000)),N974)</f>
        <v>11536</v>
      </c>
      <c r="O975" t="s">
        <v>1003</v>
      </c>
      <c r="P975">
        <v>52937109</v>
      </c>
    </row>
    <row r="976" spans="1:16" x14ac:dyDescent="0.35">
      <c r="A976">
        <v>93827212352</v>
      </c>
      <c r="C976" s="2" t="s">
        <v>883</v>
      </c>
      <c r="D976">
        <v>3</v>
      </c>
      <c r="E976">
        <v>76891213176</v>
      </c>
      <c r="F976">
        <f t="shared" ca="1" si="30"/>
        <v>63</v>
      </c>
      <c r="G976">
        <f ca="1">VLOOKUP(E976,PurchItem!$A$2:$H$508,8,0)</f>
        <v>7307.4100843756351</v>
      </c>
      <c r="H976">
        <v>0.04</v>
      </c>
      <c r="I976" t="s">
        <v>244</v>
      </c>
      <c r="J976" s="5">
        <v>44715.594524409724</v>
      </c>
      <c r="K976" s="5">
        <v>44719.189048819448</v>
      </c>
      <c r="M976">
        <f t="shared" si="31"/>
        <v>10029727582</v>
      </c>
      <c r="N976">
        <f ca="1">IF(M976&lt;&gt;M975,INDEX(CustInfo!$A$2:$A$1001,RANDBETWEEN(1,1000)),N975)</f>
        <v>11536</v>
      </c>
      <c r="O976" t="s">
        <v>1003</v>
      </c>
      <c r="P976">
        <v>52937110</v>
      </c>
    </row>
    <row r="977" spans="1:16" x14ac:dyDescent="0.35">
      <c r="A977">
        <v>93827212353</v>
      </c>
      <c r="C977" s="2" t="s">
        <v>883</v>
      </c>
      <c r="D977">
        <v>1</v>
      </c>
      <c r="E977">
        <v>76891213150</v>
      </c>
      <c r="F977">
        <f t="shared" ca="1" si="30"/>
        <v>36</v>
      </c>
      <c r="G977">
        <f ca="1">VLOOKUP(E977,PurchItem!$A$2:$H$508,8,0)</f>
        <v>4841.3945699159722</v>
      </c>
      <c r="H977">
        <v>0.04</v>
      </c>
      <c r="I977" t="s">
        <v>244</v>
      </c>
      <c r="J977" s="5">
        <v>44983.594524409724</v>
      </c>
      <c r="K977" s="5">
        <v>44986.189048819448</v>
      </c>
      <c r="M977">
        <f t="shared" si="31"/>
        <v>10029727583</v>
      </c>
      <c r="N977">
        <f ca="1">IF(M977&lt;&gt;M976,INDEX(CustInfo!$A$2:$A$1001,RANDBETWEEN(1,1000)),N976)</f>
        <v>11573</v>
      </c>
      <c r="O977" t="s">
        <v>1003</v>
      </c>
      <c r="P977">
        <v>52937111</v>
      </c>
    </row>
    <row r="978" spans="1:16" x14ac:dyDescent="0.35">
      <c r="A978">
        <v>93827212353</v>
      </c>
      <c r="C978" s="2" t="s">
        <v>883</v>
      </c>
      <c r="D978">
        <v>2</v>
      </c>
      <c r="E978">
        <v>76891213617</v>
      </c>
      <c r="F978">
        <f t="shared" ca="1" si="30"/>
        <v>26</v>
      </c>
      <c r="G978">
        <f ca="1">VLOOKUP(E978,PurchItem!$A$2:$H$508,8,0)</f>
        <v>9826.6313103954708</v>
      </c>
      <c r="H978">
        <v>0.06</v>
      </c>
      <c r="I978" t="s">
        <v>244</v>
      </c>
      <c r="J978" s="5">
        <v>45193.594524409724</v>
      </c>
      <c r="K978" s="5">
        <v>45195.189048819448</v>
      </c>
      <c r="M978">
        <f t="shared" si="31"/>
        <v>10029727583</v>
      </c>
      <c r="N978">
        <f ca="1">IF(M978&lt;&gt;M977,INDEX(CustInfo!$A$2:$A$1001,RANDBETWEEN(1,1000)),N977)</f>
        <v>11573</v>
      </c>
      <c r="O978" t="s">
        <v>1003</v>
      </c>
      <c r="P978">
        <v>52937112</v>
      </c>
    </row>
    <row r="979" spans="1:16" x14ac:dyDescent="0.35">
      <c r="A979">
        <v>93827212353</v>
      </c>
      <c r="C979" s="2" t="s">
        <v>883</v>
      </c>
      <c r="D979">
        <v>3</v>
      </c>
      <c r="E979">
        <v>76891213475</v>
      </c>
      <c r="F979">
        <f t="shared" ca="1" si="30"/>
        <v>85</v>
      </c>
      <c r="G979">
        <f ca="1">VLOOKUP(E979,PurchItem!$A$2:$H$508,8,0)</f>
        <v>346.87499167337484</v>
      </c>
      <c r="H979">
        <v>0.04</v>
      </c>
      <c r="I979" t="s">
        <v>244</v>
      </c>
      <c r="J979" s="5">
        <v>44916.594524409724</v>
      </c>
      <c r="K979" s="5">
        <v>44920.189048819448</v>
      </c>
      <c r="M979">
        <f t="shared" si="31"/>
        <v>10029727583</v>
      </c>
      <c r="N979">
        <f ca="1">IF(M979&lt;&gt;M978,INDEX(CustInfo!$A$2:$A$1001,RANDBETWEEN(1,1000)),N978)</f>
        <v>11573</v>
      </c>
      <c r="O979" t="s">
        <v>1003</v>
      </c>
      <c r="P979">
        <v>52937113</v>
      </c>
    </row>
    <row r="980" spans="1:16" x14ac:dyDescent="0.35">
      <c r="A980">
        <v>93827212354</v>
      </c>
      <c r="C980" s="2" t="s">
        <v>883</v>
      </c>
      <c r="D980">
        <v>1</v>
      </c>
      <c r="E980">
        <v>76891213386</v>
      </c>
      <c r="F980">
        <f t="shared" ca="1" si="30"/>
        <v>62</v>
      </c>
      <c r="G980">
        <f ca="1">VLOOKUP(E980,PurchItem!$A$2:$H$508,8,0)</f>
        <v>8452.4982732375174</v>
      </c>
      <c r="H980">
        <v>0.06</v>
      </c>
      <c r="I980" t="s">
        <v>244</v>
      </c>
      <c r="J980" s="5">
        <v>44860.594524409724</v>
      </c>
      <c r="K980" s="5">
        <v>44863.189048819448</v>
      </c>
      <c r="M980">
        <f t="shared" si="31"/>
        <v>10029727584</v>
      </c>
      <c r="N980">
        <f ca="1">IF(M980&lt;&gt;M979,INDEX(CustInfo!$A$2:$A$1001,RANDBETWEEN(1,1000)),N979)</f>
        <v>11546</v>
      </c>
      <c r="O980" t="s">
        <v>1002</v>
      </c>
      <c r="P980">
        <v>52937114</v>
      </c>
    </row>
    <row r="981" spans="1:16" x14ac:dyDescent="0.35">
      <c r="A981">
        <v>93827212355</v>
      </c>
      <c r="C981" s="2" t="s">
        <v>883</v>
      </c>
      <c r="D981">
        <v>1</v>
      </c>
      <c r="E981">
        <v>76891213616</v>
      </c>
      <c r="F981">
        <f t="shared" ca="1" si="30"/>
        <v>77</v>
      </c>
      <c r="G981">
        <f ca="1">VLOOKUP(E981,PurchItem!$A$2:$H$508,8,0)</f>
        <v>4776.4116895077213</v>
      </c>
      <c r="H981">
        <v>0.04</v>
      </c>
      <c r="I981" t="s">
        <v>244</v>
      </c>
      <c r="J981" s="5">
        <v>45302.594524409724</v>
      </c>
      <c r="K981" s="5">
        <v>45304.189048819448</v>
      </c>
      <c r="M981">
        <f t="shared" si="31"/>
        <v>10029727585</v>
      </c>
      <c r="N981">
        <f ca="1">IF(M981&lt;&gt;M980,INDEX(CustInfo!$A$2:$A$1001,RANDBETWEEN(1,1000)),N980)</f>
        <v>11501</v>
      </c>
      <c r="O981" t="s">
        <v>1002</v>
      </c>
      <c r="P981">
        <v>52937115</v>
      </c>
    </row>
    <row r="982" spans="1:16" x14ac:dyDescent="0.35">
      <c r="A982">
        <v>93827212355</v>
      </c>
      <c r="C982" s="2" t="s">
        <v>883</v>
      </c>
      <c r="D982">
        <v>2</v>
      </c>
      <c r="E982">
        <v>76891213223</v>
      </c>
      <c r="F982">
        <f t="shared" ca="1" si="30"/>
        <v>89</v>
      </c>
      <c r="G982">
        <f ca="1">VLOOKUP(E982,PurchItem!$A$2:$H$508,8,0)</f>
        <v>9143.6020748149404</v>
      </c>
      <c r="H982">
        <v>0.04</v>
      </c>
      <c r="I982" t="s">
        <v>244</v>
      </c>
      <c r="J982" s="5">
        <v>44900.594524409724</v>
      </c>
      <c r="K982" s="5">
        <v>44903.189048819448</v>
      </c>
      <c r="M982">
        <f t="shared" si="31"/>
        <v>10029727585</v>
      </c>
      <c r="N982">
        <f ca="1">IF(M982&lt;&gt;M981,INDEX(CustInfo!$A$2:$A$1001,RANDBETWEEN(1,1000)),N981)</f>
        <v>11501</v>
      </c>
      <c r="O982" t="s">
        <v>1002</v>
      </c>
      <c r="P982">
        <v>52937116</v>
      </c>
    </row>
    <row r="983" spans="1:16" x14ac:dyDescent="0.35">
      <c r="A983">
        <v>93827212355</v>
      </c>
      <c r="C983" s="2" t="s">
        <v>883</v>
      </c>
      <c r="D983">
        <v>3</v>
      </c>
      <c r="E983">
        <v>76891213188</v>
      </c>
      <c r="F983">
        <f t="shared" ca="1" si="30"/>
        <v>74</v>
      </c>
      <c r="G983">
        <f ca="1">VLOOKUP(E983,PurchItem!$A$2:$H$508,8,0)</f>
        <v>4560.9730201131779</v>
      </c>
      <c r="H983">
        <v>0.06</v>
      </c>
      <c r="I983" t="s">
        <v>244</v>
      </c>
      <c r="J983" s="5">
        <v>44643.594524409724</v>
      </c>
      <c r="K983" s="5">
        <v>44646.189048819448</v>
      </c>
      <c r="M983">
        <f t="shared" si="31"/>
        <v>10029727585</v>
      </c>
      <c r="N983">
        <f ca="1">IF(M983&lt;&gt;M982,INDEX(CustInfo!$A$2:$A$1001,RANDBETWEEN(1,1000)),N982)</f>
        <v>11501</v>
      </c>
      <c r="O983" t="s">
        <v>1002</v>
      </c>
      <c r="P983">
        <v>52937117</v>
      </c>
    </row>
    <row r="984" spans="1:16" x14ac:dyDescent="0.35">
      <c r="A984">
        <v>93827212355</v>
      </c>
      <c r="C984" s="2" t="s">
        <v>883</v>
      </c>
      <c r="D984">
        <v>4</v>
      </c>
      <c r="E984">
        <v>76891213283</v>
      </c>
      <c r="F984">
        <f t="shared" ca="1" si="30"/>
        <v>20</v>
      </c>
      <c r="G984">
        <f ca="1">VLOOKUP(E984,PurchItem!$A$2:$H$508,8,0)</f>
        <v>871.93450976358122</v>
      </c>
      <c r="H984">
        <v>0.05</v>
      </c>
      <c r="I984" t="s">
        <v>244</v>
      </c>
      <c r="J984" s="5">
        <v>45037.594524409724</v>
      </c>
      <c r="K984" s="5">
        <v>45041.189048819448</v>
      </c>
      <c r="M984">
        <f t="shared" si="31"/>
        <v>10029727585</v>
      </c>
      <c r="N984">
        <f ca="1">IF(M984&lt;&gt;M983,INDEX(CustInfo!$A$2:$A$1001,RANDBETWEEN(1,1000)),N983)</f>
        <v>11501</v>
      </c>
      <c r="O984" t="s">
        <v>1002</v>
      </c>
      <c r="P984">
        <v>52937118</v>
      </c>
    </row>
    <row r="985" spans="1:16" x14ac:dyDescent="0.35">
      <c r="A985">
        <v>93827212356</v>
      </c>
      <c r="C985" s="2" t="s">
        <v>883</v>
      </c>
      <c r="D985">
        <v>1</v>
      </c>
      <c r="E985">
        <v>76891213425</v>
      </c>
      <c r="F985">
        <f t="shared" ca="1" si="30"/>
        <v>54</v>
      </c>
      <c r="G985">
        <f ca="1">VLOOKUP(E985,PurchItem!$A$2:$H$508,8,0)</f>
        <v>7305.5008049485577</v>
      </c>
      <c r="H985">
        <v>0.04</v>
      </c>
      <c r="I985" t="s">
        <v>244</v>
      </c>
      <c r="J985" s="5">
        <v>44675.594524409724</v>
      </c>
      <c r="K985" s="5">
        <v>44678.189048819448</v>
      </c>
      <c r="M985">
        <f t="shared" si="31"/>
        <v>10029727586</v>
      </c>
      <c r="N985">
        <f ca="1">IF(M985&lt;&gt;M984,INDEX(CustInfo!$A$2:$A$1001,RANDBETWEEN(1,1000)),N984)</f>
        <v>11756</v>
      </c>
      <c r="O985" t="s">
        <v>1002</v>
      </c>
      <c r="P985">
        <v>52937119</v>
      </c>
    </row>
    <row r="986" spans="1:16" x14ac:dyDescent="0.35">
      <c r="A986">
        <v>93827212356</v>
      </c>
      <c r="C986" s="2" t="s">
        <v>883</v>
      </c>
      <c r="D986">
        <v>2</v>
      </c>
      <c r="E986">
        <v>76891213635</v>
      </c>
      <c r="F986">
        <f t="shared" ca="1" si="30"/>
        <v>41</v>
      </c>
      <c r="G986">
        <f ca="1">VLOOKUP(E986,PurchItem!$A$2:$H$508,8,0)</f>
        <v>683.81529686480883</v>
      </c>
      <c r="H986">
        <v>0.06</v>
      </c>
      <c r="I986" t="s">
        <v>244</v>
      </c>
      <c r="J986" s="5">
        <v>45258.594524409724</v>
      </c>
      <c r="K986" s="5">
        <v>45260.189048819448</v>
      </c>
      <c r="M986">
        <f t="shared" si="31"/>
        <v>10029727586</v>
      </c>
      <c r="N986">
        <f ca="1">IF(M986&lt;&gt;M985,INDEX(CustInfo!$A$2:$A$1001,RANDBETWEEN(1,1000)),N985)</f>
        <v>11756</v>
      </c>
      <c r="O986" t="s">
        <v>1002</v>
      </c>
      <c r="P986">
        <v>52937120</v>
      </c>
    </row>
    <row r="987" spans="1:16" x14ac:dyDescent="0.35">
      <c r="A987">
        <v>93827212356</v>
      </c>
      <c r="C987" s="2" t="s">
        <v>883</v>
      </c>
      <c r="D987">
        <v>3</v>
      </c>
      <c r="E987">
        <v>76891213512</v>
      </c>
      <c r="F987">
        <f t="shared" ca="1" si="30"/>
        <v>12</v>
      </c>
      <c r="G987">
        <f ca="1">VLOOKUP(E987,PurchItem!$A$2:$H$508,8,0)</f>
        <v>9875.6826871447392</v>
      </c>
      <c r="H987">
        <v>0.06</v>
      </c>
      <c r="I987" t="s">
        <v>244</v>
      </c>
      <c r="J987" s="5">
        <v>44574.594524409724</v>
      </c>
      <c r="K987" s="5">
        <v>44578.189048819448</v>
      </c>
      <c r="M987">
        <f t="shared" si="31"/>
        <v>10029727586</v>
      </c>
      <c r="N987">
        <f ca="1">IF(M987&lt;&gt;M986,INDEX(CustInfo!$A$2:$A$1001,RANDBETWEEN(1,1000)),N986)</f>
        <v>11756</v>
      </c>
      <c r="O987" t="s">
        <v>1002</v>
      </c>
      <c r="P987">
        <v>52937121</v>
      </c>
    </row>
    <row r="988" spans="1:16" x14ac:dyDescent="0.35">
      <c r="A988">
        <v>93827212357</v>
      </c>
      <c r="C988" s="2" t="s">
        <v>883</v>
      </c>
      <c r="D988">
        <v>1</v>
      </c>
      <c r="E988">
        <v>76891213381</v>
      </c>
      <c r="F988">
        <f t="shared" ca="1" si="30"/>
        <v>49</v>
      </c>
      <c r="G988">
        <f ca="1">VLOOKUP(E988,PurchItem!$A$2:$H$508,8,0)</f>
        <v>3713.0360352334424</v>
      </c>
      <c r="H988">
        <v>0.04</v>
      </c>
      <c r="I988" t="s">
        <v>244</v>
      </c>
      <c r="J988" s="5">
        <v>44983.594524409724</v>
      </c>
      <c r="K988" s="5">
        <v>44987.189048819448</v>
      </c>
      <c r="M988">
        <f t="shared" si="31"/>
        <v>10029727587</v>
      </c>
      <c r="N988">
        <f ca="1">IF(M988&lt;&gt;M987,INDEX(CustInfo!$A$2:$A$1001,RANDBETWEEN(1,1000)),N987)</f>
        <v>11064</v>
      </c>
      <c r="O988" t="s">
        <v>1001</v>
      </c>
      <c r="P988">
        <v>52937122</v>
      </c>
    </row>
    <row r="989" spans="1:16" x14ac:dyDescent="0.35">
      <c r="A989">
        <v>93827212357</v>
      </c>
      <c r="C989" s="2" t="s">
        <v>883</v>
      </c>
      <c r="D989">
        <v>2</v>
      </c>
      <c r="E989">
        <v>76891213169</v>
      </c>
      <c r="F989">
        <f t="shared" ca="1" si="30"/>
        <v>97</v>
      </c>
      <c r="G989">
        <f ca="1">VLOOKUP(E989,PurchItem!$A$2:$H$508,8,0)</f>
        <v>1750.9223085517885</v>
      </c>
      <c r="H989">
        <v>0.05</v>
      </c>
      <c r="I989" t="s">
        <v>244</v>
      </c>
      <c r="J989" s="5">
        <v>45473.594524409724</v>
      </c>
      <c r="K989" s="5">
        <v>45477.189048819448</v>
      </c>
      <c r="M989">
        <f t="shared" si="31"/>
        <v>10029727587</v>
      </c>
      <c r="N989">
        <f ca="1">IF(M989&lt;&gt;M988,INDEX(CustInfo!$A$2:$A$1001,RANDBETWEEN(1,1000)),N988)</f>
        <v>11064</v>
      </c>
      <c r="O989" t="s">
        <v>1001</v>
      </c>
      <c r="P989">
        <v>52937123</v>
      </c>
    </row>
    <row r="990" spans="1:16" x14ac:dyDescent="0.35">
      <c r="A990">
        <v>93827212358</v>
      </c>
      <c r="C990" s="2" t="s">
        <v>883</v>
      </c>
      <c r="D990">
        <v>1</v>
      </c>
      <c r="E990">
        <v>76891213489</v>
      </c>
      <c r="F990">
        <f t="shared" ca="1" si="30"/>
        <v>14</v>
      </c>
      <c r="G990">
        <f ca="1">VLOOKUP(E990,PurchItem!$A$2:$H$508,8,0)</f>
        <v>4488.0320380365865</v>
      </c>
      <c r="H990">
        <v>0.05</v>
      </c>
      <c r="I990" t="s">
        <v>244</v>
      </c>
      <c r="J990" s="5">
        <v>44581.594524409724</v>
      </c>
      <c r="K990" s="5">
        <v>44583.189048819448</v>
      </c>
      <c r="M990">
        <f t="shared" si="31"/>
        <v>10029727588</v>
      </c>
      <c r="N990">
        <f ca="1">IF(M990&lt;&gt;M989,INDEX(CustInfo!$A$2:$A$1001,RANDBETWEEN(1,1000)),N989)</f>
        <v>11389</v>
      </c>
      <c r="O990" t="s">
        <v>1001</v>
      </c>
      <c r="P990">
        <v>52937124</v>
      </c>
    </row>
    <row r="991" spans="1:16" x14ac:dyDescent="0.35">
      <c r="A991">
        <v>93827212358</v>
      </c>
      <c r="C991" s="2" t="s">
        <v>883</v>
      </c>
      <c r="D991">
        <v>2</v>
      </c>
      <c r="E991">
        <v>76891213535</v>
      </c>
      <c r="F991">
        <f t="shared" ca="1" si="30"/>
        <v>45</v>
      </c>
      <c r="G991">
        <f ca="1">VLOOKUP(E991,PurchItem!$A$2:$H$508,8,0)</f>
        <v>468.81906553927877</v>
      </c>
      <c r="H991">
        <v>0.04</v>
      </c>
      <c r="I991" t="s">
        <v>244</v>
      </c>
      <c r="J991" s="5">
        <v>45270.594524409724</v>
      </c>
      <c r="K991" s="5">
        <v>45273.189048819448</v>
      </c>
      <c r="M991">
        <f t="shared" si="31"/>
        <v>10029727588</v>
      </c>
      <c r="N991">
        <f ca="1">IF(M991&lt;&gt;M990,INDEX(CustInfo!$A$2:$A$1001,RANDBETWEEN(1,1000)),N990)</f>
        <v>11389</v>
      </c>
      <c r="O991" t="s">
        <v>1001</v>
      </c>
      <c r="P991">
        <v>52937125</v>
      </c>
    </row>
    <row r="992" spans="1:16" x14ac:dyDescent="0.35">
      <c r="A992">
        <v>93827212359</v>
      </c>
      <c r="C992" s="2" t="s">
        <v>883</v>
      </c>
      <c r="D992">
        <v>1</v>
      </c>
      <c r="E992">
        <v>76891213404</v>
      </c>
      <c r="F992">
        <f t="shared" ca="1" si="30"/>
        <v>44</v>
      </c>
      <c r="G992">
        <f ca="1">VLOOKUP(E992,PurchItem!$A$2:$H$508,8,0)</f>
        <v>5161.7096589652265</v>
      </c>
      <c r="H992">
        <v>0.05</v>
      </c>
      <c r="I992" t="s">
        <v>244</v>
      </c>
      <c r="J992" s="5">
        <v>45021.594524409724</v>
      </c>
      <c r="K992" s="5">
        <v>45024.189048819448</v>
      </c>
      <c r="M992">
        <f t="shared" si="31"/>
        <v>10029727589</v>
      </c>
      <c r="N992">
        <f ca="1">IF(M992&lt;&gt;M991,INDEX(CustInfo!$A$2:$A$1001,RANDBETWEEN(1,1000)),N991)</f>
        <v>11861</v>
      </c>
      <c r="O992" t="s">
        <v>1003</v>
      </c>
      <c r="P992">
        <v>52937126</v>
      </c>
    </row>
    <row r="993" spans="1:16" x14ac:dyDescent="0.35">
      <c r="A993">
        <v>93827212359</v>
      </c>
      <c r="C993" s="2" t="s">
        <v>883</v>
      </c>
      <c r="D993">
        <v>2</v>
      </c>
      <c r="E993">
        <v>76891213580</v>
      </c>
      <c r="F993">
        <f t="shared" ca="1" si="30"/>
        <v>57</v>
      </c>
      <c r="G993">
        <f ca="1">VLOOKUP(E993,PurchItem!$A$2:$H$508,8,0)</f>
        <v>5355.6561404349168</v>
      </c>
      <c r="H993">
        <v>0.06</v>
      </c>
      <c r="I993" t="s">
        <v>244</v>
      </c>
      <c r="J993" s="5">
        <v>45272.594524409724</v>
      </c>
      <c r="K993" s="5">
        <v>45276.189048819448</v>
      </c>
      <c r="M993">
        <f t="shared" si="31"/>
        <v>10029727589</v>
      </c>
      <c r="N993">
        <f ca="1">IF(M993&lt;&gt;M992,INDEX(CustInfo!$A$2:$A$1001,RANDBETWEEN(1,1000)),N992)</f>
        <v>11861</v>
      </c>
      <c r="O993" t="s">
        <v>1003</v>
      </c>
      <c r="P993">
        <v>52937127</v>
      </c>
    </row>
    <row r="994" spans="1:16" x14ac:dyDescent="0.35">
      <c r="A994">
        <v>93827212359</v>
      </c>
      <c r="C994" s="2" t="s">
        <v>883</v>
      </c>
      <c r="D994">
        <v>3</v>
      </c>
      <c r="E994">
        <v>76891213241</v>
      </c>
      <c r="F994">
        <f t="shared" ca="1" si="30"/>
        <v>37</v>
      </c>
      <c r="G994">
        <f ca="1">VLOOKUP(E994,PurchItem!$A$2:$H$508,8,0)</f>
        <v>3049.755941552879</v>
      </c>
      <c r="H994">
        <v>0.05</v>
      </c>
      <c r="I994" t="s">
        <v>244</v>
      </c>
      <c r="J994" s="5">
        <v>45588.594524409724</v>
      </c>
      <c r="K994" s="5">
        <v>45589.189048819448</v>
      </c>
      <c r="M994">
        <f t="shared" si="31"/>
        <v>10029727589</v>
      </c>
      <c r="N994">
        <f ca="1">IF(M994&lt;&gt;M993,INDEX(CustInfo!$A$2:$A$1001,RANDBETWEEN(1,1000)),N993)</f>
        <v>11861</v>
      </c>
      <c r="O994" t="s">
        <v>1003</v>
      </c>
      <c r="P994">
        <v>52937128</v>
      </c>
    </row>
    <row r="995" spans="1:16" x14ac:dyDescent="0.35">
      <c r="A995">
        <v>93827212359</v>
      </c>
      <c r="C995" s="2" t="s">
        <v>883</v>
      </c>
      <c r="D995">
        <v>4</v>
      </c>
      <c r="E995">
        <v>76891213497</v>
      </c>
      <c r="F995">
        <f t="shared" ca="1" si="30"/>
        <v>41</v>
      </c>
      <c r="G995">
        <f ca="1">VLOOKUP(E995,PurchItem!$A$2:$H$508,8,0)</f>
        <v>4357.8229058400011</v>
      </c>
      <c r="H995">
        <v>0.04</v>
      </c>
      <c r="I995" t="s">
        <v>244</v>
      </c>
      <c r="J995" s="5">
        <v>45390.594524409724</v>
      </c>
      <c r="K995" s="5">
        <v>45392.189048819448</v>
      </c>
      <c r="M995">
        <f t="shared" si="31"/>
        <v>10029727589</v>
      </c>
      <c r="N995">
        <f ca="1">IF(M995&lt;&gt;M994,INDEX(CustInfo!$A$2:$A$1001,RANDBETWEEN(1,1000)),N994)</f>
        <v>11861</v>
      </c>
      <c r="O995" t="s">
        <v>1003</v>
      </c>
      <c r="P995">
        <v>52937129</v>
      </c>
    </row>
    <row r="996" spans="1:16" x14ac:dyDescent="0.35">
      <c r="A996">
        <v>93827212360</v>
      </c>
      <c r="C996" s="2" t="s">
        <v>883</v>
      </c>
      <c r="D996">
        <v>1</v>
      </c>
      <c r="E996">
        <v>76891213192</v>
      </c>
      <c r="F996">
        <f t="shared" ca="1" si="30"/>
        <v>93</v>
      </c>
      <c r="G996">
        <f ca="1">VLOOKUP(E996,PurchItem!$A$2:$H$508,8,0)</f>
        <v>6234.1103190362737</v>
      </c>
      <c r="H996">
        <v>0.05</v>
      </c>
      <c r="I996" t="s">
        <v>244</v>
      </c>
      <c r="J996" s="5">
        <v>44750.594524409724</v>
      </c>
      <c r="K996" s="5">
        <v>44751.189048819448</v>
      </c>
      <c r="M996">
        <f t="shared" si="31"/>
        <v>10029727590</v>
      </c>
      <c r="N996">
        <f ca="1">IF(M996&lt;&gt;M995,INDEX(CustInfo!$A$2:$A$1001,RANDBETWEEN(1,1000)),N995)</f>
        <v>11492</v>
      </c>
      <c r="O996" t="s">
        <v>1002</v>
      </c>
      <c r="P996">
        <v>52937130</v>
      </c>
    </row>
    <row r="997" spans="1:16" x14ac:dyDescent="0.35">
      <c r="A997">
        <v>93827212360</v>
      </c>
      <c r="C997" s="2" t="s">
        <v>883</v>
      </c>
      <c r="D997">
        <v>2</v>
      </c>
      <c r="E997">
        <v>76891213519</v>
      </c>
      <c r="F997">
        <f t="shared" ca="1" si="30"/>
        <v>27</v>
      </c>
      <c r="G997">
        <f ca="1">VLOOKUP(E997,PurchItem!$A$2:$H$508,8,0)</f>
        <v>1938.636158170156</v>
      </c>
      <c r="H997">
        <v>0.04</v>
      </c>
      <c r="I997" t="s">
        <v>244</v>
      </c>
      <c r="J997" s="5">
        <v>44693.594524409724</v>
      </c>
      <c r="K997" s="5">
        <v>44694.189048819448</v>
      </c>
      <c r="M997">
        <f t="shared" si="31"/>
        <v>10029727590</v>
      </c>
      <c r="N997">
        <f ca="1">IF(M997&lt;&gt;M996,INDEX(CustInfo!$A$2:$A$1001,RANDBETWEEN(1,1000)),N996)</f>
        <v>11492</v>
      </c>
      <c r="O997" t="s">
        <v>1002</v>
      </c>
      <c r="P997">
        <v>52937131</v>
      </c>
    </row>
    <row r="998" spans="1:16" x14ac:dyDescent="0.35">
      <c r="A998">
        <v>93827212361</v>
      </c>
      <c r="C998" s="2" t="s">
        <v>883</v>
      </c>
      <c r="D998">
        <v>1</v>
      </c>
      <c r="E998">
        <v>76891213468</v>
      </c>
      <c r="F998">
        <f t="shared" ca="1" si="30"/>
        <v>83</v>
      </c>
      <c r="G998">
        <f ca="1">VLOOKUP(E998,PurchItem!$A$2:$H$508,8,0)</f>
        <v>8720.5573870862172</v>
      </c>
      <c r="H998">
        <v>0.05</v>
      </c>
      <c r="I998" t="s">
        <v>244</v>
      </c>
      <c r="J998" s="5">
        <v>44659.594524409724</v>
      </c>
      <c r="K998" s="5">
        <v>44663.189048819448</v>
      </c>
      <c r="M998">
        <f t="shared" si="31"/>
        <v>10029727591</v>
      </c>
      <c r="N998">
        <f ca="1">IF(M998&lt;&gt;M997,INDEX(CustInfo!$A$2:$A$1001,RANDBETWEEN(1,1000)),N997)</f>
        <v>11458</v>
      </c>
      <c r="O998" t="s">
        <v>1001</v>
      </c>
      <c r="P998">
        <v>52937132</v>
      </c>
    </row>
    <row r="999" spans="1:16" x14ac:dyDescent="0.35">
      <c r="A999">
        <v>93827212361</v>
      </c>
      <c r="C999" s="2" t="s">
        <v>883</v>
      </c>
      <c r="D999">
        <v>2</v>
      </c>
      <c r="E999">
        <v>76891213378</v>
      </c>
      <c r="F999">
        <f t="shared" ca="1" si="30"/>
        <v>79</v>
      </c>
      <c r="G999">
        <f ca="1">VLOOKUP(E999,PurchItem!$A$2:$H$508,8,0)</f>
        <v>651.17318034422885</v>
      </c>
      <c r="H999">
        <v>0.04</v>
      </c>
      <c r="I999" t="s">
        <v>244</v>
      </c>
      <c r="J999" s="5">
        <v>44668.594524409724</v>
      </c>
      <c r="K999" s="5">
        <v>44670.189048819448</v>
      </c>
      <c r="M999">
        <f t="shared" si="31"/>
        <v>10029727591</v>
      </c>
      <c r="N999">
        <f ca="1">IF(M999&lt;&gt;M998,INDEX(CustInfo!$A$2:$A$1001,RANDBETWEEN(1,1000)),N998)</f>
        <v>11458</v>
      </c>
      <c r="O999" t="s">
        <v>1001</v>
      </c>
      <c r="P999">
        <v>52937133</v>
      </c>
    </row>
    <row r="1000" spans="1:16" x14ac:dyDescent="0.35">
      <c r="A1000">
        <v>93827212361</v>
      </c>
      <c r="C1000" s="2" t="s">
        <v>883</v>
      </c>
      <c r="D1000">
        <v>3</v>
      </c>
      <c r="E1000">
        <v>76891213356</v>
      </c>
      <c r="F1000">
        <f t="shared" ca="1" si="30"/>
        <v>21</v>
      </c>
      <c r="G1000">
        <f ca="1">VLOOKUP(E1000,PurchItem!$A$2:$H$508,8,0)</f>
        <v>6479.579212669245</v>
      </c>
      <c r="H1000">
        <v>0.06</v>
      </c>
      <c r="I1000" t="s">
        <v>244</v>
      </c>
      <c r="J1000" s="5">
        <v>44841.594524409724</v>
      </c>
      <c r="K1000" s="5">
        <v>44844.189048819448</v>
      </c>
      <c r="M1000">
        <f t="shared" si="31"/>
        <v>10029727591</v>
      </c>
      <c r="N1000">
        <f ca="1">IF(M1000&lt;&gt;M999,INDEX(CustInfo!$A$2:$A$1001,RANDBETWEEN(1,1000)),N999)</f>
        <v>11458</v>
      </c>
      <c r="O1000" t="s">
        <v>1001</v>
      </c>
      <c r="P1000">
        <v>52937134</v>
      </c>
    </row>
    <row r="1001" spans="1:16" x14ac:dyDescent="0.35">
      <c r="A1001">
        <v>93827212361</v>
      </c>
      <c r="C1001" s="2" t="s">
        <v>883</v>
      </c>
      <c r="D1001">
        <v>4</v>
      </c>
      <c r="E1001">
        <v>76891213145</v>
      </c>
      <c r="F1001">
        <f t="shared" ca="1" si="30"/>
        <v>70</v>
      </c>
      <c r="G1001">
        <f ca="1">VLOOKUP(E1001,PurchItem!$A$2:$H$508,8,0)</f>
        <v>9273.3061751805526</v>
      </c>
      <c r="H1001">
        <v>0.04</v>
      </c>
      <c r="I1001" t="s">
        <v>244</v>
      </c>
      <c r="J1001" s="5">
        <v>45301.594524409724</v>
      </c>
      <c r="K1001" s="5">
        <v>45302.189048819448</v>
      </c>
      <c r="M1001">
        <f t="shared" si="31"/>
        <v>10029727591</v>
      </c>
      <c r="N1001">
        <f ca="1">IF(M1001&lt;&gt;M1000,INDEX(CustInfo!$A$2:$A$1001,RANDBETWEEN(1,1000)),N1000)</f>
        <v>11458</v>
      </c>
      <c r="O1001" t="s">
        <v>1001</v>
      </c>
      <c r="P1001">
        <v>52937135</v>
      </c>
    </row>
    <row r="1002" spans="1:16" x14ac:dyDescent="0.35">
      <c r="A1002">
        <v>93827212362</v>
      </c>
      <c r="C1002" s="2" t="s">
        <v>883</v>
      </c>
      <c r="D1002">
        <v>1</v>
      </c>
      <c r="E1002">
        <v>76891213552</v>
      </c>
      <c r="F1002">
        <f t="shared" ca="1" si="30"/>
        <v>29</v>
      </c>
      <c r="G1002">
        <f ca="1">VLOOKUP(E1002,PurchItem!$A$2:$H$508,8,0)</f>
        <v>1307.476350595766</v>
      </c>
      <c r="H1002">
        <v>0.06</v>
      </c>
      <c r="I1002" t="s">
        <v>244</v>
      </c>
      <c r="J1002" s="5">
        <v>45255.594524409724</v>
      </c>
      <c r="K1002" s="5">
        <v>45258.189048819448</v>
      </c>
      <c r="M1002">
        <f t="shared" si="31"/>
        <v>10029727592</v>
      </c>
      <c r="N1002">
        <f ca="1">IF(M1002&lt;&gt;M1001,INDEX(CustInfo!$A$2:$A$1001,RANDBETWEEN(1,1000)),N1001)</f>
        <v>11764</v>
      </c>
      <c r="O1002" t="s">
        <v>1002</v>
      </c>
      <c r="P1002">
        <v>52937136</v>
      </c>
    </row>
    <row r="1003" spans="1:16" x14ac:dyDescent="0.35">
      <c r="A1003">
        <v>93827212362</v>
      </c>
      <c r="C1003" s="2" t="s">
        <v>883</v>
      </c>
      <c r="D1003">
        <v>2</v>
      </c>
      <c r="E1003">
        <v>76891213178</v>
      </c>
      <c r="F1003">
        <f t="shared" ca="1" si="30"/>
        <v>65</v>
      </c>
      <c r="G1003">
        <f ca="1">VLOOKUP(E1003,PurchItem!$A$2:$H$508,8,0)</f>
        <v>2256.6727435914268</v>
      </c>
      <c r="H1003">
        <v>0.06</v>
      </c>
      <c r="I1003" t="s">
        <v>244</v>
      </c>
      <c r="J1003" s="5">
        <v>44785.594524409724</v>
      </c>
      <c r="K1003" s="5">
        <v>44789.189048819448</v>
      </c>
      <c r="M1003">
        <f t="shared" si="31"/>
        <v>10029727592</v>
      </c>
      <c r="N1003">
        <f ca="1">IF(M1003&lt;&gt;M1002,INDEX(CustInfo!$A$2:$A$1001,RANDBETWEEN(1,1000)),N1002)</f>
        <v>11764</v>
      </c>
      <c r="O1003" t="s">
        <v>1002</v>
      </c>
      <c r="P1003">
        <v>52937137</v>
      </c>
    </row>
    <row r="1004" spans="1:16" x14ac:dyDescent="0.35">
      <c r="A1004">
        <v>93827212362</v>
      </c>
      <c r="C1004" s="2" t="s">
        <v>883</v>
      </c>
      <c r="D1004">
        <v>3</v>
      </c>
      <c r="E1004">
        <v>76891213158</v>
      </c>
      <c r="F1004">
        <f t="shared" ca="1" si="30"/>
        <v>24</v>
      </c>
      <c r="G1004">
        <f ca="1">VLOOKUP(E1004,PurchItem!$A$2:$H$508,8,0)</f>
        <v>7429.0948943964459</v>
      </c>
      <c r="H1004">
        <v>0.05</v>
      </c>
      <c r="I1004" t="s">
        <v>244</v>
      </c>
      <c r="J1004" s="5">
        <v>44653.594524409724</v>
      </c>
      <c r="K1004" s="5">
        <v>44654.189048819448</v>
      </c>
      <c r="M1004">
        <f t="shared" si="31"/>
        <v>10029727592</v>
      </c>
      <c r="N1004">
        <f ca="1">IF(M1004&lt;&gt;M1003,INDEX(CustInfo!$A$2:$A$1001,RANDBETWEEN(1,1000)),N1003)</f>
        <v>11764</v>
      </c>
      <c r="O1004" t="s">
        <v>1002</v>
      </c>
      <c r="P1004">
        <v>52937138</v>
      </c>
    </row>
    <row r="1005" spans="1:16" x14ac:dyDescent="0.35">
      <c r="A1005">
        <v>93827212362</v>
      </c>
      <c r="C1005" s="2" t="s">
        <v>883</v>
      </c>
      <c r="D1005">
        <v>4</v>
      </c>
      <c r="E1005">
        <v>76891213637</v>
      </c>
      <c r="F1005">
        <f t="shared" ca="1" si="30"/>
        <v>60</v>
      </c>
      <c r="G1005">
        <f ca="1">VLOOKUP(E1005,PurchItem!$A$2:$H$508,8,0)</f>
        <v>5862.4718067063704</v>
      </c>
      <c r="H1005">
        <v>0.06</v>
      </c>
      <c r="I1005" t="s">
        <v>244</v>
      </c>
      <c r="J1005" s="5">
        <v>45370.594524409724</v>
      </c>
      <c r="K1005" s="5">
        <v>45374.189048819448</v>
      </c>
      <c r="M1005">
        <f t="shared" si="31"/>
        <v>10029727592</v>
      </c>
      <c r="N1005">
        <f ca="1">IF(M1005&lt;&gt;M1004,INDEX(CustInfo!$A$2:$A$1001,RANDBETWEEN(1,1000)),N1004)</f>
        <v>11764</v>
      </c>
      <c r="O1005" t="s">
        <v>1002</v>
      </c>
      <c r="P1005">
        <v>52937139</v>
      </c>
    </row>
    <row r="1006" spans="1:16" x14ac:dyDescent="0.35">
      <c r="A1006">
        <v>93827212363</v>
      </c>
      <c r="C1006" s="2" t="s">
        <v>883</v>
      </c>
      <c r="D1006">
        <v>1</v>
      </c>
      <c r="E1006">
        <v>76891213179</v>
      </c>
      <c r="F1006">
        <f t="shared" ca="1" si="30"/>
        <v>6</v>
      </c>
      <c r="G1006">
        <f ca="1">VLOOKUP(E1006,PurchItem!$A$2:$H$508,8,0)</f>
        <v>6832.2348521988297</v>
      </c>
      <c r="H1006">
        <v>0.04</v>
      </c>
      <c r="I1006" t="s">
        <v>244</v>
      </c>
      <c r="J1006" s="5">
        <v>45340.594524409724</v>
      </c>
      <c r="K1006" s="5">
        <v>45344.189048819448</v>
      </c>
      <c r="M1006">
        <f t="shared" si="31"/>
        <v>10029727593</v>
      </c>
      <c r="N1006">
        <f ca="1">IF(M1006&lt;&gt;M1005,INDEX(CustInfo!$A$2:$A$1001,RANDBETWEEN(1,1000)),N1005)</f>
        <v>11221</v>
      </c>
      <c r="O1006" t="s">
        <v>1003</v>
      </c>
      <c r="P1006">
        <v>52937140</v>
      </c>
    </row>
    <row r="1007" spans="1:16" x14ac:dyDescent="0.35">
      <c r="A1007">
        <v>93827212363</v>
      </c>
      <c r="C1007" s="2" t="s">
        <v>883</v>
      </c>
      <c r="D1007">
        <v>2</v>
      </c>
      <c r="E1007">
        <v>76891213557</v>
      </c>
      <c r="F1007">
        <f t="shared" ca="1" si="30"/>
        <v>2</v>
      </c>
      <c r="G1007">
        <f ca="1">VLOOKUP(E1007,PurchItem!$A$2:$H$508,8,0)</f>
        <v>942.60995441491764</v>
      </c>
      <c r="H1007">
        <v>0.05</v>
      </c>
      <c r="I1007" t="s">
        <v>244</v>
      </c>
      <c r="J1007" s="5">
        <v>45280.594524409724</v>
      </c>
      <c r="K1007" s="5">
        <v>45284.189048819448</v>
      </c>
      <c r="M1007">
        <f t="shared" si="31"/>
        <v>10029727593</v>
      </c>
      <c r="N1007">
        <f ca="1">IF(M1007&lt;&gt;M1006,INDEX(CustInfo!$A$2:$A$1001,RANDBETWEEN(1,1000)),N1006)</f>
        <v>11221</v>
      </c>
      <c r="O1007" t="s">
        <v>1003</v>
      </c>
      <c r="P1007">
        <v>52937141</v>
      </c>
    </row>
    <row r="1008" spans="1:16" x14ac:dyDescent="0.35">
      <c r="A1008">
        <v>93827212363</v>
      </c>
      <c r="C1008" s="2" t="s">
        <v>883</v>
      </c>
      <c r="D1008">
        <v>3</v>
      </c>
      <c r="E1008">
        <v>76891213228</v>
      </c>
      <c r="F1008">
        <f t="shared" ca="1" si="30"/>
        <v>95</v>
      </c>
      <c r="G1008">
        <f ca="1">VLOOKUP(E1008,PurchItem!$A$2:$H$508,8,0)</f>
        <v>2204.5147768831243</v>
      </c>
      <c r="H1008">
        <v>0.05</v>
      </c>
      <c r="I1008" t="s">
        <v>244</v>
      </c>
      <c r="J1008" s="5">
        <v>44817.594524409724</v>
      </c>
      <c r="K1008" s="5">
        <v>44820.189048819448</v>
      </c>
      <c r="M1008">
        <f t="shared" si="31"/>
        <v>10029727593</v>
      </c>
      <c r="N1008">
        <f ca="1">IF(M1008&lt;&gt;M1007,INDEX(CustInfo!$A$2:$A$1001,RANDBETWEEN(1,1000)),N1007)</f>
        <v>11221</v>
      </c>
      <c r="O1008" t="s">
        <v>1003</v>
      </c>
      <c r="P1008">
        <v>52937142</v>
      </c>
    </row>
    <row r="1009" spans="1:16" x14ac:dyDescent="0.35">
      <c r="A1009">
        <v>93827212364</v>
      </c>
      <c r="C1009" s="2" t="s">
        <v>883</v>
      </c>
      <c r="D1009">
        <v>1</v>
      </c>
      <c r="E1009">
        <v>76891213620</v>
      </c>
      <c r="F1009">
        <f t="shared" ca="1" si="30"/>
        <v>68</v>
      </c>
      <c r="G1009">
        <f ca="1">VLOOKUP(E1009,PurchItem!$A$2:$H$508,8,0)</f>
        <v>261.77946432896999</v>
      </c>
      <c r="H1009">
        <v>0.04</v>
      </c>
      <c r="I1009" t="s">
        <v>244</v>
      </c>
      <c r="J1009" s="5">
        <v>45231.594524409724</v>
      </c>
      <c r="K1009" s="5">
        <v>45235.189048819448</v>
      </c>
      <c r="M1009">
        <f t="shared" si="31"/>
        <v>10029727594</v>
      </c>
      <c r="N1009">
        <f ca="1">IF(M1009&lt;&gt;M1008,INDEX(CustInfo!$A$2:$A$1001,RANDBETWEEN(1,1000)),N1008)</f>
        <v>11155</v>
      </c>
      <c r="O1009" t="s">
        <v>1001</v>
      </c>
      <c r="P1009">
        <v>52937143</v>
      </c>
    </row>
    <row r="1010" spans="1:16" x14ac:dyDescent="0.35">
      <c r="A1010">
        <v>93827212364</v>
      </c>
      <c r="C1010" s="2" t="s">
        <v>883</v>
      </c>
      <c r="D1010">
        <v>2</v>
      </c>
      <c r="E1010">
        <v>76891213457</v>
      </c>
      <c r="F1010">
        <f t="shared" ca="1" si="30"/>
        <v>60</v>
      </c>
      <c r="G1010">
        <f ca="1">VLOOKUP(E1010,PurchItem!$A$2:$H$508,8,0)</f>
        <v>6617.5399033341891</v>
      </c>
      <c r="H1010">
        <v>0.04</v>
      </c>
      <c r="I1010" t="s">
        <v>244</v>
      </c>
      <c r="J1010" s="5">
        <v>44587.594524409724</v>
      </c>
      <c r="K1010" s="5">
        <v>44588.189048819448</v>
      </c>
      <c r="M1010">
        <f t="shared" si="31"/>
        <v>10029727594</v>
      </c>
      <c r="N1010">
        <f ca="1">IF(M1010&lt;&gt;M1009,INDEX(CustInfo!$A$2:$A$1001,RANDBETWEEN(1,1000)),N1009)</f>
        <v>11155</v>
      </c>
      <c r="O1010" t="s">
        <v>1001</v>
      </c>
      <c r="P1010">
        <v>52937144</v>
      </c>
    </row>
    <row r="1011" spans="1:16" x14ac:dyDescent="0.35">
      <c r="A1011">
        <v>93827212365</v>
      </c>
      <c r="C1011" s="2" t="s">
        <v>883</v>
      </c>
      <c r="D1011">
        <v>1</v>
      </c>
      <c r="E1011">
        <v>76891213484</v>
      </c>
      <c r="F1011">
        <f t="shared" ca="1" si="30"/>
        <v>47</v>
      </c>
      <c r="G1011">
        <f ca="1">VLOOKUP(E1011,PurchItem!$A$2:$H$508,8,0)</f>
        <v>6278.4735130598492</v>
      </c>
      <c r="H1011">
        <v>0.05</v>
      </c>
      <c r="I1011" t="s">
        <v>244</v>
      </c>
      <c r="J1011" s="5">
        <v>44989.594524409724</v>
      </c>
      <c r="K1011" s="5">
        <v>44991.189048819448</v>
      </c>
      <c r="M1011">
        <f t="shared" si="31"/>
        <v>10029727595</v>
      </c>
      <c r="N1011">
        <f ca="1">IF(M1011&lt;&gt;M1010,INDEX(CustInfo!$A$2:$A$1001,RANDBETWEEN(1,1000)),N1010)</f>
        <v>11602</v>
      </c>
      <c r="O1011" t="s">
        <v>1001</v>
      </c>
      <c r="P1011">
        <v>52937145</v>
      </c>
    </row>
    <row r="1012" spans="1:16" x14ac:dyDescent="0.35">
      <c r="A1012">
        <v>93827212366</v>
      </c>
      <c r="C1012" s="2" t="s">
        <v>883</v>
      </c>
      <c r="D1012">
        <v>1</v>
      </c>
      <c r="E1012">
        <v>76891213535</v>
      </c>
      <c r="F1012">
        <f t="shared" ca="1" si="30"/>
        <v>22</v>
      </c>
      <c r="G1012">
        <f ca="1">VLOOKUP(E1012,PurchItem!$A$2:$H$508,8,0)</f>
        <v>468.81906553927877</v>
      </c>
      <c r="H1012">
        <v>0.06</v>
      </c>
      <c r="I1012" t="s">
        <v>244</v>
      </c>
      <c r="J1012" s="5">
        <v>45507.594524409724</v>
      </c>
      <c r="K1012" s="5">
        <v>45509.189048819448</v>
      </c>
      <c r="M1012">
        <f t="shared" si="31"/>
        <v>10029727596</v>
      </c>
      <c r="N1012">
        <f ca="1">IF(M1012&lt;&gt;M1011,INDEX(CustInfo!$A$2:$A$1001,RANDBETWEEN(1,1000)),N1011)</f>
        <v>11294</v>
      </c>
      <c r="O1012" t="s">
        <v>1001</v>
      </c>
      <c r="P1012">
        <v>52937146</v>
      </c>
    </row>
    <row r="1013" spans="1:16" x14ac:dyDescent="0.35">
      <c r="A1013">
        <v>93827212366</v>
      </c>
      <c r="C1013" s="2" t="s">
        <v>883</v>
      </c>
      <c r="D1013">
        <v>2</v>
      </c>
      <c r="E1013">
        <v>76891213309</v>
      </c>
      <c r="F1013">
        <f t="shared" ca="1" si="30"/>
        <v>17</v>
      </c>
      <c r="G1013">
        <f ca="1">VLOOKUP(E1013,PurchItem!$A$2:$H$508,8,0)</f>
        <v>9419.1161906135585</v>
      </c>
      <c r="H1013">
        <v>0.06</v>
      </c>
      <c r="I1013" t="s">
        <v>244</v>
      </c>
      <c r="J1013" s="5">
        <v>44649.594524409724</v>
      </c>
      <c r="K1013" s="5">
        <v>44652.189048819448</v>
      </c>
      <c r="M1013">
        <f t="shared" si="31"/>
        <v>10029727596</v>
      </c>
      <c r="N1013">
        <f ca="1">IF(M1013&lt;&gt;M1012,INDEX(CustInfo!$A$2:$A$1001,RANDBETWEEN(1,1000)),N1012)</f>
        <v>11294</v>
      </c>
      <c r="O1013" t="s">
        <v>1001</v>
      </c>
      <c r="P1013">
        <v>52937147</v>
      </c>
    </row>
    <row r="1014" spans="1:16" x14ac:dyDescent="0.35">
      <c r="A1014">
        <v>93827212367</v>
      </c>
      <c r="C1014" s="2" t="s">
        <v>883</v>
      </c>
      <c r="D1014">
        <v>1</v>
      </c>
      <c r="E1014">
        <v>76891213462</v>
      </c>
      <c r="F1014">
        <f t="shared" ca="1" si="30"/>
        <v>16</v>
      </c>
      <c r="G1014">
        <f ca="1">VLOOKUP(E1014,PurchItem!$A$2:$H$508,8,0)</f>
        <v>2503.8974047317301</v>
      </c>
      <c r="H1014">
        <v>0.05</v>
      </c>
      <c r="I1014" t="s">
        <v>244</v>
      </c>
      <c r="J1014" s="5">
        <v>44960.594524409724</v>
      </c>
      <c r="K1014" s="5">
        <v>44964.189048819448</v>
      </c>
      <c r="M1014">
        <f t="shared" si="31"/>
        <v>10029727597</v>
      </c>
      <c r="N1014">
        <f ca="1">IF(M1014&lt;&gt;M1013,INDEX(CustInfo!$A$2:$A$1001,RANDBETWEEN(1,1000)),N1013)</f>
        <v>11506</v>
      </c>
      <c r="O1014" t="s">
        <v>1002</v>
      </c>
      <c r="P1014">
        <v>52937148</v>
      </c>
    </row>
    <row r="1015" spans="1:16" x14ac:dyDescent="0.35">
      <c r="A1015">
        <v>93827212367</v>
      </c>
      <c r="C1015" s="2" t="s">
        <v>883</v>
      </c>
      <c r="D1015">
        <v>2</v>
      </c>
      <c r="E1015">
        <v>76891213505</v>
      </c>
      <c r="F1015">
        <f t="shared" ca="1" si="30"/>
        <v>56</v>
      </c>
      <c r="G1015">
        <f ca="1">VLOOKUP(E1015,PurchItem!$A$2:$H$508,8,0)</f>
        <v>6494.2629478443014</v>
      </c>
      <c r="H1015">
        <v>0.05</v>
      </c>
      <c r="I1015" t="s">
        <v>244</v>
      </c>
      <c r="J1015" s="5">
        <v>45236.594524409724</v>
      </c>
      <c r="K1015" s="5">
        <v>45240.189048819448</v>
      </c>
      <c r="M1015">
        <f t="shared" si="31"/>
        <v>10029727597</v>
      </c>
      <c r="N1015">
        <f ca="1">IF(M1015&lt;&gt;M1014,INDEX(CustInfo!$A$2:$A$1001,RANDBETWEEN(1,1000)),N1014)</f>
        <v>11506</v>
      </c>
      <c r="O1015" t="s">
        <v>1002</v>
      </c>
      <c r="P1015">
        <v>52937149</v>
      </c>
    </row>
    <row r="1016" spans="1:16" x14ac:dyDescent="0.35">
      <c r="A1016">
        <v>93827212367</v>
      </c>
      <c r="C1016" s="2" t="s">
        <v>883</v>
      </c>
      <c r="D1016">
        <v>3</v>
      </c>
      <c r="E1016">
        <v>76891213156</v>
      </c>
      <c r="F1016">
        <f t="shared" ca="1" si="30"/>
        <v>98</v>
      </c>
      <c r="G1016">
        <f ca="1">VLOOKUP(E1016,PurchItem!$A$2:$H$508,8,0)</f>
        <v>9558.6946346003115</v>
      </c>
      <c r="H1016">
        <v>0.05</v>
      </c>
      <c r="I1016" t="s">
        <v>244</v>
      </c>
      <c r="J1016" s="5">
        <v>44867.594524409724</v>
      </c>
      <c r="K1016" s="5">
        <v>44870.189048819448</v>
      </c>
      <c r="M1016">
        <f t="shared" si="31"/>
        <v>10029727597</v>
      </c>
      <c r="N1016">
        <f ca="1">IF(M1016&lt;&gt;M1015,INDEX(CustInfo!$A$2:$A$1001,RANDBETWEEN(1,1000)),N1015)</f>
        <v>11506</v>
      </c>
      <c r="O1016" t="s">
        <v>1002</v>
      </c>
      <c r="P1016">
        <v>52937150</v>
      </c>
    </row>
    <row r="1017" spans="1:16" x14ac:dyDescent="0.35">
      <c r="A1017">
        <v>93827212368</v>
      </c>
      <c r="C1017" s="2" t="s">
        <v>883</v>
      </c>
      <c r="D1017">
        <v>1</v>
      </c>
      <c r="E1017">
        <v>76891213272</v>
      </c>
      <c r="F1017">
        <f t="shared" ca="1" si="30"/>
        <v>35</v>
      </c>
      <c r="G1017">
        <f ca="1">VLOOKUP(E1017,PurchItem!$A$2:$H$508,8,0)</f>
        <v>2311.4492610885359</v>
      </c>
      <c r="H1017">
        <v>0.04</v>
      </c>
      <c r="I1017" t="s">
        <v>244</v>
      </c>
      <c r="J1017" s="5">
        <v>45233.594524409724</v>
      </c>
      <c r="K1017" s="5">
        <v>45237.189048819448</v>
      </c>
      <c r="M1017">
        <f t="shared" si="31"/>
        <v>10029727598</v>
      </c>
      <c r="N1017">
        <f ca="1">IF(M1017&lt;&gt;M1016,INDEX(CustInfo!$A$2:$A$1001,RANDBETWEEN(1,1000)),N1016)</f>
        <v>11826</v>
      </c>
      <c r="O1017" t="s">
        <v>1002</v>
      </c>
      <c r="P1017">
        <v>52937151</v>
      </c>
    </row>
    <row r="1018" spans="1:16" x14ac:dyDescent="0.35">
      <c r="A1018">
        <v>93827212368</v>
      </c>
      <c r="C1018" s="2" t="s">
        <v>883</v>
      </c>
      <c r="D1018">
        <v>2</v>
      </c>
      <c r="E1018">
        <v>76891213152</v>
      </c>
      <c r="F1018">
        <f t="shared" ca="1" si="30"/>
        <v>65</v>
      </c>
      <c r="G1018">
        <f ca="1">VLOOKUP(E1018,PurchItem!$A$2:$H$508,8,0)</f>
        <v>169.38211785270536</v>
      </c>
      <c r="H1018">
        <v>0.05</v>
      </c>
      <c r="I1018" t="s">
        <v>244</v>
      </c>
      <c r="J1018" s="5">
        <v>44626.594524409724</v>
      </c>
      <c r="K1018" s="5">
        <v>44627.189048819448</v>
      </c>
      <c r="M1018">
        <f t="shared" si="31"/>
        <v>10029727598</v>
      </c>
      <c r="N1018">
        <f ca="1">IF(M1018&lt;&gt;M1017,INDEX(CustInfo!$A$2:$A$1001,RANDBETWEEN(1,1000)),N1017)</f>
        <v>11826</v>
      </c>
      <c r="O1018" t="s">
        <v>1002</v>
      </c>
      <c r="P1018">
        <v>52937152</v>
      </c>
    </row>
    <row r="1019" spans="1:16" x14ac:dyDescent="0.35">
      <c r="A1019">
        <v>93827212368</v>
      </c>
      <c r="C1019" s="2" t="s">
        <v>883</v>
      </c>
      <c r="D1019">
        <v>3</v>
      </c>
      <c r="E1019">
        <v>76891213473</v>
      </c>
      <c r="F1019">
        <f t="shared" ca="1" si="30"/>
        <v>89</v>
      </c>
      <c r="G1019">
        <f ca="1">VLOOKUP(E1019,PurchItem!$A$2:$H$508,8,0)</f>
        <v>2246.8538983085609</v>
      </c>
      <c r="H1019">
        <v>0.05</v>
      </c>
      <c r="I1019" t="s">
        <v>244</v>
      </c>
      <c r="J1019" s="5">
        <v>44718.594524409724</v>
      </c>
      <c r="K1019" s="5">
        <v>44722.189048819448</v>
      </c>
      <c r="M1019">
        <f t="shared" si="31"/>
        <v>10029727598</v>
      </c>
      <c r="N1019">
        <f ca="1">IF(M1019&lt;&gt;M1018,INDEX(CustInfo!$A$2:$A$1001,RANDBETWEEN(1,1000)),N1018)</f>
        <v>11826</v>
      </c>
      <c r="O1019" t="s">
        <v>1002</v>
      </c>
      <c r="P1019">
        <v>52937153</v>
      </c>
    </row>
    <row r="1020" spans="1:16" x14ac:dyDescent="0.35">
      <c r="A1020">
        <v>93827212369</v>
      </c>
      <c r="C1020" s="2" t="s">
        <v>883</v>
      </c>
      <c r="D1020">
        <v>1</v>
      </c>
      <c r="E1020">
        <v>76891213404</v>
      </c>
      <c r="F1020">
        <f t="shared" ca="1" si="30"/>
        <v>79</v>
      </c>
      <c r="G1020">
        <f ca="1">VLOOKUP(E1020,PurchItem!$A$2:$H$508,8,0)</f>
        <v>5161.7096589652265</v>
      </c>
      <c r="H1020">
        <v>0.04</v>
      </c>
      <c r="I1020" t="s">
        <v>244</v>
      </c>
      <c r="J1020" s="5">
        <v>45352.594524409724</v>
      </c>
      <c r="K1020" s="5">
        <v>45356.189048819448</v>
      </c>
      <c r="M1020">
        <f t="shared" si="31"/>
        <v>10029727599</v>
      </c>
      <c r="N1020">
        <f ca="1">IF(M1020&lt;&gt;M1019,INDEX(CustInfo!$A$2:$A$1001,RANDBETWEEN(1,1000)),N1019)</f>
        <v>11222</v>
      </c>
      <c r="O1020" t="s">
        <v>1002</v>
      </c>
      <c r="P1020">
        <v>52937154</v>
      </c>
    </row>
    <row r="1021" spans="1:16" x14ac:dyDescent="0.35">
      <c r="A1021">
        <v>93827212369</v>
      </c>
      <c r="C1021" s="2" t="s">
        <v>883</v>
      </c>
      <c r="D1021">
        <v>2</v>
      </c>
      <c r="E1021">
        <v>76891213152</v>
      </c>
      <c r="F1021">
        <f t="shared" ca="1" si="30"/>
        <v>80</v>
      </c>
      <c r="G1021">
        <f ca="1">VLOOKUP(E1021,PurchItem!$A$2:$H$508,8,0)</f>
        <v>169.38211785270536</v>
      </c>
      <c r="H1021">
        <v>0.04</v>
      </c>
      <c r="I1021" t="s">
        <v>244</v>
      </c>
      <c r="J1021" s="5">
        <v>44737.594524409724</v>
      </c>
      <c r="K1021" s="5">
        <v>44741.189048819448</v>
      </c>
      <c r="M1021">
        <f t="shared" si="31"/>
        <v>10029727599</v>
      </c>
      <c r="N1021">
        <f ca="1">IF(M1021&lt;&gt;M1020,INDEX(CustInfo!$A$2:$A$1001,RANDBETWEEN(1,1000)),N1020)</f>
        <v>11222</v>
      </c>
      <c r="O1021" t="s">
        <v>1002</v>
      </c>
      <c r="P1021">
        <v>52937155</v>
      </c>
    </row>
    <row r="1022" spans="1:16" x14ac:dyDescent="0.35">
      <c r="A1022">
        <v>93827212369</v>
      </c>
      <c r="C1022" s="2" t="s">
        <v>883</v>
      </c>
      <c r="D1022">
        <v>3</v>
      </c>
      <c r="E1022">
        <v>76891213484</v>
      </c>
      <c r="F1022">
        <f t="shared" ca="1" si="30"/>
        <v>29</v>
      </c>
      <c r="G1022">
        <f ca="1">VLOOKUP(E1022,PurchItem!$A$2:$H$508,8,0)</f>
        <v>6278.4735130598492</v>
      </c>
      <c r="H1022">
        <v>0.04</v>
      </c>
      <c r="I1022" t="s">
        <v>244</v>
      </c>
      <c r="J1022" s="5">
        <v>45169.594524409724</v>
      </c>
      <c r="K1022" s="5">
        <v>45172.189048819448</v>
      </c>
      <c r="M1022">
        <f t="shared" si="31"/>
        <v>10029727599</v>
      </c>
      <c r="N1022">
        <f ca="1">IF(M1022&lt;&gt;M1021,INDEX(CustInfo!$A$2:$A$1001,RANDBETWEEN(1,1000)),N1021)</f>
        <v>11222</v>
      </c>
      <c r="O1022" t="s">
        <v>1002</v>
      </c>
      <c r="P1022">
        <v>52937156</v>
      </c>
    </row>
    <row r="1023" spans="1:16" x14ac:dyDescent="0.35">
      <c r="A1023">
        <v>93827212369</v>
      </c>
      <c r="C1023" s="2" t="s">
        <v>883</v>
      </c>
      <c r="D1023">
        <v>4</v>
      </c>
      <c r="E1023">
        <v>76891213381</v>
      </c>
      <c r="F1023">
        <f t="shared" ca="1" si="30"/>
        <v>32</v>
      </c>
      <c r="G1023">
        <f ca="1">VLOOKUP(E1023,PurchItem!$A$2:$H$508,8,0)</f>
        <v>3713.0360352334424</v>
      </c>
      <c r="H1023">
        <v>0.06</v>
      </c>
      <c r="I1023" t="s">
        <v>244</v>
      </c>
      <c r="J1023" s="5">
        <v>44634.594524409724</v>
      </c>
      <c r="K1023" s="5">
        <v>44637.189048819448</v>
      </c>
      <c r="M1023">
        <f t="shared" si="31"/>
        <v>10029727599</v>
      </c>
      <c r="N1023">
        <f ca="1">IF(M1023&lt;&gt;M1022,INDEX(CustInfo!$A$2:$A$1001,RANDBETWEEN(1,1000)),N1022)</f>
        <v>11222</v>
      </c>
      <c r="O1023" t="s">
        <v>1002</v>
      </c>
      <c r="P1023">
        <v>52937157</v>
      </c>
    </row>
    <row r="1024" spans="1:16" x14ac:dyDescent="0.35">
      <c r="A1024">
        <v>93827212370</v>
      </c>
      <c r="C1024" s="2" t="s">
        <v>883</v>
      </c>
      <c r="D1024">
        <v>1</v>
      </c>
      <c r="E1024">
        <v>76891213438</v>
      </c>
      <c r="F1024">
        <f t="shared" ca="1" si="30"/>
        <v>23</v>
      </c>
      <c r="G1024">
        <f ca="1">VLOOKUP(E1024,PurchItem!$A$2:$H$508,8,0)</f>
        <v>9563.5855628970003</v>
      </c>
      <c r="H1024">
        <v>0.06</v>
      </c>
      <c r="I1024" t="s">
        <v>244</v>
      </c>
      <c r="J1024" s="5">
        <v>44738.594524409724</v>
      </c>
      <c r="K1024" s="5">
        <v>44739.189048819448</v>
      </c>
      <c r="M1024">
        <f t="shared" si="31"/>
        <v>10029727600</v>
      </c>
      <c r="N1024">
        <f ca="1">IF(M1024&lt;&gt;M1023,INDEX(CustInfo!$A$2:$A$1001,RANDBETWEEN(1,1000)),N1023)</f>
        <v>11404</v>
      </c>
      <c r="O1024" t="s">
        <v>1002</v>
      </c>
      <c r="P1024">
        <v>52937158</v>
      </c>
    </row>
    <row r="1025" spans="1:16" x14ac:dyDescent="0.35">
      <c r="A1025">
        <v>93827212370</v>
      </c>
      <c r="C1025" s="2" t="s">
        <v>883</v>
      </c>
      <c r="D1025">
        <v>2</v>
      </c>
      <c r="E1025">
        <v>76891213348</v>
      </c>
      <c r="F1025">
        <f t="shared" ca="1" si="30"/>
        <v>39</v>
      </c>
      <c r="G1025">
        <f ca="1">VLOOKUP(E1025,PurchItem!$A$2:$H$508,8,0)</f>
        <v>6169.9839706707698</v>
      </c>
      <c r="H1025">
        <v>0.05</v>
      </c>
      <c r="I1025" t="s">
        <v>244</v>
      </c>
      <c r="J1025" s="5">
        <v>44588.594524409724</v>
      </c>
      <c r="K1025" s="5">
        <v>44589.189048819448</v>
      </c>
      <c r="M1025">
        <f t="shared" si="31"/>
        <v>10029727600</v>
      </c>
      <c r="N1025">
        <f ca="1">IF(M1025&lt;&gt;M1024,INDEX(CustInfo!$A$2:$A$1001,RANDBETWEEN(1,1000)),N1024)</f>
        <v>11404</v>
      </c>
      <c r="O1025" t="s">
        <v>1002</v>
      </c>
      <c r="P1025">
        <v>52937159</v>
      </c>
    </row>
    <row r="1026" spans="1:16" x14ac:dyDescent="0.35">
      <c r="A1026">
        <v>93827212371</v>
      </c>
      <c r="C1026" s="2" t="s">
        <v>883</v>
      </c>
      <c r="D1026">
        <v>1</v>
      </c>
      <c r="E1026">
        <v>76891213286</v>
      </c>
      <c r="F1026">
        <f t="shared" ca="1" si="30"/>
        <v>73</v>
      </c>
      <c r="G1026">
        <f ca="1">VLOOKUP(E1026,PurchItem!$A$2:$H$508,8,0)</f>
        <v>1704.9939045740014</v>
      </c>
      <c r="H1026">
        <v>0.06</v>
      </c>
      <c r="I1026" t="s">
        <v>244</v>
      </c>
      <c r="J1026" s="5">
        <v>45276.594524409724</v>
      </c>
      <c r="K1026" s="5">
        <v>45280.189048819448</v>
      </c>
      <c r="M1026">
        <f t="shared" si="31"/>
        <v>10029727601</v>
      </c>
      <c r="N1026">
        <f ca="1">IF(M1026&lt;&gt;M1025,INDEX(CustInfo!$A$2:$A$1001,RANDBETWEEN(1,1000)),N1025)</f>
        <v>11389</v>
      </c>
      <c r="O1026" t="s">
        <v>1001</v>
      </c>
      <c r="P1026">
        <v>52937160</v>
      </c>
    </row>
    <row r="1027" spans="1:16" x14ac:dyDescent="0.35">
      <c r="A1027">
        <v>93827212371</v>
      </c>
      <c r="C1027" s="2" t="s">
        <v>883</v>
      </c>
      <c r="D1027">
        <v>2</v>
      </c>
      <c r="E1027">
        <v>76891213408</v>
      </c>
      <c r="F1027">
        <f t="shared" ref="F1027:F1090" ca="1" si="32">RANDBETWEEN(1,100)</f>
        <v>84</v>
      </c>
      <c r="G1027">
        <f ca="1">VLOOKUP(E1027,PurchItem!$A$2:$H$508,8,0)</f>
        <v>2585.6504497826659</v>
      </c>
      <c r="H1027">
        <v>0.05</v>
      </c>
      <c r="I1027" t="s">
        <v>244</v>
      </c>
      <c r="J1027" s="5">
        <v>45399.594524409724</v>
      </c>
      <c r="K1027" s="5">
        <v>45402.189048819448</v>
      </c>
      <c r="M1027">
        <f t="shared" si="31"/>
        <v>10029727601</v>
      </c>
      <c r="N1027">
        <f ca="1">IF(M1027&lt;&gt;M1026,INDEX(CustInfo!$A$2:$A$1001,RANDBETWEEN(1,1000)),N1026)</f>
        <v>11389</v>
      </c>
      <c r="O1027" t="s">
        <v>1001</v>
      </c>
      <c r="P1027">
        <v>52937161</v>
      </c>
    </row>
    <row r="1028" spans="1:16" x14ac:dyDescent="0.35">
      <c r="A1028">
        <v>93827212371</v>
      </c>
      <c r="C1028" s="2" t="s">
        <v>883</v>
      </c>
      <c r="D1028">
        <v>3</v>
      </c>
      <c r="E1028">
        <v>76891213637</v>
      </c>
      <c r="F1028">
        <f t="shared" ca="1" si="32"/>
        <v>23</v>
      </c>
      <c r="G1028">
        <f ca="1">VLOOKUP(E1028,PurchItem!$A$2:$H$508,8,0)</f>
        <v>5862.4718067063704</v>
      </c>
      <c r="H1028">
        <v>0.06</v>
      </c>
      <c r="I1028" t="s">
        <v>244</v>
      </c>
      <c r="J1028" s="5">
        <v>44610.594524409724</v>
      </c>
      <c r="K1028" s="5">
        <v>44612.189048819448</v>
      </c>
      <c r="M1028">
        <f t="shared" si="31"/>
        <v>10029727601</v>
      </c>
      <c r="N1028">
        <f ca="1">IF(M1028&lt;&gt;M1027,INDEX(CustInfo!$A$2:$A$1001,RANDBETWEEN(1,1000)),N1027)</f>
        <v>11389</v>
      </c>
      <c r="O1028" t="s">
        <v>1001</v>
      </c>
      <c r="P1028">
        <v>52937162</v>
      </c>
    </row>
    <row r="1029" spans="1:16" x14ac:dyDescent="0.35">
      <c r="A1029">
        <v>93827212371</v>
      </c>
      <c r="C1029" s="2" t="s">
        <v>883</v>
      </c>
      <c r="D1029">
        <v>4</v>
      </c>
      <c r="E1029">
        <v>76891213255</v>
      </c>
      <c r="F1029">
        <f t="shared" ca="1" si="32"/>
        <v>52</v>
      </c>
      <c r="G1029">
        <f ca="1">VLOOKUP(E1029,PurchItem!$A$2:$H$508,8,0)</f>
        <v>8364.121881281746</v>
      </c>
      <c r="H1029">
        <v>0.06</v>
      </c>
      <c r="I1029" t="s">
        <v>244</v>
      </c>
      <c r="J1029" s="5">
        <v>44977.594524409724</v>
      </c>
      <c r="K1029" s="5">
        <v>44981.189048819448</v>
      </c>
      <c r="M1029">
        <f t="shared" ref="M1029:M1092" si="33">IF(A1029&lt;&gt;A1028,M1028+1,M1028)</f>
        <v>10029727601</v>
      </c>
      <c r="N1029">
        <f ca="1">IF(M1029&lt;&gt;M1028,INDEX(CustInfo!$A$2:$A$1001,RANDBETWEEN(1,1000)),N1028)</f>
        <v>11389</v>
      </c>
      <c r="O1029" t="s">
        <v>1001</v>
      </c>
      <c r="P1029">
        <v>52937163</v>
      </c>
    </row>
    <row r="1030" spans="1:16" x14ac:dyDescent="0.35">
      <c r="A1030">
        <v>93827212372</v>
      </c>
      <c r="C1030" s="2" t="s">
        <v>883</v>
      </c>
      <c r="D1030">
        <v>1</v>
      </c>
      <c r="E1030">
        <v>76891213249</v>
      </c>
      <c r="F1030">
        <f t="shared" ca="1" si="32"/>
        <v>92</v>
      </c>
      <c r="G1030">
        <f ca="1">VLOOKUP(E1030,PurchItem!$A$2:$H$508,8,0)</f>
        <v>8086.2832587876792</v>
      </c>
      <c r="H1030">
        <v>0.06</v>
      </c>
      <c r="I1030" t="s">
        <v>244</v>
      </c>
      <c r="J1030" s="5">
        <v>44705.594524409724</v>
      </c>
      <c r="K1030" s="5">
        <v>44709.189048819448</v>
      </c>
      <c r="M1030">
        <f t="shared" si="33"/>
        <v>10029727602</v>
      </c>
      <c r="N1030">
        <f ca="1">IF(M1030&lt;&gt;M1029,INDEX(CustInfo!$A$2:$A$1001,RANDBETWEEN(1,1000)),N1029)</f>
        <v>11693</v>
      </c>
      <c r="O1030" t="s">
        <v>1001</v>
      </c>
      <c r="P1030">
        <v>52937164</v>
      </c>
    </row>
    <row r="1031" spans="1:16" x14ac:dyDescent="0.35">
      <c r="A1031">
        <v>93827212372</v>
      </c>
      <c r="C1031" s="2" t="s">
        <v>883</v>
      </c>
      <c r="D1031">
        <v>2</v>
      </c>
      <c r="E1031">
        <v>76891213559</v>
      </c>
      <c r="F1031">
        <f t="shared" ca="1" si="32"/>
        <v>99</v>
      </c>
      <c r="G1031">
        <f ca="1">VLOOKUP(E1031,PurchItem!$A$2:$H$508,8,0)</f>
        <v>1085.9694794572913</v>
      </c>
      <c r="H1031">
        <v>0.04</v>
      </c>
      <c r="I1031" t="s">
        <v>244</v>
      </c>
      <c r="J1031" s="5">
        <v>45270.594524409724</v>
      </c>
      <c r="K1031" s="5">
        <v>45274.189048819448</v>
      </c>
      <c r="M1031">
        <f t="shared" si="33"/>
        <v>10029727602</v>
      </c>
      <c r="N1031">
        <f ca="1">IF(M1031&lt;&gt;M1030,INDEX(CustInfo!$A$2:$A$1001,RANDBETWEEN(1,1000)),N1030)</f>
        <v>11693</v>
      </c>
      <c r="O1031" t="s">
        <v>1001</v>
      </c>
      <c r="P1031">
        <v>52937165</v>
      </c>
    </row>
    <row r="1032" spans="1:16" x14ac:dyDescent="0.35">
      <c r="A1032">
        <v>93827212372</v>
      </c>
      <c r="C1032" s="2" t="s">
        <v>883</v>
      </c>
      <c r="D1032">
        <v>3</v>
      </c>
      <c r="E1032">
        <v>76891213629</v>
      </c>
      <c r="F1032">
        <f t="shared" ca="1" si="32"/>
        <v>96</v>
      </c>
      <c r="G1032">
        <f ca="1">VLOOKUP(E1032,PurchItem!$A$2:$H$508,8,0)</f>
        <v>3163.7564415224051</v>
      </c>
      <c r="H1032">
        <v>0.04</v>
      </c>
      <c r="I1032" t="s">
        <v>244</v>
      </c>
      <c r="J1032" s="5">
        <v>45026.594524409724</v>
      </c>
      <c r="K1032" s="5">
        <v>45029.189048819448</v>
      </c>
      <c r="M1032">
        <f t="shared" si="33"/>
        <v>10029727602</v>
      </c>
      <c r="N1032">
        <f ca="1">IF(M1032&lt;&gt;M1031,INDEX(CustInfo!$A$2:$A$1001,RANDBETWEEN(1,1000)),N1031)</f>
        <v>11693</v>
      </c>
      <c r="O1032" t="s">
        <v>1001</v>
      </c>
      <c r="P1032">
        <v>52937166</v>
      </c>
    </row>
    <row r="1033" spans="1:16" x14ac:dyDescent="0.35">
      <c r="A1033">
        <v>93827212372</v>
      </c>
      <c r="C1033" s="2" t="s">
        <v>883</v>
      </c>
      <c r="D1033">
        <v>4</v>
      </c>
      <c r="E1033">
        <v>76891213467</v>
      </c>
      <c r="F1033">
        <f t="shared" ca="1" si="32"/>
        <v>59</v>
      </c>
      <c r="G1033">
        <f ca="1">VLOOKUP(E1033,PurchItem!$A$2:$H$508,8,0)</f>
        <v>7836.0924304775153</v>
      </c>
      <c r="H1033">
        <v>0.06</v>
      </c>
      <c r="I1033" t="s">
        <v>244</v>
      </c>
      <c r="J1033" s="5">
        <v>44882.594524409724</v>
      </c>
      <c r="K1033" s="5">
        <v>44885.189048819448</v>
      </c>
      <c r="M1033">
        <f t="shared" si="33"/>
        <v>10029727602</v>
      </c>
      <c r="N1033">
        <f ca="1">IF(M1033&lt;&gt;M1032,INDEX(CustInfo!$A$2:$A$1001,RANDBETWEEN(1,1000)),N1032)</f>
        <v>11693</v>
      </c>
      <c r="O1033" t="s">
        <v>1001</v>
      </c>
      <c r="P1033">
        <v>52937167</v>
      </c>
    </row>
    <row r="1034" spans="1:16" x14ac:dyDescent="0.35">
      <c r="A1034">
        <v>93827212373</v>
      </c>
      <c r="C1034" s="2" t="s">
        <v>883</v>
      </c>
      <c r="D1034">
        <v>1</v>
      </c>
      <c r="E1034">
        <v>76891213298</v>
      </c>
      <c r="F1034">
        <f t="shared" ca="1" si="32"/>
        <v>6</v>
      </c>
      <c r="G1034">
        <f ca="1">VLOOKUP(E1034,PurchItem!$A$2:$H$508,8,0)</f>
        <v>8806.9548730318475</v>
      </c>
      <c r="H1034">
        <v>0.04</v>
      </c>
      <c r="I1034" t="s">
        <v>244</v>
      </c>
      <c r="J1034" s="5">
        <v>45173.594524409724</v>
      </c>
      <c r="K1034" s="5">
        <v>45174.189048819448</v>
      </c>
      <c r="M1034">
        <f t="shared" si="33"/>
        <v>10029727603</v>
      </c>
      <c r="N1034">
        <f ca="1">IF(M1034&lt;&gt;M1033,INDEX(CustInfo!$A$2:$A$1001,RANDBETWEEN(1,1000)),N1033)</f>
        <v>11314</v>
      </c>
      <c r="O1034" t="s">
        <v>1002</v>
      </c>
      <c r="P1034">
        <v>52937168</v>
      </c>
    </row>
    <row r="1035" spans="1:16" x14ac:dyDescent="0.35">
      <c r="A1035">
        <v>93827212373</v>
      </c>
      <c r="C1035" s="2" t="s">
        <v>883</v>
      </c>
      <c r="D1035">
        <v>2</v>
      </c>
      <c r="E1035">
        <v>76891213612</v>
      </c>
      <c r="F1035">
        <f t="shared" ca="1" si="32"/>
        <v>87</v>
      </c>
      <c r="G1035">
        <f ca="1">VLOOKUP(E1035,PurchItem!$A$2:$H$508,8,0)</f>
        <v>7526.7928414753633</v>
      </c>
      <c r="H1035">
        <v>0.06</v>
      </c>
      <c r="I1035" t="s">
        <v>244</v>
      </c>
      <c r="J1035" s="5">
        <v>44976.594524409724</v>
      </c>
      <c r="K1035" s="5">
        <v>44979.189048819448</v>
      </c>
      <c r="M1035">
        <f t="shared" si="33"/>
        <v>10029727603</v>
      </c>
      <c r="N1035">
        <f ca="1">IF(M1035&lt;&gt;M1034,INDEX(CustInfo!$A$2:$A$1001,RANDBETWEEN(1,1000)),N1034)</f>
        <v>11314</v>
      </c>
      <c r="O1035" t="s">
        <v>1002</v>
      </c>
      <c r="P1035">
        <v>52937169</v>
      </c>
    </row>
    <row r="1036" spans="1:16" x14ac:dyDescent="0.35">
      <c r="A1036">
        <v>93827212373</v>
      </c>
      <c r="C1036" s="2" t="s">
        <v>883</v>
      </c>
      <c r="D1036">
        <v>3</v>
      </c>
      <c r="E1036">
        <v>76891213414</v>
      </c>
      <c r="F1036">
        <f t="shared" ca="1" si="32"/>
        <v>48</v>
      </c>
      <c r="G1036">
        <f ca="1">VLOOKUP(E1036,PurchItem!$A$2:$H$508,8,0)</f>
        <v>9766.7832998304748</v>
      </c>
      <c r="H1036">
        <v>0.05</v>
      </c>
      <c r="I1036" t="s">
        <v>244</v>
      </c>
      <c r="J1036" s="5">
        <v>45461.594524409724</v>
      </c>
      <c r="K1036" s="5">
        <v>45462.189048819448</v>
      </c>
      <c r="M1036">
        <f t="shared" si="33"/>
        <v>10029727603</v>
      </c>
      <c r="N1036">
        <f ca="1">IF(M1036&lt;&gt;M1035,INDEX(CustInfo!$A$2:$A$1001,RANDBETWEEN(1,1000)),N1035)</f>
        <v>11314</v>
      </c>
      <c r="O1036" t="s">
        <v>1002</v>
      </c>
      <c r="P1036">
        <v>52937170</v>
      </c>
    </row>
    <row r="1037" spans="1:16" x14ac:dyDescent="0.35">
      <c r="A1037">
        <v>93827212373</v>
      </c>
      <c r="C1037" s="2" t="s">
        <v>883</v>
      </c>
      <c r="D1037">
        <v>4</v>
      </c>
      <c r="E1037">
        <v>76891213287</v>
      </c>
      <c r="F1037">
        <f t="shared" ca="1" si="32"/>
        <v>41</v>
      </c>
      <c r="G1037">
        <f ca="1">VLOOKUP(E1037,PurchItem!$A$2:$H$508,8,0)</f>
        <v>9651.4910930548576</v>
      </c>
      <c r="H1037">
        <v>0.04</v>
      </c>
      <c r="I1037" t="s">
        <v>244</v>
      </c>
      <c r="J1037" s="5">
        <v>45400.594524409724</v>
      </c>
      <c r="K1037" s="5">
        <v>45403.189048819448</v>
      </c>
      <c r="M1037">
        <f t="shared" si="33"/>
        <v>10029727603</v>
      </c>
      <c r="N1037">
        <f ca="1">IF(M1037&lt;&gt;M1036,INDEX(CustInfo!$A$2:$A$1001,RANDBETWEEN(1,1000)),N1036)</f>
        <v>11314</v>
      </c>
      <c r="O1037" t="s">
        <v>1002</v>
      </c>
      <c r="P1037">
        <v>52937171</v>
      </c>
    </row>
    <row r="1038" spans="1:16" x14ac:dyDescent="0.35">
      <c r="A1038">
        <v>93827212374</v>
      </c>
      <c r="C1038" s="2" t="s">
        <v>883</v>
      </c>
      <c r="D1038">
        <v>1</v>
      </c>
      <c r="E1038">
        <v>76891213185</v>
      </c>
      <c r="F1038">
        <f t="shared" ca="1" si="32"/>
        <v>18</v>
      </c>
      <c r="G1038">
        <f ca="1">VLOOKUP(E1038,PurchItem!$A$2:$H$508,8,0)</f>
        <v>3505.4054103103044</v>
      </c>
      <c r="H1038">
        <v>0.04</v>
      </c>
      <c r="I1038" t="s">
        <v>244</v>
      </c>
      <c r="J1038" s="5">
        <v>45567.594524409724</v>
      </c>
      <c r="K1038" s="5">
        <v>45571.189048819448</v>
      </c>
      <c r="M1038">
        <f t="shared" si="33"/>
        <v>10029727604</v>
      </c>
      <c r="N1038">
        <f ca="1">IF(M1038&lt;&gt;M1037,INDEX(CustInfo!$A$2:$A$1001,RANDBETWEEN(1,1000)),N1037)</f>
        <v>11529</v>
      </c>
      <c r="O1038" t="s">
        <v>1002</v>
      </c>
      <c r="P1038">
        <v>52937172</v>
      </c>
    </row>
    <row r="1039" spans="1:16" x14ac:dyDescent="0.35">
      <c r="A1039">
        <v>93827212374</v>
      </c>
      <c r="C1039" s="2" t="s">
        <v>883</v>
      </c>
      <c r="D1039">
        <v>2</v>
      </c>
      <c r="E1039">
        <v>76891213604</v>
      </c>
      <c r="F1039">
        <f t="shared" ca="1" si="32"/>
        <v>30</v>
      </c>
      <c r="G1039">
        <f ca="1">VLOOKUP(E1039,PurchItem!$A$2:$H$508,8,0)</f>
        <v>6398.1672211601835</v>
      </c>
      <c r="H1039">
        <v>0.05</v>
      </c>
      <c r="I1039" t="s">
        <v>244</v>
      </c>
      <c r="J1039" s="5">
        <v>45608.594524409724</v>
      </c>
      <c r="K1039" s="5">
        <v>45609.189048819448</v>
      </c>
      <c r="M1039">
        <f t="shared" si="33"/>
        <v>10029727604</v>
      </c>
      <c r="N1039">
        <f ca="1">IF(M1039&lt;&gt;M1038,INDEX(CustInfo!$A$2:$A$1001,RANDBETWEEN(1,1000)),N1038)</f>
        <v>11529</v>
      </c>
      <c r="O1039" t="s">
        <v>1002</v>
      </c>
      <c r="P1039">
        <v>52937173</v>
      </c>
    </row>
    <row r="1040" spans="1:16" x14ac:dyDescent="0.35">
      <c r="A1040">
        <v>93827212374</v>
      </c>
      <c r="C1040" s="2" t="s">
        <v>883</v>
      </c>
      <c r="D1040">
        <v>3</v>
      </c>
      <c r="E1040">
        <v>76891213177</v>
      </c>
      <c r="F1040">
        <f t="shared" ca="1" si="32"/>
        <v>17</v>
      </c>
      <c r="G1040">
        <f ca="1">VLOOKUP(E1040,PurchItem!$A$2:$H$508,8,0)</f>
        <v>8523.4521661003673</v>
      </c>
      <c r="H1040">
        <v>0.06</v>
      </c>
      <c r="I1040" t="s">
        <v>244</v>
      </c>
      <c r="J1040" s="5">
        <v>45128.594524409724</v>
      </c>
      <c r="K1040" s="5">
        <v>45129.189048819448</v>
      </c>
      <c r="M1040">
        <f t="shared" si="33"/>
        <v>10029727604</v>
      </c>
      <c r="N1040">
        <f ca="1">IF(M1040&lt;&gt;M1039,INDEX(CustInfo!$A$2:$A$1001,RANDBETWEEN(1,1000)),N1039)</f>
        <v>11529</v>
      </c>
      <c r="O1040" t="s">
        <v>1002</v>
      </c>
      <c r="P1040">
        <v>52937174</v>
      </c>
    </row>
    <row r="1041" spans="1:16" x14ac:dyDescent="0.35">
      <c r="A1041">
        <v>93827212375</v>
      </c>
      <c r="C1041" s="2" t="s">
        <v>883</v>
      </c>
      <c r="D1041">
        <v>1</v>
      </c>
      <c r="E1041">
        <v>76891213543</v>
      </c>
      <c r="F1041">
        <f t="shared" ca="1" si="32"/>
        <v>94</v>
      </c>
      <c r="G1041">
        <f ca="1">VLOOKUP(E1041,PurchItem!$A$2:$H$508,8,0)</f>
        <v>645.98032194518066</v>
      </c>
      <c r="H1041">
        <v>0.04</v>
      </c>
      <c r="I1041" t="s">
        <v>244</v>
      </c>
      <c r="J1041" s="5">
        <v>45079.594524409724</v>
      </c>
      <c r="K1041" s="5">
        <v>45081.189048819448</v>
      </c>
      <c r="M1041">
        <f t="shared" si="33"/>
        <v>10029727605</v>
      </c>
      <c r="N1041">
        <f ca="1">IF(M1041&lt;&gt;M1040,INDEX(CustInfo!$A$2:$A$1001,RANDBETWEEN(1,1000)),N1040)</f>
        <v>11911</v>
      </c>
      <c r="O1041" t="s">
        <v>1001</v>
      </c>
      <c r="P1041">
        <v>52937175</v>
      </c>
    </row>
    <row r="1042" spans="1:16" x14ac:dyDescent="0.35">
      <c r="A1042">
        <v>93827212375</v>
      </c>
      <c r="C1042" s="2" t="s">
        <v>883</v>
      </c>
      <c r="D1042">
        <v>2</v>
      </c>
      <c r="E1042">
        <v>76891213584</v>
      </c>
      <c r="F1042">
        <f t="shared" ca="1" si="32"/>
        <v>21</v>
      </c>
      <c r="G1042">
        <f ca="1">VLOOKUP(E1042,PurchItem!$A$2:$H$508,8,0)</f>
        <v>6945.1848902307947</v>
      </c>
      <c r="H1042">
        <v>0.05</v>
      </c>
      <c r="I1042" t="s">
        <v>244</v>
      </c>
      <c r="J1042" s="5">
        <v>44757.594524409724</v>
      </c>
      <c r="K1042" s="5">
        <v>44759.189048819448</v>
      </c>
      <c r="M1042">
        <f t="shared" si="33"/>
        <v>10029727605</v>
      </c>
      <c r="N1042">
        <f ca="1">IF(M1042&lt;&gt;M1041,INDEX(CustInfo!$A$2:$A$1001,RANDBETWEEN(1,1000)),N1041)</f>
        <v>11911</v>
      </c>
      <c r="O1042" t="s">
        <v>1001</v>
      </c>
      <c r="P1042">
        <v>52937176</v>
      </c>
    </row>
    <row r="1043" spans="1:16" x14ac:dyDescent="0.35">
      <c r="A1043">
        <v>93827212375</v>
      </c>
      <c r="C1043" s="2" t="s">
        <v>883</v>
      </c>
      <c r="D1043">
        <v>3</v>
      </c>
      <c r="E1043">
        <v>76891213498</v>
      </c>
      <c r="F1043">
        <f t="shared" ca="1" si="32"/>
        <v>29</v>
      </c>
      <c r="G1043">
        <f ca="1">VLOOKUP(E1043,PurchItem!$A$2:$H$508,8,0)</f>
        <v>4995.713213871999</v>
      </c>
      <c r="H1043">
        <v>0.04</v>
      </c>
      <c r="I1043" t="s">
        <v>244</v>
      </c>
      <c r="J1043" s="5">
        <v>45023.594524409724</v>
      </c>
      <c r="K1043" s="5">
        <v>45024.189048819448</v>
      </c>
      <c r="M1043">
        <f t="shared" si="33"/>
        <v>10029727605</v>
      </c>
      <c r="N1043">
        <f ca="1">IF(M1043&lt;&gt;M1042,INDEX(CustInfo!$A$2:$A$1001,RANDBETWEEN(1,1000)),N1042)</f>
        <v>11911</v>
      </c>
      <c r="O1043" t="s">
        <v>1001</v>
      </c>
      <c r="P1043">
        <v>52937177</v>
      </c>
    </row>
    <row r="1044" spans="1:16" x14ac:dyDescent="0.35">
      <c r="A1044">
        <v>93827212376</v>
      </c>
      <c r="C1044" s="2" t="s">
        <v>883</v>
      </c>
      <c r="D1044">
        <v>1</v>
      </c>
      <c r="E1044">
        <v>76891213552</v>
      </c>
      <c r="F1044">
        <f t="shared" ca="1" si="32"/>
        <v>62</v>
      </c>
      <c r="G1044">
        <f ca="1">VLOOKUP(E1044,PurchItem!$A$2:$H$508,8,0)</f>
        <v>1307.476350595766</v>
      </c>
      <c r="H1044">
        <v>0.06</v>
      </c>
      <c r="I1044" t="s">
        <v>244</v>
      </c>
      <c r="J1044" s="5">
        <v>45028.594524409724</v>
      </c>
      <c r="K1044" s="5">
        <v>45032.189048819448</v>
      </c>
      <c r="M1044">
        <f t="shared" si="33"/>
        <v>10029727606</v>
      </c>
      <c r="N1044">
        <f ca="1">IF(M1044&lt;&gt;M1043,INDEX(CustInfo!$A$2:$A$1001,RANDBETWEEN(1,1000)),N1043)</f>
        <v>11150</v>
      </c>
      <c r="O1044" t="s">
        <v>1001</v>
      </c>
      <c r="P1044">
        <v>52937178</v>
      </c>
    </row>
    <row r="1045" spans="1:16" x14ac:dyDescent="0.35">
      <c r="A1045">
        <v>93827212376</v>
      </c>
      <c r="C1045" s="2" t="s">
        <v>883</v>
      </c>
      <c r="D1045">
        <v>2</v>
      </c>
      <c r="E1045">
        <v>76891213395</v>
      </c>
      <c r="F1045">
        <f t="shared" ca="1" si="32"/>
        <v>14</v>
      </c>
      <c r="G1045">
        <f ca="1">VLOOKUP(E1045,PurchItem!$A$2:$H$508,8,0)</f>
        <v>4064.214687257996</v>
      </c>
      <c r="H1045">
        <v>0.05</v>
      </c>
      <c r="I1045" t="s">
        <v>244</v>
      </c>
      <c r="J1045" s="5">
        <v>44971.594524409724</v>
      </c>
      <c r="K1045" s="5">
        <v>44975.189048819448</v>
      </c>
      <c r="M1045">
        <f t="shared" si="33"/>
        <v>10029727606</v>
      </c>
      <c r="N1045">
        <f ca="1">IF(M1045&lt;&gt;M1044,INDEX(CustInfo!$A$2:$A$1001,RANDBETWEEN(1,1000)),N1044)</f>
        <v>11150</v>
      </c>
      <c r="O1045" t="s">
        <v>1001</v>
      </c>
      <c r="P1045">
        <v>52937179</v>
      </c>
    </row>
    <row r="1046" spans="1:16" x14ac:dyDescent="0.35">
      <c r="A1046">
        <v>93827212376</v>
      </c>
      <c r="C1046" s="2" t="s">
        <v>883</v>
      </c>
      <c r="D1046">
        <v>3</v>
      </c>
      <c r="E1046">
        <v>76891213410</v>
      </c>
      <c r="F1046">
        <f t="shared" ca="1" si="32"/>
        <v>93</v>
      </c>
      <c r="G1046">
        <f ca="1">VLOOKUP(E1046,PurchItem!$A$2:$H$508,8,0)</f>
        <v>5895.9151906064244</v>
      </c>
      <c r="H1046">
        <v>0.04</v>
      </c>
      <c r="I1046" t="s">
        <v>244</v>
      </c>
      <c r="J1046" s="5">
        <v>45005.594524409724</v>
      </c>
      <c r="K1046" s="5">
        <v>45007.189048819448</v>
      </c>
      <c r="M1046">
        <f t="shared" si="33"/>
        <v>10029727606</v>
      </c>
      <c r="N1046">
        <f ca="1">IF(M1046&lt;&gt;M1045,INDEX(CustInfo!$A$2:$A$1001,RANDBETWEEN(1,1000)),N1045)</f>
        <v>11150</v>
      </c>
      <c r="O1046" t="s">
        <v>1001</v>
      </c>
      <c r="P1046">
        <v>52937180</v>
      </c>
    </row>
    <row r="1047" spans="1:16" x14ac:dyDescent="0.35">
      <c r="A1047">
        <v>93827212376</v>
      </c>
      <c r="C1047" s="2" t="s">
        <v>883</v>
      </c>
      <c r="D1047">
        <v>4</v>
      </c>
      <c r="E1047">
        <v>76891213457</v>
      </c>
      <c r="F1047">
        <f t="shared" ca="1" si="32"/>
        <v>68</v>
      </c>
      <c r="G1047">
        <f ca="1">VLOOKUP(E1047,PurchItem!$A$2:$H$508,8,0)</f>
        <v>6617.5399033341891</v>
      </c>
      <c r="H1047">
        <v>0.04</v>
      </c>
      <c r="I1047" t="s">
        <v>244</v>
      </c>
      <c r="J1047" s="5">
        <v>44693.594524409724</v>
      </c>
      <c r="K1047" s="5">
        <v>44694.189048819448</v>
      </c>
      <c r="M1047">
        <f t="shared" si="33"/>
        <v>10029727606</v>
      </c>
      <c r="N1047">
        <f ca="1">IF(M1047&lt;&gt;M1046,INDEX(CustInfo!$A$2:$A$1001,RANDBETWEEN(1,1000)),N1046)</f>
        <v>11150</v>
      </c>
      <c r="O1047" t="s">
        <v>1001</v>
      </c>
      <c r="P1047">
        <v>52937181</v>
      </c>
    </row>
    <row r="1048" spans="1:16" x14ac:dyDescent="0.35">
      <c r="A1048">
        <v>93827212377</v>
      </c>
      <c r="C1048" s="2" t="s">
        <v>883</v>
      </c>
      <c r="D1048">
        <v>1</v>
      </c>
      <c r="E1048">
        <v>76891213384</v>
      </c>
      <c r="F1048">
        <f t="shared" ca="1" si="32"/>
        <v>1</v>
      </c>
      <c r="G1048">
        <f ca="1">VLOOKUP(E1048,PurchItem!$A$2:$H$508,8,0)</f>
        <v>5612.9731125552507</v>
      </c>
      <c r="H1048">
        <v>0.04</v>
      </c>
      <c r="I1048" t="s">
        <v>244</v>
      </c>
      <c r="J1048" s="5">
        <v>44575.594524409724</v>
      </c>
      <c r="K1048" s="5">
        <v>44576.189048819448</v>
      </c>
      <c r="M1048">
        <f t="shared" si="33"/>
        <v>10029727607</v>
      </c>
      <c r="N1048">
        <f ca="1">IF(M1048&lt;&gt;M1047,INDEX(CustInfo!$A$2:$A$1001,RANDBETWEEN(1,1000)),N1047)</f>
        <v>11696</v>
      </c>
      <c r="O1048" t="s">
        <v>1001</v>
      </c>
      <c r="P1048">
        <v>52937182</v>
      </c>
    </row>
    <row r="1049" spans="1:16" x14ac:dyDescent="0.35">
      <c r="A1049">
        <v>93827212378</v>
      </c>
      <c r="C1049" s="2" t="s">
        <v>883</v>
      </c>
      <c r="D1049">
        <v>1</v>
      </c>
      <c r="E1049">
        <v>76891213229</v>
      </c>
      <c r="F1049">
        <f t="shared" ca="1" si="32"/>
        <v>22</v>
      </c>
      <c r="G1049">
        <f ca="1">VLOOKUP(E1049,PurchItem!$A$2:$H$508,8,0)</f>
        <v>3150.6874887833542</v>
      </c>
      <c r="H1049">
        <v>0.06</v>
      </c>
      <c r="I1049" t="s">
        <v>244</v>
      </c>
      <c r="J1049" s="5">
        <v>44916.594524409724</v>
      </c>
      <c r="K1049" s="5">
        <v>44918.189048819448</v>
      </c>
      <c r="M1049">
        <f t="shared" si="33"/>
        <v>10029727608</v>
      </c>
      <c r="N1049">
        <f ca="1">IF(M1049&lt;&gt;M1048,INDEX(CustInfo!$A$2:$A$1001,RANDBETWEEN(1,1000)),N1048)</f>
        <v>11597</v>
      </c>
      <c r="O1049" t="s">
        <v>1001</v>
      </c>
      <c r="P1049">
        <v>52937183</v>
      </c>
    </row>
    <row r="1050" spans="1:16" x14ac:dyDescent="0.35">
      <c r="A1050">
        <v>93827212378</v>
      </c>
      <c r="C1050" s="2" t="s">
        <v>883</v>
      </c>
      <c r="D1050">
        <v>2</v>
      </c>
      <c r="E1050">
        <v>76891213399</v>
      </c>
      <c r="F1050">
        <f t="shared" ca="1" si="32"/>
        <v>75</v>
      </c>
      <c r="G1050">
        <f ca="1">VLOOKUP(E1050,PurchItem!$A$2:$H$508,8,0)</f>
        <v>847.70440937695787</v>
      </c>
      <c r="H1050">
        <v>0.06</v>
      </c>
      <c r="I1050" t="s">
        <v>244</v>
      </c>
      <c r="J1050" s="5">
        <v>45182.594524409724</v>
      </c>
      <c r="K1050" s="5">
        <v>45184.189048819448</v>
      </c>
      <c r="M1050">
        <f t="shared" si="33"/>
        <v>10029727608</v>
      </c>
      <c r="N1050">
        <f ca="1">IF(M1050&lt;&gt;M1049,INDEX(CustInfo!$A$2:$A$1001,RANDBETWEEN(1,1000)),N1049)</f>
        <v>11597</v>
      </c>
      <c r="O1050" t="s">
        <v>1001</v>
      </c>
      <c r="P1050">
        <v>52937184</v>
      </c>
    </row>
    <row r="1051" spans="1:16" x14ac:dyDescent="0.35">
      <c r="A1051">
        <v>93827212378</v>
      </c>
      <c r="C1051" s="2" t="s">
        <v>883</v>
      </c>
      <c r="D1051">
        <v>3</v>
      </c>
      <c r="E1051">
        <v>76891213377</v>
      </c>
      <c r="F1051">
        <f t="shared" ca="1" si="32"/>
        <v>91</v>
      </c>
      <c r="G1051">
        <f ca="1">VLOOKUP(E1051,PurchItem!$A$2:$H$508,8,0)</f>
        <v>747.79686367362922</v>
      </c>
      <c r="H1051">
        <v>0.05</v>
      </c>
      <c r="I1051" t="s">
        <v>244</v>
      </c>
      <c r="J1051" s="5">
        <v>44592.594524409724</v>
      </c>
      <c r="K1051" s="5">
        <v>44593.189048819448</v>
      </c>
      <c r="M1051">
        <f t="shared" si="33"/>
        <v>10029727608</v>
      </c>
      <c r="N1051">
        <f ca="1">IF(M1051&lt;&gt;M1050,INDEX(CustInfo!$A$2:$A$1001,RANDBETWEEN(1,1000)),N1050)</f>
        <v>11597</v>
      </c>
      <c r="O1051" t="s">
        <v>1001</v>
      </c>
      <c r="P1051">
        <v>52937185</v>
      </c>
    </row>
    <row r="1052" spans="1:16" x14ac:dyDescent="0.35">
      <c r="A1052">
        <v>93827212379</v>
      </c>
      <c r="C1052" s="2" t="s">
        <v>883</v>
      </c>
      <c r="D1052">
        <v>1</v>
      </c>
      <c r="E1052">
        <v>76891213370</v>
      </c>
      <c r="F1052">
        <f t="shared" ca="1" si="32"/>
        <v>16</v>
      </c>
      <c r="G1052">
        <f ca="1">VLOOKUP(E1052,PurchItem!$A$2:$H$508,8,0)</f>
        <v>5363.0925561437452</v>
      </c>
      <c r="H1052">
        <v>0.05</v>
      </c>
      <c r="I1052" t="s">
        <v>244</v>
      </c>
      <c r="J1052" s="5">
        <v>45381.594524409724</v>
      </c>
      <c r="K1052" s="5">
        <v>45383.189048819448</v>
      </c>
      <c r="M1052">
        <f t="shared" si="33"/>
        <v>10029727609</v>
      </c>
      <c r="N1052">
        <f ca="1">IF(M1052&lt;&gt;M1051,INDEX(CustInfo!$A$2:$A$1001,RANDBETWEEN(1,1000)),N1051)</f>
        <v>11014</v>
      </c>
      <c r="O1052" t="s">
        <v>1002</v>
      </c>
      <c r="P1052">
        <v>52937186</v>
      </c>
    </row>
    <row r="1053" spans="1:16" x14ac:dyDescent="0.35">
      <c r="A1053">
        <v>93827212379</v>
      </c>
      <c r="C1053" s="2" t="s">
        <v>883</v>
      </c>
      <c r="D1053">
        <v>2</v>
      </c>
      <c r="E1053">
        <v>76891213394</v>
      </c>
      <c r="F1053">
        <f t="shared" ca="1" si="32"/>
        <v>57</v>
      </c>
      <c r="G1053">
        <f ca="1">VLOOKUP(E1053,PurchItem!$A$2:$H$508,8,0)</f>
        <v>4295.2254967828821</v>
      </c>
      <c r="H1053">
        <v>0.05</v>
      </c>
      <c r="I1053" t="s">
        <v>244</v>
      </c>
      <c r="J1053" s="5">
        <v>45399.594524409724</v>
      </c>
      <c r="K1053" s="5">
        <v>45400.189048819448</v>
      </c>
      <c r="M1053">
        <f t="shared" si="33"/>
        <v>10029727609</v>
      </c>
      <c r="N1053">
        <f ca="1">IF(M1053&lt;&gt;M1052,INDEX(CustInfo!$A$2:$A$1001,RANDBETWEEN(1,1000)),N1052)</f>
        <v>11014</v>
      </c>
      <c r="O1053" t="s">
        <v>1002</v>
      </c>
      <c r="P1053">
        <v>52937187</v>
      </c>
    </row>
    <row r="1054" spans="1:16" x14ac:dyDescent="0.35">
      <c r="A1054">
        <v>93827212379</v>
      </c>
      <c r="C1054" s="2" t="s">
        <v>883</v>
      </c>
      <c r="D1054">
        <v>3</v>
      </c>
      <c r="E1054">
        <v>76891213603</v>
      </c>
      <c r="F1054">
        <f t="shared" ca="1" si="32"/>
        <v>22</v>
      </c>
      <c r="G1054">
        <f ca="1">VLOOKUP(E1054,PurchItem!$A$2:$H$508,8,0)</f>
        <v>4831.6381960821909</v>
      </c>
      <c r="H1054">
        <v>0.05</v>
      </c>
      <c r="I1054" t="s">
        <v>244</v>
      </c>
      <c r="J1054" s="5">
        <v>44831.594524409724</v>
      </c>
      <c r="K1054" s="5">
        <v>44832.189048819448</v>
      </c>
      <c r="M1054">
        <f t="shared" si="33"/>
        <v>10029727609</v>
      </c>
      <c r="N1054">
        <f ca="1">IF(M1054&lt;&gt;M1053,INDEX(CustInfo!$A$2:$A$1001,RANDBETWEEN(1,1000)),N1053)</f>
        <v>11014</v>
      </c>
      <c r="O1054" t="s">
        <v>1002</v>
      </c>
      <c r="P1054">
        <v>52937188</v>
      </c>
    </row>
    <row r="1055" spans="1:16" x14ac:dyDescent="0.35">
      <c r="A1055">
        <v>93827212380</v>
      </c>
      <c r="C1055" s="2" t="s">
        <v>883</v>
      </c>
      <c r="D1055">
        <v>1</v>
      </c>
      <c r="E1055">
        <v>76891213420</v>
      </c>
      <c r="F1055">
        <f t="shared" ca="1" si="32"/>
        <v>79</v>
      </c>
      <c r="G1055">
        <f ca="1">VLOOKUP(E1055,PurchItem!$A$2:$H$508,8,0)</f>
        <v>705.92088426041653</v>
      </c>
      <c r="H1055">
        <v>0.06</v>
      </c>
      <c r="I1055" t="s">
        <v>244</v>
      </c>
      <c r="J1055" s="5">
        <v>44896.594524409724</v>
      </c>
      <c r="K1055" s="5">
        <v>44899.189048819448</v>
      </c>
      <c r="M1055">
        <f t="shared" si="33"/>
        <v>10029727610</v>
      </c>
      <c r="N1055">
        <f ca="1">IF(M1055&lt;&gt;M1054,INDEX(CustInfo!$A$2:$A$1001,RANDBETWEEN(1,1000)),N1054)</f>
        <v>11172</v>
      </c>
      <c r="O1055" t="s">
        <v>1002</v>
      </c>
      <c r="P1055">
        <v>52937189</v>
      </c>
    </row>
    <row r="1056" spans="1:16" x14ac:dyDescent="0.35">
      <c r="A1056">
        <v>93827212380</v>
      </c>
      <c r="C1056" s="2" t="s">
        <v>883</v>
      </c>
      <c r="D1056">
        <v>2</v>
      </c>
      <c r="E1056">
        <v>76891213293</v>
      </c>
      <c r="F1056">
        <f t="shared" ca="1" si="32"/>
        <v>97</v>
      </c>
      <c r="G1056">
        <f ca="1">VLOOKUP(E1056,PurchItem!$A$2:$H$508,8,0)</f>
        <v>1389.1874106181256</v>
      </c>
      <c r="H1056">
        <v>0.05</v>
      </c>
      <c r="I1056" t="s">
        <v>244</v>
      </c>
      <c r="J1056" s="5">
        <v>44721.594524409724</v>
      </c>
      <c r="K1056" s="5">
        <v>44724.189048819448</v>
      </c>
      <c r="M1056">
        <f t="shared" si="33"/>
        <v>10029727610</v>
      </c>
      <c r="N1056">
        <f ca="1">IF(M1056&lt;&gt;M1055,INDEX(CustInfo!$A$2:$A$1001,RANDBETWEEN(1,1000)),N1055)</f>
        <v>11172</v>
      </c>
      <c r="O1056" t="s">
        <v>1002</v>
      </c>
      <c r="P1056">
        <v>52937190</v>
      </c>
    </row>
    <row r="1057" spans="1:16" x14ac:dyDescent="0.35">
      <c r="A1057">
        <v>93827212380</v>
      </c>
      <c r="C1057" s="2" t="s">
        <v>883</v>
      </c>
      <c r="D1057">
        <v>3</v>
      </c>
      <c r="E1057">
        <v>76891213255</v>
      </c>
      <c r="F1057">
        <f t="shared" ca="1" si="32"/>
        <v>96</v>
      </c>
      <c r="G1057">
        <f ca="1">VLOOKUP(E1057,PurchItem!$A$2:$H$508,8,0)</f>
        <v>8364.121881281746</v>
      </c>
      <c r="H1057">
        <v>0.06</v>
      </c>
      <c r="I1057" t="s">
        <v>244</v>
      </c>
      <c r="J1057" s="5">
        <v>44971.594524409724</v>
      </c>
      <c r="K1057" s="5">
        <v>44975.189048819448</v>
      </c>
      <c r="M1057">
        <f t="shared" si="33"/>
        <v>10029727610</v>
      </c>
      <c r="N1057">
        <f ca="1">IF(M1057&lt;&gt;M1056,INDEX(CustInfo!$A$2:$A$1001,RANDBETWEEN(1,1000)),N1056)</f>
        <v>11172</v>
      </c>
      <c r="O1057" t="s">
        <v>1002</v>
      </c>
      <c r="P1057">
        <v>52937191</v>
      </c>
    </row>
    <row r="1058" spans="1:16" x14ac:dyDescent="0.35">
      <c r="A1058">
        <v>93827212381</v>
      </c>
      <c r="C1058" s="2" t="s">
        <v>883</v>
      </c>
      <c r="D1058">
        <v>1</v>
      </c>
      <c r="E1058">
        <v>76891213306</v>
      </c>
      <c r="F1058">
        <f t="shared" ca="1" si="32"/>
        <v>75</v>
      </c>
      <c r="G1058">
        <f ca="1">VLOOKUP(E1058,PurchItem!$A$2:$H$508,8,0)</f>
        <v>7186.6067775573456</v>
      </c>
      <c r="H1058">
        <v>0.06</v>
      </c>
      <c r="I1058" t="s">
        <v>244</v>
      </c>
      <c r="J1058" s="5">
        <v>45236.594524409724</v>
      </c>
      <c r="K1058" s="5">
        <v>45238.189048819448</v>
      </c>
      <c r="M1058">
        <f t="shared" si="33"/>
        <v>10029727611</v>
      </c>
      <c r="N1058">
        <f ca="1">IF(M1058&lt;&gt;M1057,INDEX(CustInfo!$A$2:$A$1001,RANDBETWEEN(1,1000)),N1057)</f>
        <v>11325</v>
      </c>
      <c r="O1058" t="s">
        <v>1002</v>
      </c>
      <c r="P1058">
        <v>52937192</v>
      </c>
    </row>
    <row r="1059" spans="1:16" x14ac:dyDescent="0.35">
      <c r="A1059">
        <v>93827212381</v>
      </c>
      <c r="C1059" s="2" t="s">
        <v>883</v>
      </c>
      <c r="D1059">
        <v>2</v>
      </c>
      <c r="E1059">
        <v>76891213304</v>
      </c>
      <c r="F1059">
        <f t="shared" ca="1" si="32"/>
        <v>43</v>
      </c>
      <c r="G1059">
        <f ca="1">VLOOKUP(E1059,PurchItem!$A$2:$H$508,8,0)</f>
        <v>6666.5905638765125</v>
      </c>
      <c r="H1059">
        <v>0.06</v>
      </c>
      <c r="I1059" t="s">
        <v>244</v>
      </c>
      <c r="J1059" s="5">
        <v>44867.594524409724</v>
      </c>
      <c r="K1059" s="5">
        <v>44870.189048819448</v>
      </c>
      <c r="M1059">
        <f t="shared" si="33"/>
        <v>10029727611</v>
      </c>
      <c r="N1059">
        <f ca="1">IF(M1059&lt;&gt;M1058,INDEX(CustInfo!$A$2:$A$1001,RANDBETWEEN(1,1000)),N1058)</f>
        <v>11325</v>
      </c>
      <c r="O1059" t="s">
        <v>1002</v>
      </c>
      <c r="P1059">
        <v>52937193</v>
      </c>
    </row>
    <row r="1060" spans="1:16" x14ac:dyDescent="0.35">
      <c r="A1060">
        <v>93827212381</v>
      </c>
      <c r="C1060" s="2" t="s">
        <v>883</v>
      </c>
      <c r="D1060">
        <v>3</v>
      </c>
      <c r="E1060">
        <v>76891213587</v>
      </c>
      <c r="F1060">
        <f t="shared" ca="1" si="32"/>
        <v>81</v>
      </c>
      <c r="G1060">
        <f ca="1">VLOOKUP(E1060,PurchItem!$A$2:$H$508,8,0)</f>
        <v>402.21981378530177</v>
      </c>
      <c r="H1060">
        <v>0.04</v>
      </c>
      <c r="I1060" t="s">
        <v>244</v>
      </c>
      <c r="J1060" s="5">
        <v>44831.594524409724</v>
      </c>
      <c r="K1060" s="5">
        <v>44833.189048819448</v>
      </c>
      <c r="M1060">
        <f t="shared" si="33"/>
        <v>10029727611</v>
      </c>
      <c r="N1060">
        <f ca="1">IF(M1060&lt;&gt;M1059,INDEX(CustInfo!$A$2:$A$1001,RANDBETWEEN(1,1000)),N1059)</f>
        <v>11325</v>
      </c>
      <c r="O1060" t="s">
        <v>1002</v>
      </c>
      <c r="P1060">
        <v>52937194</v>
      </c>
    </row>
    <row r="1061" spans="1:16" x14ac:dyDescent="0.35">
      <c r="A1061">
        <v>93827212381</v>
      </c>
      <c r="C1061" s="2" t="s">
        <v>883</v>
      </c>
      <c r="D1061">
        <v>4</v>
      </c>
      <c r="E1061">
        <v>76891213340</v>
      </c>
      <c r="F1061">
        <f t="shared" ca="1" si="32"/>
        <v>20</v>
      </c>
      <c r="G1061">
        <f ca="1">VLOOKUP(E1061,PurchItem!$A$2:$H$508,8,0)</f>
        <v>7002.567366206631</v>
      </c>
      <c r="H1061">
        <v>0.06</v>
      </c>
      <c r="I1061" t="s">
        <v>244</v>
      </c>
      <c r="J1061" s="5">
        <v>44871.594524409724</v>
      </c>
      <c r="K1061" s="5">
        <v>44875.189048819448</v>
      </c>
      <c r="M1061">
        <f t="shared" si="33"/>
        <v>10029727611</v>
      </c>
      <c r="N1061">
        <f ca="1">IF(M1061&lt;&gt;M1060,INDEX(CustInfo!$A$2:$A$1001,RANDBETWEEN(1,1000)),N1060)</f>
        <v>11325</v>
      </c>
      <c r="O1061" t="s">
        <v>1002</v>
      </c>
      <c r="P1061">
        <v>52937195</v>
      </c>
    </row>
    <row r="1062" spans="1:16" x14ac:dyDescent="0.35">
      <c r="A1062">
        <v>93827212382</v>
      </c>
      <c r="C1062" s="2" t="s">
        <v>883</v>
      </c>
      <c r="D1062">
        <v>1</v>
      </c>
      <c r="E1062">
        <v>76891213582</v>
      </c>
      <c r="F1062">
        <f t="shared" ca="1" si="32"/>
        <v>91</v>
      </c>
      <c r="G1062">
        <f ca="1">VLOOKUP(E1062,PurchItem!$A$2:$H$508,8,0)</f>
        <v>8124.1598690113979</v>
      </c>
      <c r="H1062">
        <v>0.06</v>
      </c>
      <c r="I1062" t="s">
        <v>244</v>
      </c>
      <c r="J1062" s="5">
        <v>45318.594524409724</v>
      </c>
      <c r="K1062" s="5">
        <v>45321.189048819448</v>
      </c>
      <c r="M1062">
        <f t="shared" si="33"/>
        <v>10029727612</v>
      </c>
      <c r="N1062">
        <f ca="1">IF(M1062&lt;&gt;M1061,INDEX(CustInfo!$A$2:$A$1001,RANDBETWEEN(1,1000)),N1061)</f>
        <v>11085</v>
      </c>
      <c r="O1062" t="s">
        <v>1001</v>
      </c>
      <c r="P1062">
        <v>52937196</v>
      </c>
    </row>
    <row r="1063" spans="1:16" x14ac:dyDescent="0.35">
      <c r="A1063">
        <v>93827212383</v>
      </c>
      <c r="C1063" s="2" t="s">
        <v>883</v>
      </c>
      <c r="D1063">
        <v>1</v>
      </c>
      <c r="E1063">
        <v>76891213388</v>
      </c>
      <c r="F1063">
        <f t="shared" ca="1" si="32"/>
        <v>92</v>
      </c>
      <c r="G1063">
        <f ca="1">VLOOKUP(E1063,PurchItem!$A$2:$H$508,8,0)</f>
        <v>1466.0763513227046</v>
      </c>
      <c r="H1063">
        <v>0.06</v>
      </c>
      <c r="I1063" t="s">
        <v>244</v>
      </c>
      <c r="J1063" s="5">
        <v>45061.594524409724</v>
      </c>
      <c r="K1063" s="5">
        <v>45065.189048819448</v>
      </c>
      <c r="M1063">
        <f t="shared" si="33"/>
        <v>10029727613</v>
      </c>
      <c r="N1063">
        <f ca="1">IF(M1063&lt;&gt;M1062,INDEX(CustInfo!$A$2:$A$1001,RANDBETWEEN(1,1000)),N1062)</f>
        <v>11762</v>
      </c>
      <c r="O1063" t="s">
        <v>1002</v>
      </c>
      <c r="P1063">
        <v>52937197</v>
      </c>
    </row>
    <row r="1064" spans="1:16" x14ac:dyDescent="0.35">
      <c r="A1064">
        <v>93827212383</v>
      </c>
      <c r="C1064" s="2" t="s">
        <v>883</v>
      </c>
      <c r="D1064">
        <v>2</v>
      </c>
      <c r="E1064">
        <v>76891213201</v>
      </c>
      <c r="F1064">
        <f t="shared" ca="1" si="32"/>
        <v>88</v>
      </c>
      <c r="G1064">
        <f ca="1">VLOOKUP(E1064,PurchItem!$A$2:$H$508,8,0)</f>
        <v>6682.2142517924858</v>
      </c>
      <c r="H1064">
        <v>0.04</v>
      </c>
      <c r="I1064" t="s">
        <v>244</v>
      </c>
      <c r="J1064" s="5">
        <v>45298.594524409724</v>
      </c>
      <c r="K1064" s="5">
        <v>45302.189048819448</v>
      </c>
      <c r="M1064">
        <f t="shared" si="33"/>
        <v>10029727613</v>
      </c>
      <c r="N1064">
        <f ca="1">IF(M1064&lt;&gt;M1063,INDEX(CustInfo!$A$2:$A$1001,RANDBETWEEN(1,1000)),N1063)</f>
        <v>11762</v>
      </c>
      <c r="O1064" t="s">
        <v>1002</v>
      </c>
      <c r="P1064">
        <v>52937198</v>
      </c>
    </row>
    <row r="1065" spans="1:16" x14ac:dyDescent="0.35">
      <c r="A1065">
        <v>93827212384</v>
      </c>
      <c r="C1065" s="2" t="s">
        <v>883</v>
      </c>
      <c r="D1065">
        <v>1</v>
      </c>
      <c r="E1065">
        <v>76891213374</v>
      </c>
      <c r="F1065">
        <f t="shared" ca="1" si="32"/>
        <v>94</v>
      </c>
      <c r="G1065">
        <f ca="1">VLOOKUP(E1065,PurchItem!$A$2:$H$508,8,0)</f>
        <v>3382.3788439006389</v>
      </c>
      <c r="H1065">
        <v>0.05</v>
      </c>
      <c r="I1065" t="s">
        <v>244</v>
      </c>
      <c r="J1065" s="5">
        <v>44647.594524409724</v>
      </c>
      <c r="K1065" s="5">
        <v>44651.189048819448</v>
      </c>
      <c r="M1065">
        <f t="shared" si="33"/>
        <v>10029727614</v>
      </c>
      <c r="N1065">
        <f ca="1">IF(M1065&lt;&gt;M1064,INDEX(CustInfo!$A$2:$A$1001,RANDBETWEEN(1,1000)),N1064)</f>
        <v>11318</v>
      </c>
      <c r="O1065" t="s">
        <v>1002</v>
      </c>
      <c r="P1065">
        <v>52937199</v>
      </c>
    </row>
    <row r="1066" spans="1:16" x14ac:dyDescent="0.35">
      <c r="A1066">
        <v>93827212384</v>
      </c>
      <c r="C1066" s="2" t="s">
        <v>883</v>
      </c>
      <c r="D1066">
        <v>2</v>
      </c>
      <c r="E1066">
        <v>76891213344</v>
      </c>
      <c r="F1066">
        <f t="shared" ca="1" si="32"/>
        <v>75</v>
      </c>
      <c r="G1066">
        <f ca="1">VLOOKUP(E1066,PurchItem!$A$2:$H$508,8,0)</f>
        <v>552.4163551482618</v>
      </c>
      <c r="H1066">
        <v>0.05</v>
      </c>
      <c r="I1066" t="s">
        <v>244</v>
      </c>
      <c r="J1066" s="5">
        <v>44618.594524409724</v>
      </c>
      <c r="K1066" s="5">
        <v>44622.189048819448</v>
      </c>
      <c r="M1066">
        <f t="shared" si="33"/>
        <v>10029727614</v>
      </c>
      <c r="N1066">
        <f ca="1">IF(M1066&lt;&gt;M1065,INDEX(CustInfo!$A$2:$A$1001,RANDBETWEEN(1,1000)),N1065)</f>
        <v>11318</v>
      </c>
      <c r="O1066" t="s">
        <v>1002</v>
      </c>
      <c r="P1066">
        <v>52937200</v>
      </c>
    </row>
    <row r="1067" spans="1:16" x14ac:dyDescent="0.35">
      <c r="A1067">
        <v>93827212384</v>
      </c>
      <c r="C1067" s="2" t="s">
        <v>883</v>
      </c>
      <c r="D1067">
        <v>3</v>
      </c>
      <c r="E1067">
        <v>76891213308</v>
      </c>
      <c r="F1067">
        <f t="shared" ca="1" si="32"/>
        <v>20</v>
      </c>
      <c r="G1067">
        <f ca="1">VLOOKUP(E1067,PurchItem!$A$2:$H$508,8,0)</f>
        <v>6506.0693874211602</v>
      </c>
      <c r="H1067">
        <v>0.05</v>
      </c>
      <c r="I1067" t="s">
        <v>244</v>
      </c>
      <c r="J1067" s="5">
        <v>45492.594524409724</v>
      </c>
      <c r="K1067" s="5">
        <v>45495.189048819448</v>
      </c>
      <c r="M1067">
        <f t="shared" si="33"/>
        <v>10029727614</v>
      </c>
      <c r="N1067">
        <f ca="1">IF(M1067&lt;&gt;M1066,INDEX(CustInfo!$A$2:$A$1001,RANDBETWEEN(1,1000)),N1066)</f>
        <v>11318</v>
      </c>
      <c r="O1067" t="s">
        <v>1002</v>
      </c>
      <c r="P1067">
        <v>52937201</v>
      </c>
    </row>
    <row r="1068" spans="1:16" x14ac:dyDescent="0.35">
      <c r="A1068">
        <v>93827212384</v>
      </c>
      <c r="C1068" s="2" t="s">
        <v>883</v>
      </c>
      <c r="D1068">
        <v>4</v>
      </c>
      <c r="E1068">
        <v>76891213574</v>
      </c>
      <c r="F1068">
        <f t="shared" ca="1" si="32"/>
        <v>98</v>
      </c>
      <c r="G1068">
        <f ca="1">VLOOKUP(E1068,PurchItem!$A$2:$H$508,8,0)</f>
        <v>464.77139842259504</v>
      </c>
      <c r="H1068">
        <v>0.06</v>
      </c>
      <c r="I1068" t="s">
        <v>244</v>
      </c>
      <c r="J1068" s="5">
        <v>45345.594524409724</v>
      </c>
      <c r="K1068" s="5">
        <v>45347.189048819448</v>
      </c>
      <c r="M1068">
        <f t="shared" si="33"/>
        <v>10029727614</v>
      </c>
      <c r="N1068">
        <f ca="1">IF(M1068&lt;&gt;M1067,INDEX(CustInfo!$A$2:$A$1001,RANDBETWEEN(1,1000)),N1067)</f>
        <v>11318</v>
      </c>
      <c r="O1068" t="s">
        <v>1002</v>
      </c>
      <c r="P1068">
        <v>52937202</v>
      </c>
    </row>
    <row r="1069" spans="1:16" x14ac:dyDescent="0.35">
      <c r="A1069">
        <v>93827212385</v>
      </c>
      <c r="C1069" s="2" t="s">
        <v>883</v>
      </c>
      <c r="D1069">
        <v>1</v>
      </c>
      <c r="E1069">
        <v>76891213584</v>
      </c>
      <c r="F1069">
        <f t="shared" ca="1" si="32"/>
        <v>51</v>
      </c>
      <c r="G1069">
        <f ca="1">VLOOKUP(E1069,PurchItem!$A$2:$H$508,8,0)</f>
        <v>6945.1848902307947</v>
      </c>
      <c r="H1069">
        <v>0.04</v>
      </c>
      <c r="I1069" t="s">
        <v>244</v>
      </c>
      <c r="J1069" s="5">
        <v>45276.594524409724</v>
      </c>
      <c r="K1069" s="5">
        <v>45280.189048819448</v>
      </c>
      <c r="M1069">
        <f t="shared" si="33"/>
        <v>10029727615</v>
      </c>
      <c r="N1069">
        <f ca="1">IF(M1069&lt;&gt;M1068,INDEX(CustInfo!$A$2:$A$1001,RANDBETWEEN(1,1000)),N1068)</f>
        <v>11251</v>
      </c>
      <c r="O1069" t="s">
        <v>1003</v>
      </c>
      <c r="P1069">
        <v>52937203</v>
      </c>
    </row>
    <row r="1070" spans="1:16" x14ac:dyDescent="0.35">
      <c r="A1070">
        <v>93827212385</v>
      </c>
      <c r="C1070" s="2" t="s">
        <v>883</v>
      </c>
      <c r="D1070">
        <v>2</v>
      </c>
      <c r="E1070">
        <v>76891213456</v>
      </c>
      <c r="F1070">
        <f t="shared" ca="1" si="32"/>
        <v>81</v>
      </c>
      <c r="G1070">
        <f ca="1">VLOOKUP(E1070,PurchItem!$A$2:$H$508,8,0)</f>
        <v>1609.4745237976038</v>
      </c>
      <c r="H1070">
        <v>0.06</v>
      </c>
      <c r="I1070" t="s">
        <v>244</v>
      </c>
      <c r="J1070" s="5">
        <v>45482.594524409724</v>
      </c>
      <c r="K1070" s="5">
        <v>45485.189048819448</v>
      </c>
      <c r="M1070">
        <f t="shared" si="33"/>
        <v>10029727615</v>
      </c>
      <c r="N1070">
        <f ca="1">IF(M1070&lt;&gt;M1069,INDEX(CustInfo!$A$2:$A$1001,RANDBETWEEN(1,1000)),N1069)</f>
        <v>11251</v>
      </c>
      <c r="O1070" t="s">
        <v>1003</v>
      </c>
      <c r="P1070">
        <v>52937204</v>
      </c>
    </row>
    <row r="1071" spans="1:16" x14ac:dyDescent="0.35">
      <c r="A1071">
        <v>93827212386</v>
      </c>
      <c r="C1071" s="2" t="s">
        <v>883</v>
      </c>
      <c r="D1071">
        <v>1</v>
      </c>
      <c r="E1071">
        <v>76891213412</v>
      </c>
      <c r="F1071">
        <f t="shared" ca="1" si="32"/>
        <v>5</v>
      </c>
      <c r="G1071">
        <f ca="1">VLOOKUP(E1071,PurchItem!$A$2:$H$508,8,0)</f>
        <v>430.51503832168373</v>
      </c>
      <c r="H1071">
        <v>0.06</v>
      </c>
      <c r="I1071" t="s">
        <v>244</v>
      </c>
      <c r="J1071" s="5">
        <v>45157.594524409724</v>
      </c>
      <c r="K1071" s="5">
        <v>45160.189048819448</v>
      </c>
      <c r="M1071">
        <f t="shared" si="33"/>
        <v>10029727616</v>
      </c>
      <c r="N1071">
        <f ca="1">IF(M1071&lt;&gt;M1070,INDEX(CustInfo!$A$2:$A$1001,RANDBETWEEN(1,1000)),N1070)</f>
        <v>11517</v>
      </c>
      <c r="O1071" t="s">
        <v>1001</v>
      </c>
      <c r="P1071">
        <v>52937205</v>
      </c>
    </row>
    <row r="1072" spans="1:16" x14ac:dyDescent="0.35">
      <c r="A1072">
        <v>93827212387</v>
      </c>
      <c r="C1072" s="2" t="s">
        <v>883</v>
      </c>
      <c r="D1072">
        <v>1</v>
      </c>
      <c r="E1072">
        <v>76891213501</v>
      </c>
      <c r="F1072">
        <f t="shared" ca="1" si="32"/>
        <v>43</v>
      </c>
      <c r="G1072">
        <f ca="1">VLOOKUP(E1072,PurchItem!$A$2:$H$508,8,0)</f>
        <v>6077.9118845049607</v>
      </c>
      <c r="H1072">
        <v>0.05</v>
      </c>
      <c r="I1072" t="s">
        <v>244</v>
      </c>
      <c r="J1072" s="5">
        <v>45272.594524409724</v>
      </c>
      <c r="K1072" s="5">
        <v>45274.189048819448</v>
      </c>
      <c r="M1072">
        <f t="shared" si="33"/>
        <v>10029727617</v>
      </c>
      <c r="N1072">
        <f ca="1">IF(M1072&lt;&gt;M1071,INDEX(CustInfo!$A$2:$A$1001,RANDBETWEEN(1,1000)),N1071)</f>
        <v>11858</v>
      </c>
      <c r="O1072" t="s">
        <v>1003</v>
      </c>
      <c r="P1072">
        <v>52937206</v>
      </c>
    </row>
    <row r="1073" spans="1:16" x14ac:dyDescent="0.35">
      <c r="A1073">
        <v>93827212387</v>
      </c>
      <c r="C1073" s="2" t="s">
        <v>883</v>
      </c>
      <c r="D1073">
        <v>2</v>
      </c>
      <c r="E1073">
        <v>76891213599</v>
      </c>
      <c r="F1073">
        <f t="shared" ca="1" si="32"/>
        <v>86</v>
      </c>
      <c r="G1073">
        <f ca="1">VLOOKUP(E1073,PurchItem!$A$2:$H$508,8,0)</f>
        <v>5445.9165158335209</v>
      </c>
      <c r="H1073">
        <v>0.05</v>
      </c>
      <c r="I1073" t="s">
        <v>244</v>
      </c>
      <c r="J1073" s="5">
        <v>44826.594524409724</v>
      </c>
      <c r="K1073" s="5">
        <v>44828.189048819448</v>
      </c>
      <c r="M1073">
        <f t="shared" si="33"/>
        <v>10029727617</v>
      </c>
      <c r="N1073">
        <f ca="1">IF(M1073&lt;&gt;M1072,INDEX(CustInfo!$A$2:$A$1001,RANDBETWEEN(1,1000)),N1072)</f>
        <v>11858</v>
      </c>
      <c r="O1073" t="s">
        <v>1003</v>
      </c>
      <c r="P1073">
        <v>52937207</v>
      </c>
    </row>
    <row r="1074" spans="1:16" x14ac:dyDescent="0.35">
      <c r="A1074">
        <v>93827212388</v>
      </c>
      <c r="C1074" s="2" t="s">
        <v>883</v>
      </c>
      <c r="D1074">
        <v>1</v>
      </c>
      <c r="E1074">
        <v>76891213241</v>
      </c>
      <c r="F1074">
        <f t="shared" ca="1" si="32"/>
        <v>64</v>
      </c>
      <c r="G1074">
        <f ca="1">VLOOKUP(E1074,PurchItem!$A$2:$H$508,8,0)</f>
        <v>3049.755941552879</v>
      </c>
      <c r="H1074">
        <v>0.06</v>
      </c>
      <c r="I1074" t="s">
        <v>244</v>
      </c>
      <c r="J1074" s="5">
        <v>45469.594524409724</v>
      </c>
      <c r="K1074" s="5">
        <v>45470.189048819448</v>
      </c>
      <c r="M1074">
        <f t="shared" si="33"/>
        <v>10029727618</v>
      </c>
      <c r="N1074">
        <f ca="1">IF(M1074&lt;&gt;M1073,INDEX(CustInfo!$A$2:$A$1001,RANDBETWEEN(1,1000)),N1073)</f>
        <v>11169</v>
      </c>
      <c r="O1074" t="s">
        <v>1002</v>
      </c>
      <c r="P1074">
        <v>52937208</v>
      </c>
    </row>
    <row r="1075" spans="1:16" x14ac:dyDescent="0.35">
      <c r="A1075">
        <v>93827212389</v>
      </c>
      <c r="C1075" s="2" t="s">
        <v>883</v>
      </c>
      <c r="D1075">
        <v>1</v>
      </c>
      <c r="E1075">
        <v>76891213150</v>
      </c>
      <c r="F1075">
        <f t="shared" ca="1" si="32"/>
        <v>18</v>
      </c>
      <c r="G1075">
        <f ca="1">VLOOKUP(E1075,PurchItem!$A$2:$H$508,8,0)</f>
        <v>4841.3945699159722</v>
      </c>
      <c r="H1075">
        <v>0.06</v>
      </c>
      <c r="I1075" t="s">
        <v>244</v>
      </c>
      <c r="J1075" s="5">
        <v>45028.594524409724</v>
      </c>
      <c r="K1075" s="5">
        <v>45030.189048819448</v>
      </c>
      <c r="M1075">
        <f t="shared" si="33"/>
        <v>10029727619</v>
      </c>
      <c r="N1075">
        <f ca="1">IF(M1075&lt;&gt;M1074,INDEX(CustInfo!$A$2:$A$1001,RANDBETWEEN(1,1000)),N1074)</f>
        <v>11019</v>
      </c>
      <c r="O1075" t="s">
        <v>1001</v>
      </c>
      <c r="P1075">
        <v>52937209</v>
      </c>
    </row>
    <row r="1076" spans="1:16" x14ac:dyDescent="0.35">
      <c r="A1076">
        <v>93827212389</v>
      </c>
      <c r="C1076" s="2" t="s">
        <v>883</v>
      </c>
      <c r="D1076">
        <v>2</v>
      </c>
      <c r="E1076">
        <v>76891213535</v>
      </c>
      <c r="F1076">
        <f t="shared" ca="1" si="32"/>
        <v>43</v>
      </c>
      <c r="G1076">
        <f ca="1">VLOOKUP(E1076,PurchItem!$A$2:$H$508,8,0)</f>
        <v>468.81906553927877</v>
      </c>
      <c r="H1076">
        <v>0.05</v>
      </c>
      <c r="I1076" t="s">
        <v>244</v>
      </c>
      <c r="J1076" s="5">
        <v>44576.594524409724</v>
      </c>
      <c r="K1076" s="5">
        <v>44579.189048819448</v>
      </c>
      <c r="M1076">
        <f t="shared" si="33"/>
        <v>10029727619</v>
      </c>
      <c r="N1076">
        <f ca="1">IF(M1076&lt;&gt;M1075,INDEX(CustInfo!$A$2:$A$1001,RANDBETWEEN(1,1000)),N1075)</f>
        <v>11019</v>
      </c>
      <c r="O1076" t="s">
        <v>1001</v>
      </c>
      <c r="P1076">
        <v>52937210</v>
      </c>
    </row>
    <row r="1077" spans="1:16" x14ac:dyDescent="0.35">
      <c r="A1077">
        <v>93827212390</v>
      </c>
      <c r="C1077" s="2" t="s">
        <v>883</v>
      </c>
      <c r="D1077">
        <v>1</v>
      </c>
      <c r="E1077">
        <v>76891213423</v>
      </c>
      <c r="F1077">
        <f t="shared" ca="1" si="32"/>
        <v>41</v>
      </c>
      <c r="G1077">
        <f ca="1">VLOOKUP(E1077,PurchItem!$A$2:$H$508,8,0)</f>
        <v>1141.5267093600655</v>
      </c>
      <c r="H1077">
        <v>0.05</v>
      </c>
      <c r="I1077" t="s">
        <v>244</v>
      </c>
      <c r="J1077" s="5">
        <v>44745.594524409724</v>
      </c>
      <c r="K1077" s="5">
        <v>44749.189048819448</v>
      </c>
      <c r="M1077">
        <f t="shared" si="33"/>
        <v>10029727620</v>
      </c>
      <c r="N1077">
        <f ca="1">IF(M1077&lt;&gt;M1076,INDEX(CustInfo!$A$2:$A$1001,RANDBETWEEN(1,1000)),N1076)</f>
        <v>11205</v>
      </c>
      <c r="O1077" t="s">
        <v>1003</v>
      </c>
      <c r="P1077">
        <v>52937211</v>
      </c>
    </row>
    <row r="1078" spans="1:16" x14ac:dyDescent="0.35">
      <c r="A1078">
        <v>93827212390</v>
      </c>
      <c r="C1078" s="2" t="s">
        <v>883</v>
      </c>
      <c r="D1078">
        <v>2</v>
      </c>
      <c r="E1078">
        <v>76891213252</v>
      </c>
      <c r="F1078">
        <f t="shared" ca="1" si="32"/>
        <v>1</v>
      </c>
      <c r="G1078">
        <f ca="1">VLOOKUP(E1078,PurchItem!$A$2:$H$508,8,0)</f>
        <v>6293.3933446140873</v>
      </c>
      <c r="H1078">
        <v>0.04</v>
      </c>
      <c r="I1078" t="s">
        <v>244</v>
      </c>
      <c r="J1078" s="5">
        <v>44902.594524409724</v>
      </c>
      <c r="K1078" s="5">
        <v>44903.189048819448</v>
      </c>
      <c r="M1078">
        <f t="shared" si="33"/>
        <v>10029727620</v>
      </c>
      <c r="N1078">
        <f ca="1">IF(M1078&lt;&gt;M1077,INDEX(CustInfo!$A$2:$A$1001,RANDBETWEEN(1,1000)),N1077)</f>
        <v>11205</v>
      </c>
      <c r="O1078" t="s">
        <v>1003</v>
      </c>
      <c r="P1078">
        <v>52937212</v>
      </c>
    </row>
    <row r="1079" spans="1:16" x14ac:dyDescent="0.35">
      <c r="A1079">
        <v>93827212390</v>
      </c>
      <c r="C1079" s="2" t="s">
        <v>883</v>
      </c>
      <c r="D1079">
        <v>3</v>
      </c>
      <c r="E1079">
        <v>76891213469</v>
      </c>
      <c r="F1079">
        <f t="shared" ca="1" si="32"/>
        <v>59</v>
      </c>
      <c r="G1079">
        <f ca="1">VLOOKUP(E1079,PurchItem!$A$2:$H$508,8,0)</f>
        <v>3640.4377524868119</v>
      </c>
      <c r="H1079">
        <v>0.04</v>
      </c>
      <c r="I1079" t="s">
        <v>244</v>
      </c>
      <c r="J1079" s="5">
        <v>45140.594524409724</v>
      </c>
      <c r="K1079" s="5">
        <v>45141.189048819448</v>
      </c>
      <c r="M1079">
        <f t="shared" si="33"/>
        <v>10029727620</v>
      </c>
      <c r="N1079">
        <f ca="1">IF(M1079&lt;&gt;M1078,INDEX(CustInfo!$A$2:$A$1001,RANDBETWEEN(1,1000)),N1078)</f>
        <v>11205</v>
      </c>
      <c r="O1079" t="s">
        <v>1003</v>
      </c>
      <c r="P1079">
        <v>52937213</v>
      </c>
    </row>
    <row r="1080" spans="1:16" x14ac:dyDescent="0.35">
      <c r="A1080">
        <v>93827212390</v>
      </c>
      <c r="C1080" s="2" t="s">
        <v>883</v>
      </c>
      <c r="D1080">
        <v>4</v>
      </c>
      <c r="E1080">
        <v>76891213265</v>
      </c>
      <c r="F1080">
        <f t="shared" ca="1" si="32"/>
        <v>32</v>
      </c>
      <c r="G1080">
        <f ca="1">VLOOKUP(E1080,PurchItem!$A$2:$H$508,8,0)</f>
        <v>9730.9255508959868</v>
      </c>
      <c r="H1080">
        <v>0.04</v>
      </c>
      <c r="I1080" t="s">
        <v>244</v>
      </c>
      <c r="J1080" s="5">
        <v>44567.594524409724</v>
      </c>
      <c r="K1080" s="5">
        <v>44571.189048819448</v>
      </c>
      <c r="M1080">
        <f t="shared" si="33"/>
        <v>10029727620</v>
      </c>
      <c r="N1080">
        <f ca="1">IF(M1080&lt;&gt;M1079,INDEX(CustInfo!$A$2:$A$1001,RANDBETWEEN(1,1000)),N1079)</f>
        <v>11205</v>
      </c>
      <c r="O1080" t="s">
        <v>1003</v>
      </c>
      <c r="P1080">
        <v>52937214</v>
      </c>
    </row>
    <row r="1081" spans="1:16" x14ac:dyDescent="0.35">
      <c r="A1081">
        <v>93827212391</v>
      </c>
      <c r="C1081" s="2" t="s">
        <v>883</v>
      </c>
      <c r="D1081">
        <v>1</v>
      </c>
      <c r="E1081">
        <v>76891213388</v>
      </c>
      <c r="F1081">
        <f t="shared" ca="1" si="32"/>
        <v>77</v>
      </c>
      <c r="G1081">
        <f ca="1">VLOOKUP(E1081,PurchItem!$A$2:$H$508,8,0)</f>
        <v>1466.0763513227046</v>
      </c>
      <c r="H1081">
        <v>0.05</v>
      </c>
      <c r="I1081" t="s">
        <v>244</v>
      </c>
      <c r="J1081" s="5">
        <v>45321.594524409724</v>
      </c>
      <c r="K1081" s="5">
        <v>45325.189048819448</v>
      </c>
      <c r="M1081">
        <f t="shared" si="33"/>
        <v>10029727621</v>
      </c>
      <c r="N1081">
        <f ca="1">IF(M1081&lt;&gt;M1080,INDEX(CustInfo!$A$2:$A$1001,RANDBETWEEN(1,1000)),N1080)</f>
        <v>11370</v>
      </c>
      <c r="O1081" t="s">
        <v>1003</v>
      </c>
      <c r="P1081">
        <v>52937215</v>
      </c>
    </row>
    <row r="1082" spans="1:16" x14ac:dyDescent="0.35">
      <c r="A1082">
        <v>93827212391</v>
      </c>
      <c r="C1082" s="2" t="s">
        <v>883</v>
      </c>
      <c r="D1082">
        <v>2</v>
      </c>
      <c r="E1082">
        <v>76891213227</v>
      </c>
      <c r="F1082">
        <f t="shared" ca="1" si="32"/>
        <v>34</v>
      </c>
      <c r="G1082">
        <f ca="1">VLOOKUP(E1082,PurchItem!$A$2:$H$508,8,0)</f>
        <v>2491.1474363656821</v>
      </c>
      <c r="H1082">
        <v>0.06</v>
      </c>
      <c r="I1082" t="s">
        <v>244</v>
      </c>
      <c r="J1082" s="5">
        <v>45058.594524409724</v>
      </c>
      <c r="K1082" s="5">
        <v>45062.189048819448</v>
      </c>
      <c r="M1082">
        <f t="shared" si="33"/>
        <v>10029727621</v>
      </c>
      <c r="N1082">
        <f ca="1">IF(M1082&lt;&gt;M1081,INDEX(CustInfo!$A$2:$A$1001,RANDBETWEEN(1,1000)),N1081)</f>
        <v>11370</v>
      </c>
      <c r="O1082" t="s">
        <v>1003</v>
      </c>
      <c r="P1082">
        <v>52937216</v>
      </c>
    </row>
    <row r="1083" spans="1:16" x14ac:dyDescent="0.35">
      <c r="A1083">
        <v>93827212392</v>
      </c>
      <c r="C1083" s="2" t="s">
        <v>883</v>
      </c>
      <c r="D1083">
        <v>1</v>
      </c>
      <c r="E1083">
        <v>76891213614</v>
      </c>
      <c r="F1083">
        <f t="shared" ca="1" si="32"/>
        <v>34</v>
      </c>
      <c r="G1083">
        <f ca="1">VLOOKUP(E1083,PurchItem!$A$2:$H$508,8,0)</f>
        <v>9839.139054816611</v>
      </c>
      <c r="H1083">
        <v>0.04</v>
      </c>
      <c r="I1083" t="s">
        <v>244</v>
      </c>
      <c r="J1083" s="5">
        <v>45542.594524409724</v>
      </c>
      <c r="K1083" s="5">
        <v>45543.189048819448</v>
      </c>
      <c r="M1083">
        <f t="shared" si="33"/>
        <v>10029727622</v>
      </c>
      <c r="N1083">
        <f ca="1">IF(M1083&lt;&gt;M1082,INDEX(CustInfo!$A$2:$A$1001,RANDBETWEEN(1,1000)),N1082)</f>
        <v>11348</v>
      </c>
      <c r="O1083" t="s">
        <v>1002</v>
      </c>
      <c r="P1083">
        <v>52937217</v>
      </c>
    </row>
    <row r="1084" spans="1:16" x14ac:dyDescent="0.35">
      <c r="A1084">
        <v>93827212393</v>
      </c>
      <c r="C1084" s="2" t="s">
        <v>883</v>
      </c>
      <c r="D1084">
        <v>1</v>
      </c>
      <c r="E1084">
        <v>76891213198</v>
      </c>
      <c r="F1084">
        <f t="shared" ca="1" si="32"/>
        <v>65</v>
      </c>
      <c r="G1084">
        <f ca="1">VLOOKUP(E1084,PurchItem!$A$2:$H$508,8,0)</f>
        <v>137.73349163160216</v>
      </c>
      <c r="H1084">
        <v>0.06</v>
      </c>
      <c r="I1084" t="s">
        <v>244</v>
      </c>
      <c r="J1084" s="5">
        <v>45195.594524409724</v>
      </c>
      <c r="K1084" s="5">
        <v>45199.189048819448</v>
      </c>
      <c r="M1084">
        <f t="shared" si="33"/>
        <v>10029727623</v>
      </c>
      <c r="N1084">
        <f ca="1">IF(M1084&lt;&gt;M1083,INDEX(CustInfo!$A$2:$A$1001,RANDBETWEEN(1,1000)),N1083)</f>
        <v>11264</v>
      </c>
      <c r="O1084" t="s">
        <v>1003</v>
      </c>
      <c r="P1084">
        <v>52937218</v>
      </c>
    </row>
    <row r="1085" spans="1:16" x14ac:dyDescent="0.35">
      <c r="A1085">
        <v>93827212393</v>
      </c>
      <c r="C1085" s="2" t="s">
        <v>883</v>
      </c>
      <c r="D1085">
        <v>2</v>
      </c>
      <c r="E1085">
        <v>76891213432</v>
      </c>
      <c r="F1085">
        <f t="shared" ca="1" si="32"/>
        <v>19</v>
      </c>
      <c r="G1085">
        <f ca="1">VLOOKUP(E1085,PurchItem!$A$2:$H$508,8,0)</f>
        <v>1008.1791642733751</v>
      </c>
      <c r="H1085">
        <v>0.04</v>
      </c>
      <c r="I1085" t="s">
        <v>244</v>
      </c>
      <c r="J1085" s="5">
        <v>45236.594524409724</v>
      </c>
      <c r="K1085" s="5">
        <v>45238.189048819448</v>
      </c>
      <c r="M1085">
        <f t="shared" si="33"/>
        <v>10029727623</v>
      </c>
      <c r="N1085">
        <f ca="1">IF(M1085&lt;&gt;M1084,INDEX(CustInfo!$A$2:$A$1001,RANDBETWEEN(1,1000)),N1084)</f>
        <v>11264</v>
      </c>
      <c r="O1085" t="s">
        <v>1003</v>
      </c>
      <c r="P1085">
        <v>52937219</v>
      </c>
    </row>
    <row r="1086" spans="1:16" x14ac:dyDescent="0.35">
      <c r="A1086">
        <v>93827212393</v>
      </c>
      <c r="C1086" s="2" t="s">
        <v>883</v>
      </c>
      <c r="D1086">
        <v>3</v>
      </c>
      <c r="E1086">
        <v>76891213477</v>
      </c>
      <c r="F1086">
        <f t="shared" ca="1" si="32"/>
        <v>50</v>
      </c>
      <c r="G1086">
        <f ca="1">VLOOKUP(E1086,PurchItem!$A$2:$H$508,8,0)</f>
        <v>6279.1440013265192</v>
      </c>
      <c r="H1086">
        <v>0.05</v>
      </c>
      <c r="I1086" t="s">
        <v>244</v>
      </c>
      <c r="J1086" s="5">
        <v>44724.594524409724</v>
      </c>
      <c r="K1086" s="5">
        <v>44727.189048819448</v>
      </c>
      <c r="M1086">
        <f t="shared" si="33"/>
        <v>10029727623</v>
      </c>
      <c r="N1086">
        <f ca="1">IF(M1086&lt;&gt;M1085,INDEX(CustInfo!$A$2:$A$1001,RANDBETWEEN(1,1000)),N1085)</f>
        <v>11264</v>
      </c>
      <c r="O1086" t="s">
        <v>1003</v>
      </c>
      <c r="P1086">
        <v>52937220</v>
      </c>
    </row>
    <row r="1087" spans="1:16" x14ac:dyDescent="0.35">
      <c r="A1087">
        <v>93827212394</v>
      </c>
      <c r="C1087" s="2" t="s">
        <v>883</v>
      </c>
      <c r="D1087">
        <v>1</v>
      </c>
      <c r="E1087">
        <v>76891213253</v>
      </c>
      <c r="F1087">
        <f t="shared" ca="1" si="32"/>
        <v>47</v>
      </c>
      <c r="G1087">
        <f ca="1">VLOOKUP(E1087,PurchItem!$A$2:$H$508,8,0)</f>
        <v>2205.8632252448356</v>
      </c>
      <c r="H1087">
        <v>0.05</v>
      </c>
      <c r="I1087" t="s">
        <v>244</v>
      </c>
      <c r="J1087" s="5">
        <v>45100.594524409724</v>
      </c>
      <c r="K1087" s="5">
        <v>45102.189048819448</v>
      </c>
      <c r="M1087">
        <f t="shared" si="33"/>
        <v>10029727624</v>
      </c>
      <c r="N1087">
        <f ca="1">IF(M1087&lt;&gt;M1086,INDEX(CustInfo!$A$2:$A$1001,RANDBETWEEN(1,1000)),N1086)</f>
        <v>11415</v>
      </c>
      <c r="O1087" t="s">
        <v>1003</v>
      </c>
      <c r="P1087">
        <v>52937221</v>
      </c>
    </row>
    <row r="1088" spans="1:16" x14ac:dyDescent="0.35">
      <c r="A1088">
        <v>93827212394</v>
      </c>
      <c r="C1088" s="2" t="s">
        <v>883</v>
      </c>
      <c r="D1088">
        <v>2</v>
      </c>
      <c r="E1088">
        <v>76891213327</v>
      </c>
      <c r="F1088">
        <f t="shared" ca="1" si="32"/>
        <v>61</v>
      </c>
      <c r="G1088">
        <f ca="1">VLOOKUP(E1088,PurchItem!$A$2:$H$508,8,0)</f>
        <v>2188.043722839745</v>
      </c>
      <c r="H1088">
        <v>0.05</v>
      </c>
      <c r="I1088" t="s">
        <v>244</v>
      </c>
      <c r="J1088" s="5">
        <v>45167.594524409724</v>
      </c>
      <c r="K1088" s="5">
        <v>45168.189048819448</v>
      </c>
      <c r="M1088">
        <f t="shared" si="33"/>
        <v>10029727624</v>
      </c>
      <c r="N1088">
        <f ca="1">IF(M1088&lt;&gt;M1087,INDEX(CustInfo!$A$2:$A$1001,RANDBETWEEN(1,1000)),N1087)</f>
        <v>11415</v>
      </c>
      <c r="O1088" t="s">
        <v>1003</v>
      </c>
      <c r="P1088">
        <v>52937222</v>
      </c>
    </row>
    <row r="1089" spans="1:16" x14ac:dyDescent="0.35">
      <c r="A1089">
        <v>93827212394</v>
      </c>
      <c r="C1089" s="2" t="s">
        <v>883</v>
      </c>
      <c r="D1089">
        <v>3</v>
      </c>
      <c r="E1089">
        <v>76891213387</v>
      </c>
      <c r="F1089">
        <f t="shared" ca="1" si="32"/>
        <v>40</v>
      </c>
      <c r="G1089">
        <f ca="1">VLOOKUP(E1089,PurchItem!$A$2:$H$508,8,0)</f>
        <v>3103.5029175008126</v>
      </c>
      <c r="H1089">
        <v>0.05</v>
      </c>
      <c r="I1089" t="s">
        <v>244</v>
      </c>
      <c r="J1089" s="5">
        <v>44650.594524409724</v>
      </c>
      <c r="K1089" s="5">
        <v>44654.189048819448</v>
      </c>
      <c r="M1089">
        <f t="shared" si="33"/>
        <v>10029727624</v>
      </c>
      <c r="N1089">
        <f ca="1">IF(M1089&lt;&gt;M1088,INDEX(CustInfo!$A$2:$A$1001,RANDBETWEEN(1,1000)),N1088)</f>
        <v>11415</v>
      </c>
      <c r="O1089" t="s">
        <v>1003</v>
      </c>
      <c r="P1089">
        <v>52937223</v>
      </c>
    </row>
    <row r="1090" spans="1:16" x14ac:dyDescent="0.35">
      <c r="A1090">
        <v>93827212395</v>
      </c>
      <c r="C1090" s="2" t="s">
        <v>883</v>
      </c>
      <c r="D1090">
        <v>1</v>
      </c>
      <c r="E1090">
        <v>76891213434</v>
      </c>
      <c r="F1090">
        <f t="shared" ca="1" si="32"/>
        <v>62</v>
      </c>
      <c r="G1090">
        <f ca="1">VLOOKUP(E1090,PurchItem!$A$2:$H$508,8,0)</f>
        <v>1035.2793986688564</v>
      </c>
      <c r="H1090">
        <v>0.06</v>
      </c>
      <c r="I1090" t="s">
        <v>244</v>
      </c>
      <c r="J1090" s="5">
        <v>44846.594524409724</v>
      </c>
      <c r="K1090" s="5">
        <v>44848.189048819448</v>
      </c>
      <c r="M1090">
        <f t="shared" si="33"/>
        <v>10029727625</v>
      </c>
      <c r="N1090">
        <f ca="1">IF(M1090&lt;&gt;M1089,INDEX(CustInfo!$A$2:$A$1001,RANDBETWEEN(1,1000)),N1089)</f>
        <v>11444</v>
      </c>
      <c r="O1090" t="s">
        <v>1003</v>
      </c>
      <c r="P1090">
        <v>52937224</v>
      </c>
    </row>
    <row r="1091" spans="1:16" x14ac:dyDescent="0.35">
      <c r="A1091">
        <v>93827212396</v>
      </c>
      <c r="C1091" s="2" t="s">
        <v>883</v>
      </c>
      <c r="D1091">
        <v>1</v>
      </c>
      <c r="E1091">
        <v>76891213556</v>
      </c>
      <c r="F1091">
        <f t="shared" ref="F1091:F1154" ca="1" si="34">RANDBETWEEN(1,100)</f>
        <v>26</v>
      </c>
      <c r="G1091">
        <f ca="1">VLOOKUP(E1091,PurchItem!$A$2:$H$508,8,0)</f>
        <v>8388.3334614270243</v>
      </c>
      <c r="H1091">
        <v>0.05</v>
      </c>
      <c r="I1091" t="s">
        <v>244</v>
      </c>
      <c r="J1091" s="5">
        <v>45408.594524409724</v>
      </c>
      <c r="K1091" s="5">
        <v>45412.189048819448</v>
      </c>
      <c r="M1091">
        <f t="shared" si="33"/>
        <v>10029727626</v>
      </c>
      <c r="N1091">
        <f ca="1">IF(M1091&lt;&gt;M1090,INDEX(CustInfo!$A$2:$A$1001,RANDBETWEEN(1,1000)),N1090)</f>
        <v>11501</v>
      </c>
      <c r="O1091" t="s">
        <v>1002</v>
      </c>
      <c r="P1091">
        <v>52937225</v>
      </c>
    </row>
    <row r="1092" spans="1:16" x14ac:dyDescent="0.35">
      <c r="A1092">
        <v>93827212397</v>
      </c>
      <c r="C1092" s="2" t="s">
        <v>883</v>
      </c>
      <c r="D1092">
        <v>1</v>
      </c>
      <c r="E1092">
        <v>76891213604</v>
      </c>
      <c r="F1092">
        <f t="shared" ca="1" si="34"/>
        <v>34</v>
      </c>
      <c r="G1092">
        <f ca="1">VLOOKUP(E1092,PurchItem!$A$2:$H$508,8,0)</f>
        <v>6398.1672211601835</v>
      </c>
      <c r="H1092">
        <v>0.06</v>
      </c>
      <c r="I1092" t="s">
        <v>244</v>
      </c>
      <c r="J1092" s="5">
        <v>45171.594524409724</v>
      </c>
      <c r="K1092" s="5">
        <v>45172.189048819448</v>
      </c>
      <c r="M1092">
        <f t="shared" si="33"/>
        <v>10029727627</v>
      </c>
      <c r="N1092">
        <f ca="1">IF(M1092&lt;&gt;M1091,INDEX(CustInfo!$A$2:$A$1001,RANDBETWEEN(1,1000)),N1091)</f>
        <v>11489</v>
      </c>
      <c r="O1092" t="s">
        <v>1001</v>
      </c>
      <c r="P1092">
        <v>52937226</v>
      </c>
    </row>
    <row r="1093" spans="1:16" x14ac:dyDescent="0.35">
      <c r="A1093">
        <v>93827212398</v>
      </c>
      <c r="C1093" s="2" t="s">
        <v>883</v>
      </c>
      <c r="D1093">
        <v>1</v>
      </c>
      <c r="E1093">
        <v>76891213148</v>
      </c>
      <c r="F1093">
        <f t="shared" ca="1" si="34"/>
        <v>55</v>
      </c>
      <c r="G1093">
        <f ca="1">VLOOKUP(E1093,PurchItem!$A$2:$H$508,8,0)</f>
        <v>1059.7105318061322</v>
      </c>
      <c r="H1093">
        <v>0.04</v>
      </c>
      <c r="I1093" t="s">
        <v>244</v>
      </c>
      <c r="J1093" s="5">
        <v>45288.594524409724</v>
      </c>
      <c r="K1093" s="5">
        <v>45292.189048819448</v>
      </c>
      <c r="M1093">
        <f t="shared" ref="M1093:M1156" si="35">IF(A1093&lt;&gt;A1092,M1092+1,M1092)</f>
        <v>10029727628</v>
      </c>
      <c r="N1093">
        <f ca="1">IF(M1093&lt;&gt;M1092,INDEX(CustInfo!$A$2:$A$1001,RANDBETWEEN(1,1000)),N1092)</f>
        <v>11206</v>
      </c>
      <c r="O1093" t="s">
        <v>1001</v>
      </c>
      <c r="P1093">
        <v>52937227</v>
      </c>
    </row>
    <row r="1094" spans="1:16" x14ac:dyDescent="0.35">
      <c r="A1094">
        <v>93827212399</v>
      </c>
      <c r="C1094" s="2" t="s">
        <v>883</v>
      </c>
      <c r="D1094">
        <v>1</v>
      </c>
      <c r="E1094">
        <v>76891213625</v>
      </c>
      <c r="F1094">
        <f t="shared" ca="1" si="34"/>
        <v>44</v>
      </c>
      <c r="G1094">
        <f ca="1">VLOOKUP(E1094,PurchItem!$A$2:$H$508,8,0)</f>
        <v>197.86735476950216</v>
      </c>
      <c r="H1094">
        <v>0.05</v>
      </c>
      <c r="I1094" t="s">
        <v>244</v>
      </c>
      <c r="J1094" s="5">
        <v>45431.594524409724</v>
      </c>
      <c r="K1094" s="5">
        <v>45434.189048819448</v>
      </c>
      <c r="M1094">
        <f t="shared" si="35"/>
        <v>10029727629</v>
      </c>
      <c r="N1094">
        <f ca="1">IF(M1094&lt;&gt;M1093,INDEX(CustInfo!$A$2:$A$1001,RANDBETWEEN(1,1000)),N1093)</f>
        <v>11104</v>
      </c>
      <c r="O1094" t="s">
        <v>1003</v>
      </c>
      <c r="P1094">
        <v>52937228</v>
      </c>
    </row>
    <row r="1095" spans="1:16" x14ac:dyDescent="0.35">
      <c r="A1095">
        <v>93827212400</v>
      </c>
      <c r="C1095" s="2" t="s">
        <v>883</v>
      </c>
      <c r="D1095">
        <v>1</v>
      </c>
      <c r="E1095">
        <v>76891213502</v>
      </c>
      <c r="F1095">
        <f t="shared" ca="1" si="34"/>
        <v>100</v>
      </c>
      <c r="G1095">
        <f ca="1">VLOOKUP(E1095,PurchItem!$A$2:$H$508,8,0)</f>
        <v>7081.1969266698825</v>
      </c>
      <c r="H1095">
        <v>0.06</v>
      </c>
      <c r="I1095" t="s">
        <v>244</v>
      </c>
      <c r="J1095" s="5">
        <v>45409.594524409724</v>
      </c>
      <c r="K1095" s="5">
        <v>45412.189048819448</v>
      </c>
      <c r="M1095">
        <f t="shared" si="35"/>
        <v>10029727630</v>
      </c>
      <c r="N1095">
        <f ca="1">IF(M1095&lt;&gt;M1094,INDEX(CustInfo!$A$2:$A$1001,RANDBETWEEN(1,1000)),N1094)</f>
        <v>11001</v>
      </c>
      <c r="O1095" t="s">
        <v>1001</v>
      </c>
      <c r="P1095">
        <v>52937229</v>
      </c>
    </row>
    <row r="1096" spans="1:16" x14ac:dyDescent="0.35">
      <c r="A1096">
        <v>93827212401</v>
      </c>
      <c r="C1096" s="2" t="s">
        <v>883</v>
      </c>
      <c r="D1096">
        <v>1</v>
      </c>
      <c r="E1096">
        <v>76891213585</v>
      </c>
      <c r="F1096">
        <f t="shared" ca="1" si="34"/>
        <v>49</v>
      </c>
      <c r="G1096">
        <f ca="1">VLOOKUP(E1096,PurchItem!$A$2:$H$508,8,0)</f>
        <v>7205.2405986070289</v>
      </c>
      <c r="H1096">
        <v>0.06</v>
      </c>
      <c r="I1096" t="s">
        <v>244</v>
      </c>
      <c r="J1096" s="5">
        <f ca="1">RANDBETWEEN(DATE(2022,1,1),TODAY()-30)+$U$2</f>
        <v>45646</v>
      </c>
      <c r="K1096" s="5">
        <f ca="1">J1096+RANDBETWEEN(0,3)+$U$2</f>
        <v>45649</v>
      </c>
      <c r="M1096">
        <f t="shared" si="35"/>
        <v>10029727631</v>
      </c>
      <c r="N1096">
        <f ca="1">IF(M1096&lt;&gt;M1095,INDEX(CustInfo!$A$2:$A$1001,RANDBETWEEN(1,1000)),N1095)</f>
        <v>11786</v>
      </c>
      <c r="O1096" t="s">
        <v>1002</v>
      </c>
      <c r="P1096">
        <v>52937230</v>
      </c>
    </row>
    <row r="1097" spans="1:16" x14ac:dyDescent="0.35">
      <c r="A1097">
        <v>93827212401</v>
      </c>
      <c r="C1097" s="2" t="s">
        <v>883</v>
      </c>
      <c r="D1097">
        <v>2</v>
      </c>
      <c r="E1097">
        <v>76891213386</v>
      </c>
      <c r="F1097">
        <f t="shared" ca="1" si="34"/>
        <v>58</v>
      </c>
      <c r="G1097">
        <f ca="1">VLOOKUP(E1097,PurchItem!$A$2:$H$508,8,0)</f>
        <v>8452.4982732375174</v>
      </c>
      <c r="H1097">
        <v>0.05</v>
      </c>
      <c r="I1097" t="s">
        <v>244</v>
      </c>
      <c r="J1097" s="5">
        <v>44774.594524409724</v>
      </c>
      <c r="K1097" s="5">
        <v>44776.189048819448</v>
      </c>
      <c r="M1097">
        <f t="shared" si="35"/>
        <v>10029727631</v>
      </c>
      <c r="N1097">
        <f ca="1">IF(M1097&lt;&gt;M1096,INDEX(CustInfo!$A$2:$A$1001,RANDBETWEEN(1,1000)),N1096)</f>
        <v>11786</v>
      </c>
      <c r="O1097" t="s">
        <v>1002</v>
      </c>
      <c r="P1097">
        <v>52937231</v>
      </c>
    </row>
    <row r="1098" spans="1:16" x14ac:dyDescent="0.35">
      <c r="A1098">
        <v>93827212402</v>
      </c>
      <c r="C1098" s="2" t="s">
        <v>883</v>
      </c>
      <c r="D1098">
        <v>1</v>
      </c>
      <c r="E1098">
        <v>76891213406</v>
      </c>
      <c r="F1098">
        <f t="shared" ca="1" si="34"/>
        <v>57</v>
      </c>
      <c r="G1098">
        <f ca="1">VLOOKUP(E1098,PurchItem!$A$2:$H$508,8,0)</f>
        <v>5847.2033516990386</v>
      </c>
      <c r="H1098">
        <v>0.04</v>
      </c>
      <c r="I1098" t="s">
        <v>244</v>
      </c>
      <c r="J1098" s="5">
        <v>45569.594524409724</v>
      </c>
      <c r="K1098" s="5">
        <v>45571.189048819448</v>
      </c>
      <c r="M1098">
        <f t="shared" si="35"/>
        <v>10029727632</v>
      </c>
      <c r="N1098">
        <f ca="1">IF(M1098&lt;&gt;M1097,INDEX(CustInfo!$A$2:$A$1001,RANDBETWEEN(1,1000)),N1097)</f>
        <v>11088</v>
      </c>
      <c r="O1098" t="s">
        <v>1002</v>
      </c>
      <c r="P1098">
        <v>52937232</v>
      </c>
    </row>
    <row r="1099" spans="1:16" x14ac:dyDescent="0.35">
      <c r="A1099">
        <v>93827212402</v>
      </c>
      <c r="C1099" s="2" t="s">
        <v>883</v>
      </c>
      <c r="D1099">
        <v>2</v>
      </c>
      <c r="E1099">
        <v>76891213345</v>
      </c>
      <c r="F1099">
        <f t="shared" ca="1" si="34"/>
        <v>31</v>
      </c>
      <c r="G1099">
        <f ca="1">VLOOKUP(E1099,PurchItem!$A$2:$H$508,8,0)</f>
        <v>3652.5312345375505</v>
      </c>
      <c r="H1099">
        <v>0.04</v>
      </c>
      <c r="I1099" t="s">
        <v>244</v>
      </c>
      <c r="J1099" s="5">
        <v>44605.594524409724</v>
      </c>
      <c r="K1099" s="5">
        <v>44609.189048819448</v>
      </c>
      <c r="M1099">
        <f t="shared" si="35"/>
        <v>10029727632</v>
      </c>
      <c r="N1099">
        <f ca="1">IF(M1099&lt;&gt;M1098,INDEX(CustInfo!$A$2:$A$1001,RANDBETWEEN(1,1000)),N1098)</f>
        <v>11088</v>
      </c>
      <c r="O1099" t="s">
        <v>1002</v>
      </c>
      <c r="P1099">
        <v>52937233</v>
      </c>
    </row>
    <row r="1100" spans="1:16" x14ac:dyDescent="0.35">
      <c r="A1100">
        <v>93827212402</v>
      </c>
      <c r="C1100" s="2" t="s">
        <v>883</v>
      </c>
      <c r="D1100">
        <v>3</v>
      </c>
      <c r="E1100">
        <v>76891213627</v>
      </c>
      <c r="F1100">
        <f t="shared" ca="1" si="34"/>
        <v>22</v>
      </c>
      <c r="G1100">
        <f ca="1">VLOOKUP(E1100,PurchItem!$A$2:$H$508,8,0)</f>
        <v>7533.0368434425118</v>
      </c>
      <c r="H1100">
        <v>0.05</v>
      </c>
      <c r="I1100" t="s">
        <v>244</v>
      </c>
      <c r="J1100" s="5">
        <v>45491.594524409724</v>
      </c>
      <c r="K1100" s="5">
        <v>45493.189048819448</v>
      </c>
      <c r="M1100">
        <f t="shared" si="35"/>
        <v>10029727632</v>
      </c>
      <c r="N1100">
        <f ca="1">IF(M1100&lt;&gt;M1099,INDEX(CustInfo!$A$2:$A$1001,RANDBETWEEN(1,1000)),N1099)</f>
        <v>11088</v>
      </c>
      <c r="O1100" t="s">
        <v>1002</v>
      </c>
      <c r="P1100">
        <v>52937234</v>
      </c>
    </row>
    <row r="1101" spans="1:16" x14ac:dyDescent="0.35">
      <c r="A1101">
        <v>93827212402</v>
      </c>
      <c r="C1101" s="2" t="s">
        <v>883</v>
      </c>
      <c r="D1101">
        <v>4</v>
      </c>
      <c r="E1101">
        <v>76891213313</v>
      </c>
      <c r="F1101">
        <f t="shared" ca="1" si="34"/>
        <v>49</v>
      </c>
      <c r="G1101">
        <f ca="1">VLOOKUP(E1101,PurchItem!$A$2:$H$508,8,0)</f>
        <v>5342.3019107040554</v>
      </c>
      <c r="H1101">
        <v>0.05</v>
      </c>
      <c r="I1101" t="s">
        <v>244</v>
      </c>
      <c r="J1101" s="5">
        <v>45521.594524409724</v>
      </c>
      <c r="K1101" s="5">
        <v>45523.189048819448</v>
      </c>
      <c r="M1101">
        <f t="shared" si="35"/>
        <v>10029727632</v>
      </c>
      <c r="N1101">
        <f ca="1">IF(M1101&lt;&gt;M1100,INDEX(CustInfo!$A$2:$A$1001,RANDBETWEEN(1,1000)),N1100)</f>
        <v>11088</v>
      </c>
      <c r="O1101" t="s">
        <v>1002</v>
      </c>
      <c r="P1101">
        <v>52937235</v>
      </c>
    </row>
    <row r="1102" spans="1:16" x14ac:dyDescent="0.35">
      <c r="A1102">
        <v>93827212403</v>
      </c>
      <c r="C1102" s="2" t="s">
        <v>883</v>
      </c>
      <c r="D1102">
        <v>1</v>
      </c>
      <c r="E1102">
        <v>76891213521</v>
      </c>
      <c r="F1102">
        <f t="shared" ca="1" si="34"/>
        <v>100</v>
      </c>
      <c r="G1102">
        <f ca="1">VLOOKUP(E1102,PurchItem!$A$2:$H$508,8,0)</f>
        <v>8650.5364272388215</v>
      </c>
      <c r="H1102">
        <v>0.05</v>
      </c>
      <c r="I1102" t="s">
        <v>244</v>
      </c>
      <c r="J1102" s="5">
        <v>45590.594524409724</v>
      </c>
      <c r="K1102" s="5">
        <v>45593.189048819448</v>
      </c>
      <c r="M1102">
        <f t="shared" si="35"/>
        <v>10029727633</v>
      </c>
      <c r="N1102">
        <f ca="1">IF(M1102&lt;&gt;M1101,INDEX(CustInfo!$A$2:$A$1001,RANDBETWEEN(1,1000)),N1101)</f>
        <v>11146</v>
      </c>
      <c r="O1102" t="s">
        <v>1001</v>
      </c>
      <c r="P1102">
        <v>52937236</v>
      </c>
    </row>
    <row r="1103" spans="1:16" x14ac:dyDescent="0.35">
      <c r="A1103">
        <v>93827212403</v>
      </c>
      <c r="C1103" s="2" t="s">
        <v>883</v>
      </c>
      <c r="D1103">
        <v>2</v>
      </c>
      <c r="E1103">
        <v>76891213418</v>
      </c>
      <c r="F1103">
        <f t="shared" ca="1" si="34"/>
        <v>96</v>
      </c>
      <c r="G1103">
        <f ca="1">VLOOKUP(E1103,PurchItem!$A$2:$H$508,8,0)</f>
        <v>8210.6670108302296</v>
      </c>
      <c r="H1103">
        <v>0.06</v>
      </c>
      <c r="I1103" t="s">
        <v>244</v>
      </c>
      <c r="J1103" s="5">
        <v>45408.594524409724</v>
      </c>
      <c r="K1103" s="5">
        <v>45411.189048819448</v>
      </c>
      <c r="M1103">
        <f t="shared" si="35"/>
        <v>10029727633</v>
      </c>
      <c r="N1103">
        <f ca="1">IF(M1103&lt;&gt;M1102,INDEX(CustInfo!$A$2:$A$1001,RANDBETWEEN(1,1000)),N1102)</f>
        <v>11146</v>
      </c>
      <c r="O1103" t="s">
        <v>1001</v>
      </c>
      <c r="P1103">
        <v>52937237</v>
      </c>
    </row>
    <row r="1104" spans="1:16" x14ac:dyDescent="0.35">
      <c r="A1104">
        <v>93827212403</v>
      </c>
      <c r="C1104" s="2" t="s">
        <v>883</v>
      </c>
      <c r="D1104">
        <v>3</v>
      </c>
      <c r="E1104">
        <v>76891213195</v>
      </c>
      <c r="F1104">
        <f t="shared" ca="1" si="34"/>
        <v>44</v>
      </c>
      <c r="G1104">
        <f ca="1">VLOOKUP(E1104,PurchItem!$A$2:$H$508,8,0)</f>
        <v>2949.5166215472982</v>
      </c>
      <c r="H1104">
        <v>0.05</v>
      </c>
      <c r="I1104" t="s">
        <v>244</v>
      </c>
      <c r="J1104" s="5">
        <v>45202.594524409724</v>
      </c>
      <c r="K1104" s="5">
        <v>45205.189048819448</v>
      </c>
      <c r="M1104">
        <f t="shared" si="35"/>
        <v>10029727633</v>
      </c>
      <c r="N1104">
        <f ca="1">IF(M1104&lt;&gt;M1103,INDEX(CustInfo!$A$2:$A$1001,RANDBETWEEN(1,1000)),N1103)</f>
        <v>11146</v>
      </c>
      <c r="O1104" t="s">
        <v>1001</v>
      </c>
      <c r="P1104">
        <v>52937238</v>
      </c>
    </row>
    <row r="1105" spans="1:16" x14ac:dyDescent="0.35">
      <c r="A1105">
        <v>93827212403</v>
      </c>
      <c r="C1105" s="2" t="s">
        <v>883</v>
      </c>
      <c r="D1105">
        <v>4</v>
      </c>
      <c r="E1105">
        <v>76891213599</v>
      </c>
      <c r="F1105">
        <f t="shared" ca="1" si="34"/>
        <v>80</v>
      </c>
      <c r="G1105">
        <f ca="1">VLOOKUP(E1105,PurchItem!$A$2:$H$508,8,0)</f>
        <v>5445.9165158335209</v>
      </c>
      <c r="H1105">
        <v>0.06</v>
      </c>
      <c r="I1105" t="s">
        <v>244</v>
      </c>
      <c r="J1105" s="5">
        <v>45002.594524409724</v>
      </c>
      <c r="K1105" s="5">
        <v>45004.189048819448</v>
      </c>
      <c r="M1105">
        <f t="shared" si="35"/>
        <v>10029727633</v>
      </c>
      <c r="N1105">
        <f ca="1">IF(M1105&lt;&gt;M1104,INDEX(CustInfo!$A$2:$A$1001,RANDBETWEEN(1,1000)),N1104)</f>
        <v>11146</v>
      </c>
      <c r="O1105" t="s">
        <v>1001</v>
      </c>
      <c r="P1105">
        <v>52937239</v>
      </c>
    </row>
    <row r="1106" spans="1:16" x14ac:dyDescent="0.35">
      <c r="A1106">
        <v>93827212404</v>
      </c>
      <c r="C1106" s="2" t="s">
        <v>883</v>
      </c>
      <c r="D1106">
        <v>1</v>
      </c>
      <c r="E1106">
        <v>76891213529</v>
      </c>
      <c r="F1106">
        <f t="shared" ca="1" si="34"/>
        <v>53</v>
      </c>
      <c r="G1106">
        <f ca="1">VLOOKUP(E1106,PurchItem!$A$2:$H$508,8,0)</f>
        <v>7017.4414267006596</v>
      </c>
      <c r="H1106">
        <v>0.04</v>
      </c>
      <c r="I1106" t="s">
        <v>244</v>
      </c>
      <c r="J1106" s="5">
        <v>45250.594524409724</v>
      </c>
      <c r="K1106" s="5">
        <v>45251.189048819448</v>
      </c>
      <c r="M1106">
        <f t="shared" si="35"/>
        <v>10029727634</v>
      </c>
      <c r="N1106">
        <f ca="1">IF(M1106&lt;&gt;M1105,INDEX(CustInfo!$A$2:$A$1001,RANDBETWEEN(1,1000)),N1105)</f>
        <v>11597</v>
      </c>
      <c r="O1106" t="s">
        <v>1001</v>
      </c>
      <c r="P1106">
        <v>52937240</v>
      </c>
    </row>
    <row r="1107" spans="1:16" x14ac:dyDescent="0.35">
      <c r="A1107">
        <v>93827212404</v>
      </c>
      <c r="C1107" s="2" t="s">
        <v>883</v>
      </c>
      <c r="D1107">
        <v>2</v>
      </c>
      <c r="E1107">
        <v>76891213409</v>
      </c>
      <c r="F1107">
        <f t="shared" ca="1" si="34"/>
        <v>33</v>
      </c>
      <c r="G1107">
        <f ca="1">VLOOKUP(E1107,PurchItem!$A$2:$H$508,8,0)</f>
        <v>2712.1982659831201</v>
      </c>
      <c r="H1107">
        <v>0.05</v>
      </c>
      <c r="I1107" t="s">
        <v>244</v>
      </c>
      <c r="J1107" s="5">
        <v>45401.594524409724</v>
      </c>
      <c r="K1107" s="5">
        <v>45403.189048819448</v>
      </c>
      <c r="M1107">
        <f t="shared" si="35"/>
        <v>10029727634</v>
      </c>
      <c r="N1107">
        <f ca="1">IF(M1107&lt;&gt;M1106,INDEX(CustInfo!$A$2:$A$1001,RANDBETWEEN(1,1000)),N1106)</f>
        <v>11597</v>
      </c>
      <c r="O1107" t="s">
        <v>1001</v>
      </c>
      <c r="P1107">
        <v>52937241</v>
      </c>
    </row>
    <row r="1108" spans="1:16" x14ac:dyDescent="0.35">
      <c r="A1108">
        <v>93827212405</v>
      </c>
      <c r="C1108" s="2" t="s">
        <v>883</v>
      </c>
      <c r="D1108">
        <v>1</v>
      </c>
      <c r="E1108">
        <v>76891213572</v>
      </c>
      <c r="F1108">
        <f t="shared" ca="1" si="34"/>
        <v>68</v>
      </c>
      <c r="G1108">
        <f ca="1">VLOOKUP(E1108,PurchItem!$A$2:$H$508,8,0)</f>
        <v>8369.1775258535399</v>
      </c>
      <c r="H1108">
        <v>0.04</v>
      </c>
      <c r="I1108" t="s">
        <v>244</v>
      </c>
      <c r="J1108" s="5">
        <v>45421.594524409724</v>
      </c>
      <c r="K1108" s="5">
        <v>45422.189048819448</v>
      </c>
      <c r="M1108">
        <f t="shared" si="35"/>
        <v>10029727635</v>
      </c>
      <c r="N1108">
        <f ca="1">IF(M1108&lt;&gt;M1107,INDEX(CustInfo!$A$2:$A$1001,RANDBETWEEN(1,1000)),N1107)</f>
        <v>11628</v>
      </c>
      <c r="O1108" t="s">
        <v>1002</v>
      </c>
      <c r="P1108">
        <v>52937242</v>
      </c>
    </row>
    <row r="1109" spans="1:16" x14ac:dyDescent="0.35">
      <c r="A1109">
        <v>93827212405</v>
      </c>
      <c r="C1109" s="2" t="s">
        <v>883</v>
      </c>
      <c r="D1109">
        <v>2</v>
      </c>
      <c r="E1109">
        <v>76891213258</v>
      </c>
      <c r="F1109">
        <f t="shared" ca="1" si="34"/>
        <v>44</v>
      </c>
      <c r="G1109">
        <f ca="1">VLOOKUP(E1109,PurchItem!$A$2:$H$508,8,0)</f>
        <v>9972.7799020097536</v>
      </c>
      <c r="H1109">
        <v>0.04</v>
      </c>
      <c r="I1109" t="s">
        <v>244</v>
      </c>
      <c r="J1109" s="5">
        <v>44696.594524409724</v>
      </c>
      <c r="K1109" s="5">
        <v>44697.189048819448</v>
      </c>
      <c r="M1109">
        <f t="shared" si="35"/>
        <v>10029727635</v>
      </c>
      <c r="N1109">
        <f ca="1">IF(M1109&lt;&gt;M1108,INDEX(CustInfo!$A$2:$A$1001,RANDBETWEEN(1,1000)),N1108)</f>
        <v>11628</v>
      </c>
      <c r="O1109" t="s">
        <v>1002</v>
      </c>
      <c r="P1109">
        <v>52937243</v>
      </c>
    </row>
    <row r="1110" spans="1:16" x14ac:dyDescent="0.35">
      <c r="A1110">
        <v>93827212405</v>
      </c>
      <c r="C1110" s="2" t="s">
        <v>883</v>
      </c>
      <c r="D1110">
        <v>3</v>
      </c>
      <c r="E1110">
        <v>76891213607</v>
      </c>
      <c r="F1110">
        <f t="shared" ca="1" si="34"/>
        <v>21</v>
      </c>
      <c r="G1110">
        <f ca="1">VLOOKUP(E1110,PurchItem!$A$2:$H$508,8,0)</f>
        <v>2128.5929882153723</v>
      </c>
      <c r="H1110">
        <v>0.05</v>
      </c>
      <c r="I1110" t="s">
        <v>244</v>
      </c>
      <c r="J1110" s="5">
        <v>45399.594524409724</v>
      </c>
      <c r="K1110" s="5">
        <v>45403.189048819448</v>
      </c>
      <c r="M1110">
        <f t="shared" si="35"/>
        <v>10029727635</v>
      </c>
      <c r="N1110">
        <f ca="1">IF(M1110&lt;&gt;M1109,INDEX(CustInfo!$A$2:$A$1001,RANDBETWEEN(1,1000)),N1109)</f>
        <v>11628</v>
      </c>
      <c r="O1110" t="s">
        <v>1002</v>
      </c>
      <c r="P1110">
        <v>52937244</v>
      </c>
    </row>
    <row r="1111" spans="1:16" x14ac:dyDescent="0.35">
      <c r="A1111">
        <v>93827212405</v>
      </c>
      <c r="C1111" s="2" t="s">
        <v>883</v>
      </c>
      <c r="D1111">
        <v>4</v>
      </c>
      <c r="E1111">
        <v>76891213316</v>
      </c>
      <c r="F1111">
        <f t="shared" ca="1" si="34"/>
        <v>2</v>
      </c>
      <c r="G1111">
        <f ca="1">VLOOKUP(E1111,PurchItem!$A$2:$H$508,8,0)</f>
        <v>1710.7168304779898</v>
      </c>
      <c r="H1111">
        <v>0.05</v>
      </c>
      <c r="I1111" t="s">
        <v>244</v>
      </c>
      <c r="J1111" s="5">
        <v>44797.594524409724</v>
      </c>
      <c r="K1111" s="5">
        <v>44798.189048819448</v>
      </c>
      <c r="M1111">
        <f t="shared" si="35"/>
        <v>10029727635</v>
      </c>
      <c r="N1111">
        <f ca="1">IF(M1111&lt;&gt;M1110,INDEX(CustInfo!$A$2:$A$1001,RANDBETWEEN(1,1000)),N1110)</f>
        <v>11628</v>
      </c>
      <c r="O1111" t="s">
        <v>1002</v>
      </c>
      <c r="P1111">
        <v>52937245</v>
      </c>
    </row>
    <row r="1112" spans="1:16" x14ac:dyDescent="0.35">
      <c r="A1112">
        <v>93827212406</v>
      </c>
      <c r="C1112" s="2" t="s">
        <v>883</v>
      </c>
      <c r="D1112">
        <v>1</v>
      </c>
      <c r="E1112">
        <v>76891213523</v>
      </c>
      <c r="F1112">
        <f t="shared" ca="1" si="34"/>
        <v>76</v>
      </c>
      <c r="G1112">
        <f ca="1">VLOOKUP(E1112,PurchItem!$A$2:$H$508,8,0)</f>
        <v>8374.3911039011728</v>
      </c>
      <c r="H1112">
        <v>0.05</v>
      </c>
      <c r="I1112" t="s">
        <v>244</v>
      </c>
      <c r="J1112" s="5">
        <v>44996.594524409724</v>
      </c>
      <c r="K1112" s="5">
        <v>44997.189048819448</v>
      </c>
      <c r="M1112">
        <f t="shared" si="35"/>
        <v>10029727636</v>
      </c>
      <c r="N1112">
        <f ca="1">IF(M1112&lt;&gt;M1111,INDEX(CustInfo!$A$2:$A$1001,RANDBETWEEN(1,1000)),N1111)</f>
        <v>11135</v>
      </c>
      <c r="O1112" t="s">
        <v>1003</v>
      </c>
      <c r="P1112">
        <v>52937246</v>
      </c>
    </row>
    <row r="1113" spans="1:16" x14ac:dyDescent="0.35">
      <c r="A1113">
        <v>93827212407</v>
      </c>
      <c r="C1113" s="2" t="s">
        <v>883</v>
      </c>
      <c r="D1113">
        <v>1</v>
      </c>
      <c r="E1113">
        <v>76891213282</v>
      </c>
      <c r="F1113">
        <f t="shared" ca="1" si="34"/>
        <v>99</v>
      </c>
      <c r="G1113">
        <f ca="1">VLOOKUP(E1113,PurchItem!$A$2:$H$508,8,0)</f>
        <v>7043.1528369539874</v>
      </c>
      <c r="H1113">
        <v>0.04</v>
      </c>
      <c r="I1113" t="s">
        <v>244</v>
      </c>
      <c r="J1113" s="5">
        <v>45566.594524409724</v>
      </c>
      <c r="K1113" s="5">
        <v>45568.189048819448</v>
      </c>
      <c r="M1113">
        <f t="shared" si="35"/>
        <v>10029727637</v>
      </c>
      <c r="N1113">
        <f ca="1">IF(M1113&lt;&gt;M1112,INDEX(CustInfo!$A$2:$A$1001,RANDBETWEEN(1,1000)),N1112)</f>
        <v>11747</v>
      </c>
      <c r="O1113" t="s">
        <v>1001</v>
      </c>
      <c r="P1113">
        <v>52937247</v>
      </c>
    </row>
    <row r="1114" spans="1:16" x14ac:dyDescent="0.35">
      <c r="A1114">
        <v>93827212407</v>
      </c>
      <c r="C1114" s="2" t="s">
        <v>883</v>
      </c>
      <c r="D1114">
        <v>2</v>
      </c>
      <c r="E1114">
        <v>76891213439</v>
      </c>
      <c r="F1114">
        <f t="shared" ca="1" si="34"/>
        <v>10</v>
      </c>
      <c r="G1114">
        <f ca="1">VLOOKUP(E1114,PurchItem!$A$2:$H$508,8,0)</f>
        <v>927.70201425852463</v>
      </c>
      <c r="H1114">
        <v>0.06</v>
      </c>
      <c r="I1114" t="s">
        <v>244</v>
      </c>
      <c r="J1114" s="5">
        <v>44870.594524409724</v>
      </c>
      <c r="K1114" s="5">
        <v>44872.189048819448</v>
      </c>
      <c r="M1114">
        <f t="shared" si="35"/>
        <v>10029727637</v>
      </c>
      <c r="N1114">
        <f ca="1">IF(M1114&lt;&gt;M1113,INDEX(CustInfo!$A$2:$A$1001,RANDBETWEEN(1,1000)),N1113)</f>
        <v>11747</v>
      </c>
      <c r="O1114" t="s">
        <v>1001</v>
      </c>
      <c r="P1114">
        <v>52937248</v>
      </c>
    </row>
    <row r="1115" spans="1:16" x14ac:dyDescent="0.35">
      <c r="A1115">
        <v>93827212408</v>
      </c>
      <c r="C1115" s="2" t="s">
        <v>883</v>
      </c>
      <c r="D1115">
        <v>1</v>
      </c>
      <c r="E1115">
        <v>76891213282</v>
      </c>
      <c r="F1115">
        <f t="shared" ca="1" si="34"/>
        <v>57</v>
      </c>
      <c r="G1115">
        <f ca="1">VLOOKUP(E1115,PurchItem!$A$2:$H$508,8,0)</f>
        <v>7043.1528369539874</v>
      </c>
      <c r="H1115">
        <v>0.05</v>
      </c>
      <c r="I1115" t="s">
        <v>244</v>
      </c>
      <c r="J1115" s="5">
        <v>45483.594524409724</v>
      </c>
      <c r="K1115" s="5">
        <v>45486.189048819448</v>
      </c>
      <c r="M1115">
        <f t="shared" si="35"/>
        <v>10029727638</v>
      </c>
      <c r="N1115">
        <f ca="1">IF(M1115&lt;&gt;M1114,INDEX(CustInfo!$A$2:$A$1001,RANDBETWEEN(1,1000)),N1114)</f>
        <v>11185</v>
      </c>
      <c r="O1115" t="s">
        <v>1003</v>
      </c>
      <c r="P1115">
        <v>52937249</v>
      </c>
    </row>
    <row r="1116" spans="1:16" x14ac:dyDescent="0.35">
      <c r="A1116">
        <v>93827212408</v>
      </c>
      <c r="C1116" s="2" t="s">
        <v>883</v>
      </c>
      <c r="D1116">
        <v>2</v>
      </c>
      <c r="E1116">
        <v>76891213184</v>
      </c>
      <c r="F1116">
        <f t="shared" ca="1" si="34"/>
        <v>72</v>
      </c>
      <c r="G1116">
        <f ca="1">VLOOKUP(E1116,PurchItem!$A$2:$H$508,8,0)</f>
        <v>5805.1190284202921</v>
      </c>
      <c r="H1116">
        <v>0.05</v>
      </c>
      <c r="I1116" t="s">
        <v>244</v>
      </c>
      <c r="J1116" s="5">
        <v>44572.594524409724</v>
      </c>
      <c r="K1116" s="5">
        <v>44573.189048819448</v>
      </c>
      <c r="M1116">
        <f t="shared" si="35"/>
        <v>10029727638</v>
      </c>
      <c r="N1116">
        <f ca="1">IF(M1116&lt;&gt;M1115,INDEX(CustInfo!$A$2:$A$1001,RANDBETWEEN(1,1000)),N1115)</f>
        <v>11185</v>
      </c>
      <c r="O1116" t="s">
        <v>1003</v>
      </c>
      <c r="P1116">
        <v>52937250</v>
      </c>
    </row>
    <row r="1117" spans="1:16" x14ac:dyDescent="0.35">
      <c r="A1117">
        <v>93827212408</v>
      </c>
      <c r="C1117" s="2" t="s">
        <v>883</v>
      </c>
      <c r="D1117">
        <v>3</v>
      </c>
      <c r="E1117">
        <v>76891213525</v>
      </c>
      <c r="F1117">
        <f t="shared" ca="1" si="34"/>
        <v>27</v>
      </c>
      <c r="G1117">
        <f ca="1">VLOOKUP(E1117,PurchItem!$A$2:$H$508,8,0)</f>
        <v>2407.0786181550084</v>
      </c>
      <c r="H1117">
        <v>0.06</v>
      </c>
      <c r="I1117" t="s">
        <v>244</v>
      </c>
      <c r="J1117" s="5">
        <v>44801.594524409724</v>
      </c>
      <c r="K1117" s="5">
        <v>44805.189048819448</v>
      </c>
      <c r="M1117">
        <f t="shared" si="35"/>
        <v>10029727638</v>
      </c>
      <c r="N1117">
        <f ca="1">IF(M1117&lt;&gt;M1116,INDEX(CustInfo!$A$2:$A$1001,RANDBETWEEN(1,1000)),N1116)</f>
        <v>11185</v>
      </c>
      <c r="O1117" t="s">
        <v>1003</v>
      </c>
      <c r="P1117">
        <v>52937251</v>
      </c>
    </row>
    <row r="1118" spans="1:16" x14ac:dyDescent="0.35">
      <c r="A1118">
        <v>93827212409</v>
      </c>
      <c r="C1118" s="2" t="s">
        <v>883</v>
      </c>
      <c r="D1118">
        <v>1</v>
      </c>
      <c r="E1118">
        <v>76891213478</v>
      </c>
      <c r="F1118">
        <f t="shared" ca="1" si="34"/>
        <v>27</v>
      </c>
      <c r="G1118">
        <f ca="1">VLOOKUP(E1118,PurchItem!$A$2:$H$508,8,0)</f>
        <v>7391.2836595204599</v>
      </c>
      <c r="H1118">
        <v>0.04</v>
      </c>
      <c r="I1118" t="s">
        <v>244</v>
      </c>
      <c r="J1118" s="5">
        <v>44747.594524409724</v>
      </c>
      <c r="K1118" s="5">
        <v>44749.189048819448</v>
      </c>
      <c r="M1118">
        <f t="shared" si="35"/>
        <v>10029727639</v>
      </c>
      <c r="N1118">
        <f ca="1">IF(M1118&lt;&gt;M1117,INDEX(CustInfo!$A$2:$A$1001,RANDBETWEEN(1,1000)),N1117)</f>
        <v>11178</v>
      </c>
      <c r="O1118" t="s">
        <v>1001</v>
      </c>
      <c r="P1118">
        <v>52937252</v>
      </c>
    </row>
    <row r="1119" spans="1:16" x14ac:dyDescent="0.35">
      <c r="A1119">
        <v>93827212410</v>
      </c>
      <c r="C1119" s="2" t="s">
        <v>883</v>
      </c>
      <c r="D1119">
        <v>1</v>
      </c>
      <c r="E1119">
        <v>76891213624</v>
      </c>
      <c r="F1119">
        <f t="shared" ca="1" si="34"/>
        <v>86</v>
      </c>
      <c r="G1119">
        <f ca="1">VLOOKUP(E1119,PurchItem!$A$2:$H$508,8,0)</f>
        <v>4975.1506502302827</v>
      </c>
      <c r="H1119">
        <v>0.06</v>
      </c>
      <c r="I1119" t="s">
        <v>244</v>
      </c>
      <c r="J1119" s="5">
        <v>44717.594524409724</v>
      </c>
      <c r="K1119" s="5">
        <v>44719.189048819448</v>
      </c>
      <c r="M1119">
        <f t="shared" si="35"/>
        <v>10029727640</v>
      </c>
      <c r="N1119">
        <f ca="1">IF(M1119&lt;&gt;M1118,INDEX(CustInfo!$A$2:$A$1001,RANDBETWEEN(1,1000)),N1118)</f>
        <v>11490</v>
      </c>
      <c r="O1119" t="s">
        <v>1003</v>
      </c>
      <c r="P1119">
        <v>52937253</v>
      </c>
    </row>
    <row r="1120" spans="1:16" x14ac:dyDescent="0.35">
      <c r="A1120">
        <v>93827212411</v>
      </c>
      <c r="C1120" s="2" t="s">
        <v>883</v>
      </c>
      <c r="D1120">
        <v>1</v>
      </c>
      <c r="E1120">
        <v>76891213353</v>
      </c>
      <c r="F1120">
        <f t="shared" ca="1" si="34"/>
        <v>54</v>
      </c>
      <c r="G1120">
        <f ca="1">VLOOKUP(E1120,PurchItem!$A$2:$H$508,8,0)</f>
        <v>2138.4293662084629</v>
      </c>
      <c r="H1120">
        <v>0.05</v>
      </c>
      <c r="I1120" t="s">
        <v>244</v>
      </c>
      <c r="J1120" s="5">
        <v>45397.594524409724</v>
      </c>
      <c r="K1120" s="5">
        <v>45399.189048819448</v>
      </c>
      <c r="M1120">
        <f t="shared" si="35"/>
        <v>10029727641</v>
      </c>
      <c r="N1120">
        <f ca="1">IF(M1120&lt;&gt;M1119,INDEX(CustInfo!$A$2:$A$1001,RANDBETWEEN(1,1000)),N1119)</f>
        <v>11685</v>
      </c>
      <c r="O1120" t="s">
        <v>1002</v>
      </c>
      <c r="P1120">
        <v>52937254</v>
      </c>
    </row>
    <row r="1121" spans="1:16" x14ac:dyDescent="0.35">
      <c r="A1121">
        <v>93827212411</v>
      </c>
      <c r="C1121" s="2" t="s">
        <v>883</v>
      </c>
      <c r="D1121">
        <v>2</v>
      </c>
      <c r="E1121">
        <v>76891213501</v>
      </c>
      <c r="F1121">
        <f t="shared" ca="1" si="34"/>
        <v>24</v>
      </c>
      <c r="G1121">
        <f ca="1">VLOOKUP(E1121,PurchItem!$A$2:$H$508,8,0)</f>
        <v>6077.9118845049607</v>
      </c>
      <c r="H1121">
        <v>0.06</v>
      </c>
      <c r="I1121" t="s">
        <v>244</v>
      </c>
      <c r="J1121" s="5">
        <v>45307.594524409724</v>
      </c>
      <c r="K1121" s="5">
        <v>45311.189048819448</v>
      </c>
      <c r="M1121">
        <f t="shared" si="35"/>
        <v>10029727641</v>
      </c>
      <c r="N1121">
        <f ca="1">IF(M1121&lt;&gt;M1120,INDEX(CustInfo!$A$2:$A$1001,RANDBETWEEN(1,1000)),N1120)</f>
        <v>11685</v>
      </c>
      <c r="O1121" t="s">
        <v>1002</v>
      </c>
      <c r="P1121">
        <v>52937255</v>
      </c>
    </row>
    <row r="1122" spans="1:16" x14ac:dyDescent="0.35">
      <c r="A1122">
        <v>93827212411</v>
      </c>
      <c r="C1122" s="2" t="s">
        <v>883</v>
      </c>
      <c r="D1122">
        <v>3</v>
      </c>
      <c r="E1122">
        <v>76891213180</v>
      </c>
      <c r="F1122">
        <f t="shared" ca="1" si="34"/>
        <v>38</v>
      </c>
      <c r="G1122">
        <f ca="1">VLOOKUP(E1122,PurchItem!$A$2:$H$508,8,0)</f>
        <v>3521.2371052414392</v>
      </c>
      <c r="H1122">
        <v>0.06</v>
      </c>
      <c r="I1122" t="s">
        <v>244</v>
      </c>
      <c r="J1122" s="5">
        <v>45305.594524409724</v>
      </c>
      <c r="K1122" s="5">
        <v>45309.189048819448</v>
      </c>
      <c r="M1122">
        <f t="shared" si="35"/>
        <v>10029727641</v>
      </c>
      <c r="N1122">
        <f ca="1">IF(M1122&lt;&gt;M1121,INDEX(CustInfo!$A$2:$A$1001,RANDBETWEEN(1,1000)),N1121)</f>
        <v>11685</v>
      </c>
      <c r="O1122" t="s">
        <v>1002</v>
      </c>
      <c r="P1122">
        <v>52937256</v>
      </c>
    </row>
    <row r="1123" spans="1:16" x14ac:dyDescent="0.35">
      <c r="A1123">
        <v>93827212412</v>
      </c>
      <c r="C1123" s="2" t="s">
        <v>883</v>
      </c>
      <c r="D1123">
        <v>1</v>
      </c>
      <c r="E1123">
        <v>76891213200</v>
      </c>
      <c r="F1123">
        <f t="shared" ca="1" si="34"/>
        <v>95</v>
      </c>
      <c r="G1123">
        <f ca="1">VLOOKUP(E1123,PurchItem!$A$2:$H$508,8,0)</f>
        <v>6550.2153182368647</v>
      </c>
      <c r="H1123">
        <v>0.05</v>
      </c>
      <c r="I1123" t="s">
        <v>244</v>
      </c>
      <c r="J1123" s="5">
        <v>45132.594524409724</v>
      </c>
      <c r="K1123" s="5">
        <v>45134.189048819448</v>
      </c>
      <c r="M1123">
        <f t="shared" si="35"/>
        <v>10029727642</v>
      </c>
      <c r="N1123">
        <f ca="1">IF(M1123&lt;&gt;M1122,INDEX(CustInfo!$A$2:$A$1001,RANDBETWEEN(1,1000)),N1122)</f>
        <v>11858</v>
      </c>
      <c r="O1123" t="s">
        <v>1003</v>
      </c>
      <c r="P1123">
        <v>52937257</v>
      </c>
    </row>
    <row r="1124" spans="1:16" x14ac:dyDescent="0.35">
      <c r="A1124">
        <v>93827212413</v>
      </c>
      <c r="C1124" s="2" t="s">
        <v>883</v>
      </c>
      <c r="D1124">
        <v>1</v>
      </c>
      <c r="E1124">
        <v>76891213312</v>
      </c>
      <c r="F1124">
        <f t="shared" ca="1" si="34"/>
        <v>74</v>
      </c>
      <c r="G1124">
        <f ca="1">VLOOKUP(E1124,PurchItem!$A$2:$H$508,8,0)</f>
        <v>4852.9147599245198</v>
      </c>
      <c r="H1124">
        <v>0.04</v>
      </c>
      <c r="I1124" t="s">
        <v>244</v>
      </c>
      <c r="J1124" s="5">
        <v>45428.594524409724</v>
      </c>
      <c r="K1124" s="5">
        <v>45431.189048819448</v>
      </c>
      <c r="M1124">
        <f t="shared" si="35"/>
        <v>10029727643</v>
      </c>
      <c r="N1124">
        <f ca="1">IF(M1124&lt;&gt;M1123,INDEX(CustInfo!$A$2:$A$1001,RANDBETWEEN(1,1000)),N1123)</f>
        <v>11131</v>
      </c>
      <c r="O1124" t="s">
        <v>1002</v>
      </c>
      <c r="P1124">
        <v>52937258</v>
      </c>
    </row>
    <row r="1125" spans="1:16" x14ac:dyDescent="0.35">
      <c r="A1125">
        <v>93827212413</v>
      </c>
      <c r="C1125" s="2" t="s">
        <v>883</v>
      </c>
      <c r="D1125">
        <v>2</v>
      </c>
      <c r="E1125">
        <v>76891213219</v>
      </c>
      <c r="F1125">
        <f t="shared" ca="1" si="34"/>
        <v>81</v>
      </c>
      <c r="G1125">
        <f ca="1">VLOOKUP(E1125,PurchItem!$A$2:$H$508,8,0)</f>
        <v>660.79398870229625</v>
      </c>
      <c r="H1125">
        <v>0.04</v>
      </c>
      <c r="I1125" t="s">
        <v>244</v>
      </c>
      <c r="J1125" s="5">
        <v>44831.594524409724</v>
      </c>
      <c r="K1125" s="5">
        <v>44833.189048819448</v>
      </c>
      <c r="M1125">
        <f t="shared" si="35"/>
        <v>10029727643</v>
      </c>
      <c r="N1125">
        <f ca="1">IF(M1125&lt;&gt;M1124,INDEX(CustInfo!$A$2:$A$1001,RANDBETWEEN(1,1000)),N1124)</f>
        <v>11131</v>
      </c>
      <c r="O1125" t="s">
        <v>1002</v>
      </c>
      <c r="P1125">
        <v>52937259</v>
      </c>
    </row>
    <row r="1126" spans="1:16" x14ac:dyDescent="0.35">
      <c r="A1126">
        <v>93827212413</v>
      </c>
      <c r="C1126" s="2" t="s">
        <v>883</v>
      </c>
      <c r="D1126">
        <v>3</v>
      </c>
      <c r="E1126">
        <v>76891213249</v>
      </c>
      <c r="F1126">
        <f t="shared" ca="1" si="34"/>
        <v>27</v>
      </c>
      <c r="G1126">
        <f ca="1">VLOOKUP(E1126,PurchItem!$A$2:$H$508,8,0)</f>
        <v>8086.2832587876792</v>
      </c>
      <c r="H1126">
        <v>0.06</v>
      </c>
      <c r="I1126" t="s">
        <v>244</v>
      </c>
      <c r="J1126" s="5">
        <v>44859.594524409724</v>
      </c>
      <c r="K1126" s="5">
        <v>44862.189048819448</v>
      </c>
      <c r="M1126">
        <f t="shared" si="35"/>
        <v>10029727643</v>
      </c>
      <c r="N1126">
        <f ca="1">IF(M1126&lt;&gt;M1125,INDEX(CustInfo!$A$2:$A$1001,RANDBETWEEN(1,1000)),N1125)</f>
        <v>11131</v>
      </c>
      <c r="O1126" t="s">
        <v>1002</v>
      </c>
      <c r="P1126">
        <v>52937260</v>
      </c>
    </row>
    <row r="1127" spans="1:16" x14ac:dyDescent="0.35">
      <c r="A1127">
        <v>93827212414</v>
      </c>
      <c r="C1127" s="2" t="s">
        <v>883</v>
      </c>
      <c r="D1127">
        <v>1</v>
      </c>
      <c r="E1127">
        <v>76891213627</v>
      </c>
      <c r="F1127">
        <f t="shared" ca="1" si="34"/>
        <v>97</v>
      </c>
      <c r="G1127">
        <f ca="1">VLOOKUP(E1127,PurchItem!$A$2:$H$508,8,0)</f>
        <v>7533.0368434425118</v>
      </c>
      <c r="H1127">
        <v>0.06</v>
      </c>
      <c r="I1127" t="s">
        <v>244</v>
      </c>
      <c r="J1127" s="5">
        <v>45579.594524409724</v>
      </c>
      <c r="K1127" s="5">
        <v>45581.189048819448</v>
      </c>
      <c r="M1127">
        <f t="shared" si="35"/>
        <v>10029727644</v>
      </c>
      <c r="N1127">
        <f ca="1">IF(M1127&lt;&gt;M1126,INDEX(CustInfo!$A$2:$A$1001,RANDBETWEEN(1,1000)),N1126)</f>
        <v>11975</v>
      </c>
      <c r="O1127" t="s">
        <v>1001</v>
      </c>
      <c r="P1127">
        <v>52937261</v>
      </c>
    </row>
    <row r="1128" spans="1:16" x14ac:dyDescent="0.35">
      <c r="A1128">
        <v>93827212414</v>
      </c>
      <c r="C1128" s="2" t="s">
        <v>883</v>
      </c>
      <c r="D1128">
        <v>2</v>
      </c>
      <c r="E1128">
        <v>76891213337</v>
      </c>
      <c r="F1128">
        <f t="shared" ca="1" si="34"/>
        <v>94</v>
      </c>
      <c r="G1128">
        <f ca="1">VLOOKUP(E1128,PurchItem!$A$2:$H$508,8,0)</f>
        <v>9545.3934858717184</v>
      </c>
      <c r="H1128">
        <v>0.06</v>
      </c>
      <c r="I1128" t="s">
        <v>244</v>
      </c>
      <c r="J1128" s="5">
        <v>45572.594524409724</v>
      </c>
      <c r="K1128" s="5">
        <v>45576.189048819448</v>
      </c>
      <c r="M1128">
        <f t="shared" si="35"/>
        <v>10029727644</v>
      </c>
      <c r="N1128">
        <f ca="1">IF(M1128&lt;&gt;M1127,INDEX(CustInfo!$A$2:$A$1001,RANDBETWEEN(1,1000)),N1127)</f>
        <v>11975</v>
      </c>
      <c r="O1128" t="s">
        <v>1001</v>
      </c>
      <c r="P1128">
        <v>52937262</v>
      </c>
    </row>
    <row r="1129" spans="1:16" x14ac:dyDescent="0.35">
      <c r="A1129">
        <v>93827212414</v>
      </c>
      <c r="C1129" s="2" t="s">
        <v>883</v>
      </c>
      <c r="D1129">
        <v>3</v>
      </c>
      <c r="E1129">
        <v>76891213547</v>
      </c>
      <c r="F1129">
        <f t="shared" ca="1" si="34"/>
        <v>23</v>
      </c>
      <c r="G1129">
        <f ca="1">VLOOKUP(E1129,PurchItem!$A$2:$H$508,8,0)</f>
        <v>4233.6833271008645</v>
      </c>
      <c r="H1129">
        <v>0.04</v>
      </c>
      <c r="I1129" t="s">
        <v>244</v>
      </c>
      <c r="J1129" s="5">
        <v>44912.594524409724</v>
      </c>
      <c r="K1129" s="5">
        <v>44913.189048819448</v>
      </c>
      <c r="M1129">
        <f t="shared" si="35"/>
        <v>10029727644</v>
      </c>
      <c r="N1129">
        <f ca="1">IF(M1129&lt;&gt;M1128,INDEX(CustInfo!$A$2:$A$1001,RANDBETWEEN(1,1000)),N1128)</f>
        <v>11975</v>
      </c>
      <c r="O1129" t="s">
        <v>1001</v>
      </c>
      <c r="P1129">
        <v>52937263</v>
      </c>
    </row>
    <row r="1130" spans="1:16" x14ac:dyDescent="0.35">
      <c r="A1130">
        <v>93827212414</v>
      </c>
      <c r="C1130" s="2" t="s">
        <v>883</v>
      </c>
      <c r="D1130">
        <v>4</v>
      </c>
      <c r="E1130">
        <v>76891213431</v>
      </c>
      <c r="F1130">
        <f t="shared" ca="1" si="34"/>
        <v>21</v>
      </c>
      <c r="G1130">
        <f ca="1">VLOOKUP(E1130,PurchItem!$A$2:$H$508,8,0)</f>
        <v>7429.4769713944388</v>
      </c>
      <c r="H1130">
        <v>0.06</v>
      </c>
      <c r="I1130" t="s">
        <v>244</v>
      </c>
      <c r="J1130" s="5">
        <v>44717.594524409724</v>
      </c>
      <c r="K1130" s="5">
        <v>44719.189048819448</v>
      </c>
      <c r="M1130">
        <f t="shared" si="35"/>
        <v>10029727644</v>
      </c>
      <c r="N1130">
        <f ca="1">IF(M1130&lt;&gt;M1129,INDEX(CustInfo!$A$2:$A$1001,RANDBETWEEN(1,1000)),N1129)</f>
        <v>11975</v>
      </c>
      <c r="O1130" t="s">
        <v>1001</v>
      </c>
      <c r="P1130">
        <v>52937264</v>
      </c>
    </row>
    <row r="1131" spans="1:16" x14ac:dyDescent="0.35">
      <c r="A1131">
        <v>93827212415</v>
      </c>
      <c r="C1131" s="2" t="s">
        <v>883</v>
      </c>
      <c r="D1131">
        <v>1</v>
      </c>
      <c r="E1131">
        <v>76891213291</v>
      </c>
      <c r="F1131">
        <f t="shared" ca="1" si="34"/>
        <v>99</v>
      </c>
      <c r="G1131">
        <f ca="1">VLOOKUP(E1131,PurchItem!$A$2:$H$508,8,0)</f>
        <v>8661.3541584480317</v>
      </c>
      <c r="H1131">
        <v>0.05</v>
      </c>
      <c r="I1131" t="s">
        <v>244</v>
      </c>
      <c r="J1131" s="5">
        <v>45150.594524409724</v>
      </c>
      <c r="K1131" s="5">
        <v>45152.189048819448</v>
      </c>
      <c r="M1131">
        <f t="shared" si="35"/>
        <v>10029727645</v>
      </c>
      <c r="N1131">
        <f ca="1">IF(M1131&lt;&gt;M1130,INDEX(CustInfo!$A$2:$A$1001,RANDBETWEEN(1,1000)),N1130)</f>
        <v>11987</v>
      </c>
      <c r="O1131" t="s">
        <v>1003</v>
      </c>
      <c r="P1131">
        <v>52937265</v>
      </c>
    </row>
    <row r="1132" spans="1:16" x14ac:dyDescent="0.35">
      <c r="A1132">
        <v>93827212415</v>
      </c>
      <c r="C1132" s="2" t="s">
        <v>883</v>
      </c>
      <c r="D1132">
        <v>2</v>
      </c>
      <c r="E1132">
        <v>76891213537</v>
      </c>
      <c r="F1132">
        <f t="shared" ca="1" si="34"/>
        <v>27</v>
      </c>
      <c r="G1132">
        <f ca="1">VLOOKUP(E1132,PurchItem!$A$2:$H$508,8,0)</f>
        <v>8926.2162855573406</v>
      </c>
      <c r="H1132">
        <v>0.06</v>
      </c>
      <c r="I1132" t="s">
        <v>244</v>
      </c>
      <c r="J1132" s="5">
        <v>45470.594524409724</v>
      </c>
      <c r="K1132" s="5">
        <v>45473.189048819448</v>
      </c>
      <c r="M1132">
        <f t="shared" si="35"/>
        <v>10029727645</v>
      </c>
      <c r="N1132">
        <f ca="1">IF(M1132&lt;&gt;M1131,INDEX(CustInfo!$A$2:$A$1001,RANDBETWEEN(1,1000)),N1131)</f>
        <v>11987</v>
      </c>
      <c r="O1132" t="s">
        <v>1003</v>
      </c>
      <c r="P1132">
        <v>52937266</v>
      </c>
    </row>
    <row r="1133" spans="1:16" x14ac:dyDescent="0.35">
      <c r="A1133">
        <v>93827212415</v>
      </c>
      <c r="C1133" s="2" t="s">
        <v>883</v>
      </c>
      <c r="D1133">
        <v>3</v>
      </c>
      <c r="E1133">
        <v>76891213440</v>
      </c>
      <c r="F1133">
        <f t="shared" ca="1" si="34"/>
        <v>15</v>
      </c>
      <c r="G1133">
        <f ca="1">VLOOKUP(E1133,PurchItem!$A$2:$H$508,8,0)</f>
        <v>3837.4310153582715</v>
      </c>
      <c r="H1133">
        <v>0.04</v>
      </c>
      <c r="I1133" t="s">
        <v>244</v>
      </c>
      <c r="J1133" s="5">
        <v>45098.594524409724</v>
      </c>
      <c r="K1133" s="5">
        <v>45099.189048819448</v>
      </c>
      <c r="M1133">
        <f t="shared" si="35"/>
        <v>10029727645</v>
      </c>
      <c r="N1133">
        <f ca="1">IF(M1133&lt;&gt;M1132,INDEX(CustInfo!$A$2:$A$1001,RANDBETWEEN(1,1000)),N1132)</f>
        <v>11987</v>
      </c>
      <c r="O1133" t="s">
        <v>1003</v>
      </c>
      <c r="P1133">
        <v>52937267</v>
      </c>
    </row>
    <row r="1134" spans="1:16" x14ac:dyDescent="0.35">
      <c r="A1134">
        <v>93827212415</v>
      </c>
      <c r="C1134" s="2" t="s">
        <v>883</v>
      </c>
      <c r="D1134">
        <v>4</v>
      </c>
      <c r="E1134">
        <v>76891213550</v>
      </c>
      <c r="F1134">
        <f t="shared" ca="1" si="34"/>
        <v>57</v>
      </c>
      <c r="G1134">
        <f ca="1">VLOOKUP(E1134,PurchItem!$A$2:$H$508,8,0)</f>
        <v>8587.4277127599253</v>
      </c>
      <c r="H1134">
        <v>0.04</v>
      </c>
      <c r="I1134" t="s">
        <v>244</v>
      </c>
      <c r="J1134" s="5">
        <v>44589.594524409724</v>
      </c>
      <c r="K1134" s="5">
        <v>44590.189048819448</v>
      </c>
      <c r="M1134">
        <f t="shared" si="35"/>
        <v>10029727645</v>
      </c>
      <c r="N1134">
        <f ca="1">IF(M1134&lt;&gt;M1133,INDEX(CustInfo!$A$2:$A$1001,RANDBETWEEN(1,1000)),N1133)</f>
        <v>11987</v>
      </c>
      <c r="O1134" t="s">
        <v>1003</v>
      </c>
      <c r="P1134">
        <v>52937268</v>
      </c>
    </row>
    <row r="1135" spans="1:16" x14ac:dyDescent="0.35">
      <c r="A1135">
        <v>93827212416</v>
      </c>
      <c r="C1135" s="2" t="s">
        <v>883</v>
      </c>
      <c r="D1135">
        <v>1</v>
      </c>
      <c r="E1135">
        <v>76891213264</v>
      </c>
      <c r="F1135">
        <f t="shared" ca="1" si="34"/>
        <v>31</v>
      </c>
      <c r="G1135">
        <f ca="1">VLOOKUP(E1135,PurchItem!$A$2:$H$508,8,0)</f>
        <v>3913.070746797428</v>
      </c>
      <c r="H1135">
        <v>0.04</v>
      </c>
      <c r="I1135" t="s">
        <v>244</v>
      </c>
      <c r="J1135" s="5">
        <v>45258.594524409724</v>
      </c>
      <c r="K1135" s="5">
        <v>45262.189048819448</v>
      </c>
      <c r="M1135">
        <f t="shared" si="35"/>
        <v>10029727646</v>
      </c>
      <c r="N1135">
        <f ca="1">IF(M1135&lt;&gt;M1134,INDEX(CustInfo!$A$2:$A$1001,RANDBETWEEN(1,1000)),N1134)</f>
        <v>11948</v>
      </c>
      <c r="O1135" t="s">
        <v>1003</v>
      </c>
      <c r="P1135">
        <v>52937269</v>
      </c>
    </row>
    <row r="1136" spans="1:16" x14ac:dyDescent="0.35">
      <c r="A1136">
        <v>93827212416</v>
      </c>
      <c r="C1136" s="2" t="s">
        <v>883</v>
      </c>
      <c r="D1136">
        <v>2</v>
      </c>
      <c r="E1136">
        <v>76891213371</v>
      </c>
      <c r="F1136">
        <f t="shared" ca="1" si="34"/>
        <v>99</v>
      </c>
      <c r="G1136">
        <f ca="1">VLOOKUP(E1136,PurchItem!$A$2:$H$508,8,0)</f>
        <v>2898.9854478241714</v>
      </c>
      <c r="H1136">
        <v>0.06</v>
      </c>
      <c r="I1136" t="s">
        <v>244</v>
      </c>
      <c r="J1136" s="5">
        <v>44592.594524409724</v>
      </c>
      <c r="K1136" s="5">
        <v>44594.189048819448</v>
      </c>
      <c r="M1136">
        <f t="shared" si="35"/>
        <v>10029727646</v>
      </c>
      <c r="N1136">
        <f ca="1">IF(M1136&lt;&gt;M1135,INDEX(CustInfo!$A$2:$A$1001,RANDBETWEEN(1,1000)),N1135)</f>
        <v>11948</v>
      </c>
      <c r="O1136" t="s">
        <v>1003</v>
      </c>
      <c r="P1136">
        <v>52937270</v>
      </c>
    </row>
    <row r="1137" spans="1:16" x14ac:dyDescent="0.35">
      <c r="A1137">
        <v>93827212417</v>
      </c>
      <c r="C1137" s="2" t="s">
        <v>883</v>
      </c>
      <c r="D1137">
        <v>1</v>
      </c>
      <c r="E1137">
        <v>76891213282</v>
      </c>
      <c r="F1137">
        <f t="shared" ca="1" si="34"/>
        <v>92</v>
      </c>
      <c r="G1137">
        <f ca="1">VLOOKUP(E1137,PurchItem!$A$2:$H$508,8,0)</f>
        <v>7043.1528369539874</v>
      </c>
      <c r="H1137">
        <v>0.06</v>
      </c>
      <c r="I1137" t="s">
        <v>244</v>
      </c>
      <c r="J1137" s="5">
        <v>44667.594524409724</v>
      </c>
      <c r="K1137" s="5">
        <v>44668.189048819448</v>
      </c>
      <c r="M1137">
        <f t="shared" si="35"/>
        <v>10029727647</v>
      </c>
      <c r="N1137">
        <f ca="1">IF(M1137&lt;&gt;M1136,INDEX(CustInfo!$A$2:$A$1001,RANDBETWEEN(1,1000)),N1136)</f>
        <v>11404</v>
      </c>
      <c r="O1137" t="s">
        <v>1003</v>
      </c>
      <c r="P1137">
        <v>52937271</v>
      </c>
    </row>
    <row r="1138" spans="1:16" x14ac:dyDescent="0.35">
      <c r="A1138">
        <v>93827212417</v>
      </c>
      <c r="C1138" s="2" t="s">
        <v>883</v>
      </c>
      <c r="D1138">
        <v>2</v>
      </c>
      <c r="E1138">
        <v>76891213300</v>
      </c>
      <c r="F1138">
        <f t="shared" ca="1" si="34"/>
        <v>97</v>
      </c>
      <c r="G1138">
        <f ca="1">VLOOKUP(E1138,PurchItem!$A$2:$H$508,8,0)</f>
        <v>7933.1351105062431</v>
      </c>
      <c r="H1138">
        <v>0.05</v>
      </c>
      <c r="I1138" t="s">
        <v>244</v>
      </c>
      <c r="J1138" s="5">
        <v>44652.594524409724</v>
      </c>
      <c r="K1138" s="5">
        <v>44653.189048819448</v>
      </c>
      <c r="M1138">
        <f t="shared" si="35"/>
        <v>10029727647</v>
      </c>
      <c r="N1138">
        <f ca="1">IF(M1138&lt;&gt;M1137,INDEX(CustInfo!$A$2:$A$1001,RANDBETWEEN(1,1000)),N1137)</f>
        <v>11404</v>
      </c>
      <c r="O1138" t="s">
        <v>1003</v>
      </c>
      <c r="P1138">
        <v>52937272</v>
      </c>
    </row>
    <row r="1139" spans="1:16" x14ac:dyDescent="0.35">
      <c r="A1139">
        <v>93827212417</v>
      </c>
      <c r="C1139" s="2" t="s">
        <v>883</v>
      </c>
      <c r="D1139">
        <v>3</v>
      </c>
      <c r="E1139">
        <v>76891213253</v>
      </c>
      <c r="F1139">
        <f t="shared" ca="1" si="34"/>
        <v>73</v>
      </c>
      <c r="G1139">
        <f ca="1">VLOOKUP(E1139,PurchItem!$A$2:$H$508,8,0)</f>
        <v>2205.8632252448356</v>
      </c>
      <c r="H1139">
        <v>0.06</v>
      </c>
      <c r="I1139" t="s">
        <v>244</v>
      </c>
      <c r="J1139" s="5">
        <v>45293.594524409724</v>
      </c>
      <c r="K1139" s="5">
        <v>45295.189048819448</v>
      </c>
      <c r="M1139">
        <f t="shared" si="35"/>
        <v>10029727647</v>
      </c>
      <c r="N1139">
        <f ca="1">IF(M1139&lt;&gt;M1138,INDEX(CustInfo!$A$2:$A$1001,RANDBETWEEN(1,1000)),N1138)</f>
        <v>11404</v>
      </c>
      <c r="O1139" t="s">
        <v>1003</v>
      </c>
      <c r="P1139">
        <v>52937273</v>
      </c>
    </row>
    <row r="1140" spans="1:16" x14ac:dyDescent="0.35">
      <c r="A1140">
        <v>93827212417</v>
      </c>
      <c r="C1140" s="2" t="s">
        <v>883</v>
      </c>
      <c r="D1140">
        <v>4</v>
      </c>
      <c r="E1140">
        <v>76891213616</v>
      </c>
      <c r="F1140">
        <f t="shared" ca="1" si="34"/>
        <v>34</v>
      </c>
      <c r="G1140">
        <f ca="1">VLOOKUP(E1140,PurchItem!$A$2:$H$508,8,0)</f>
        <v>4776.4116895077213</v>
      </c>
      <c r="H1140">
        <v>0.04</v>
      </c>
      <c r="I1140" t="s">
        <v>244</v>
      </c>
      <c r="J1140" s="5">
        <v>45191.594524409724</v>
      </c>
      <c r="K1140" s="5">
        <v>45192.189048819448</v>
      </c>
      <c r="M1140">
        <f t="shared" si="35"/>
        <v>10029727647</v>
      </c>
      <c r="N1140">
        <f ca="1">IF(M1140&lt;&gt;M1139,INDEX(CustInfo!$A$2:$A$1001,RANDBETWEEN(1,1000)),N1139)</f>
        <v>11404</v>
      </c>
      <c r="O1140" t="s">
        <v>1003</v>
      </c>
      <c r="P1140">
        <v>52937274</v>
      </c>
    </row>
    <row r="1141" spans="1:16" x14ac:dyDescent="0.35">
      <c r="A1141">
        <v>93827212418</v>
      </c>
      <c r="C1141" s="2" t="s">
        <v>883</v>
      </c>
      <c r="D1141">
        <v>1</v>
      </c>
      <c r="E1141">
        <v>76891213615</v>
      </c>
      <c r="F1141">
        <f t="shared" ca="1" si="34"/>
        <v>15</v>
      </c>
      <c r="G1141">
        <f ca="1">VLOOKUP(E1141,PurchItem!$A$2:$H$508,8,0)</f>
        <v>8114.5563501764591</v>
      </c>
      <c r="H1141">
        <v>0.05</v>
      </c>
      <c r="I1141" t="s">
        <v>244</v>
      </c>
      <c r="J1141" s="5">
        <v>44673.594524409724</v>
      </c>
      <c r="K1141" s="5">
        <v>44677.189048819448</v>
      </c>
      <c r="M1141">
        <f t="shared" si="35"/>
        <v>10029727648</v>
      </c>
      <c r="N1141">
        <f ca="1">IF(M1141&lt;&gt;M1140,INDEX(CustInfo!$A$2:$A$1001,RANDBETWEEN(1,1000)),N1140)</f>
        <v>11532</v>
      </c>
      <c r="O1141" t="s">
        <v>1003</v>
      </c>
      <c r="P1141">
        <v>52937275</v>
      </c>
    </row>
    <row r="1142" spans="1:16" x14ac:dyDescent="0.35">
      <c r="A1142">
        <v>93827212418</v>
      </c>
      <c r="C1142" s="2" t="s">
        <v>883</v>
      </c>
      <c r="D1142">
        <v>2</v>
      </c>
      <c r="E1142">
        <v>76891213558</v>
      </c>
      <c r="F1142">
        <f t="shared" ca="1" si="34"/>
        <v>92</v>
      </c>
      <c r="G1142">
        <f ca="1">VLOOKUP(E1142,PurchItem!$A$2:$H$508,8,0)</f>
        <v>2703.1304184049623</v>
      </c>
      <c r="H1142">
        <v>0.06</v>
      </c>
      <c r="I1142" t="s">
        <v>244</v>
      </c>
      <c r="J1142" s="5">
        <v>45351.594524409724</v>
      </c>
      <c r="K1142" s="5">
        <v>45352.189048819448</v>
      </c>
      <c r="M1142">
        <f t="shared" si="35"/>
        <v>10029727648</v>
      </c>
      <c r="N1142">
        <f ca="1">IF(M1142&lt;&gt;M1141,INDEX(CustInfo!$A$2:$A$1001,RANDBETWEEN(1,1000)),N1141)</f>
        <v>11532</v>
      </c>
      <c r="O1142" t="s">
        <v>1003</v>
      </c>
      <c r="P1142">
        <v>52937276</v>
      </c>
    </row>
    <row r="1143" spans="1:16" x14ac:dyDescent="0.35">
      <c r="A1143">
        <v>93827212418</v>
      </c>
      <c r="C1143" s="2" t="s">
        <v>883</v>
      </c>
      <c r="D1143">
        <v>3</v>
      </c>
      <c r="E1143">
        <v>76891213182</v>
      </c>
      <c r="F1143">
        <f t="shared" ca="1" si="34"/>
        <v>36</v>
      </c>
      <c r="G1143">
        <f ca="1">VLOOKUP(E1143,PurchItem!$A$2:$H$508,8,0)</f>
        <v>6993.4676440309404</v>
      </c>
      <c r="H1143">
        <v>0.05</v>
      </c>
      <c r="I1143" t="s">
        <v>244</v>
      </c>
      <c r="J1143" s="5">
        <v>45267.594524409724</v>
      </c>
      <c r="K1143" s="5">
        <v>45268.189048819448</v>
      </c>
      <c r="M1143">
        <f t="shared" si="35"/>
        <v>10029727648</v>
      </c>
      <c r="N1143">
        <f ca="1">IF(M1143&lt;&gt;M1142,INDEX(CustInfo!$A$2:$A$1001,RANDBETWEEN(1,1000)),N1142)</f>
        <v>11532</v>
      </c>
      <c r="O1143" t="s">
        <v>1003</v>
      </c>
      <c r="P1143">
        <v>52937277</v>
      </c>
    </row>
    <row r="1144" spans="1:16" x14ac:dyDescent="0.35">
      <c r="A1144">
        <v>93827212419</v>
      </c>
      <c r="C1144" s="2" t="s">
        <v>883</v>
      </c>
      <c r="D1144">
        <v>1</v>
      </c>
      <c r="E1144">
        <v>76891213516</v>
      </c>
      <c r="F1144">
        <f t="shared" ca="1" si="34"/>
        <v>4</v>
      </c>
      <c r="G1144">
        <f ca="1">VLOOKUP(E1144,PurchItem!$A$2:$H$508,8,0)</f>
        <v>6085.3230799454695</v>
      </c>
      <c r="H1144">
        <v>0.04</v>
      </c>
      <c r="I1144" t="s">
        <v>244</v>
      </c>
      <c r="J1144" s="5">
        <v>45077.594524409724</v>
      </c>
      <c r="K1144" s="5">
        <v>45078.189048819448</v>
      </c>
      <c r="M1144">
        <f t="shared" si="35"/>
        <v>10029727649</v>
      </c>
      <c r="N1144">
        <f ca="1">IF(M1144&lt;&gt;M1143,INDEX(CustInfo!$A$2:$A$1001,RANDBETWEEN(1,1000)),N1143)</f>
        <v>11832</v>
      </c>
      <c r="O1144" t="s">
        <v>1001</v>
      </c>
      <c r="P1144">
        <v>52937278</v>
      </c>
    </row>
    <row r="1145" spans="1:16" x14ac:dyDescent="0.35">
      <c r="A1145">
        <v>93827212420</v>
      </c>
      <c r="C1145" s="2" t="s">
        <v>883</v>
      </c>
      <c r="D1145">
        <v>1</v>
      </c>
      <c r="E1145">
        <v>76891213461</v>
      </c>
      <c r="F1145">
        <f t="shared" ca="1" si="34"/>
        <v>31</v>
      </c>
      <c r="G1145">
        <f ca="1">VLOOKUP(E1145,PurchItem!$A$2:$H$508,8,0)</f>
        <v>9741.5601221964425</v>
      </c>
      <c r="H1145">
        <v>0.06</v>
      </c>
      <c r="I1145" t="s">
        <v>244</v>
      </c>
      <c r="J1145" s="5">
        <v>45367.594524409724</v>
      </c>
      <c r="K1145" s="5">
        <v>45368.189048819448</v>
      </c>
      <c r="M1145">
        <f t="shared" si="35"/>
        <v>10029727650</v>
      </c>
      <c r="N1145">
        <f ca="1">IF(M1145&lt;&gt;M1144,INDEX(CustInfo!$A$2:$A$1001,RANDBETWEEN(1,1000)),N1144)</f>
        <v>11030</v>
      </c>
      <c r="O1145" t="s">
        <v>1002</v>
      </c>
      <c r="P1145">
        <v>52937279</v>
      </c>
    </row>
    <row r="1146" spans="1:16" x14ac:dyDescent="0.35">
      <c r="A1146">
        <v>93827212420</v>
      </c>
      <c r="C1146" s="2" t="s">
        <v>883</v>
      </c>
      <c r="D1146">
        <v>2</v>
      </c>
      <c r="E1146">
        <v>76891213221</v>
      </c>
      <c r="F1146">
        <f t="shared" ca="1" si="34"/>
        <v>18</v>
      </c>
      <c r="G1146">
        <f ca="1">VLOOKUP(E1146,PurchItem!$A$2:$H$508,8,0)</f>
        <v>5240.774053510655</v>
      </c>
      <c r="H1146">
        <v>0.05</v>
      </c>
      <c r="I1146" t="s">
        <v>244</v>
      </c>
      <c r="J1146" s="5">
        <v>45234.594524409724</v>
      </c>
      <c r="K1146" s="5">
        <v>45237.189048819448</v>
      </c>
      <c r="M1146">
        <f t="shared" si="35"/>
        <v>10029727650</v>
      </c>
      <c r="N1146">
        <f ca="1">IF(M1146&lt;&gt;M1145,INDEX(CustInfo!$A$2:$A$1001,RANDBETWEEN(1,1000)),N1145)</f>
        <v>11030</v>
      </c>
      <c r="O1146" t="s">
        <v>1002</v>
      </c>
      <c r="P1146">
        <v>52937280</v>
      </c>
    </row>
    <row r="1147" spans="1:16" x14ac:dyDescent="0.35">
      <c r="A1147">
        <v>93827212420</v>
      </c>
      <c r="C1147" s="2" t="s">
        <v>883</v>
      </c>
      <c r="D1147">
        <v>3</v>
      </c>
      <c r="E1147">
        <v>76891213627</v>
      </c>
      <c r="F1147">
        <f t="shared" ca="1" si="34"/>
        <v>51</v>
      </c>
      <c r="G1147">
        <f ca="1">VLOOKUP(E1147,PurchItem!$A$2:$H$508,8,0)</f>
        <v>7533.0368434425118</v>
      </c>
      <c r="H1147">
        <v>0.06</v>
      </c>
      <c r="I1147" t="s">
        <v>244</v>
      </c>
      <c r="J1147" s="5">
        <v>45225.594524409724</v>
      </c>
      <c r="K1147" s="5">
        <v>45227.189048819448</v>
      </c>
      <c r="M1147">
        <f t="shared" si="35"/>
        <v>10029727650</v>
      </c>
      <c r="N1147">
        <f ca="1">IF(M1147&lt;&gt;M1146,INDEX(CustInfo!$A$2:$A$1001,RANDBETWEEN(1,1000)),N1146)</f>
        <v>11030</v>
      </c>
      <c r="O1147" t="s">
        <v>1002</v>
      </c>
      <c r="P1147">
        <v>52937281</v>
      </c>
    </row>
    <row r="1148" spans="1:16" x14ac:dyDescent="0.35">
      <c r="A1148">
        <v>93827212420</v>
      </c>
      <c r="C1148" s="2" t="s">
        <v>883</v>
      </c>
      <c r="D1148">
        <v>4</v>
      </c>
      <c r="E1148">
        <v>76891213224</v>
      </c>
      <c r="F1148">
        <f t="shared" ca="1" si="34"/>
        <v>83</v>
      </c>
      <c r="G1148">
        <f ca="1">VLOOKUP(E1148,PurchItem!$A$2:$H$508,8,0)</f>
        <v>8420.1187959003801</v>
      </c>
      <c r="H1148">
        <v>0.06</v>
      </c>
      <c r="I1148" t="s">
        <v>244</v>
      </c>
      <c r="J1148" s="5">
        <v>44569.594524409724</v>
      </c>
      <c r="K1148" s="5">
        <v>44570.189048819448</v>
      </c>
      <c r="M1148">
        <f t="shared" si="35"/>
        <v>10029727650</v>
      </c>
      <c r="N1148">
        <f ca="1">IF(M1148&lt;&gt;M1147,INDEX(CustInfo!$A$2:$A$1001,RANDBETWEEN(1,1000)),N1147)</f>
        <v>11030</v>
      </c>
      <c r="O1148" t="s">
        <v>1002</v>
      </c>
      <c r="P1148">
        <v>52937282</v>
      </c>
    </row>
    <row r="1149" spans="1:16" x14ac:dyDescent="0.35">
      <c r="A1149">
        <v>93827212421</v>
      </c>
      <c r="C1149" s="2" t="s">
        <v>883</v>
      </c>
      <c r="D1149">
        <v>1</v>
      </c>
      <c r="E1149">
        <v>76891213451</v>
      </c>
      <c r="F1149">
        <f t="shared" ca="1" si="34"/>
        <v>46</v>
      </c>
      <c r="G1149">
        <f ca="1">VLOOKUP(E1149,PurchItem!$A$2:$H$508,8,0)</f>
        <v>5920.8667622686389</v>
      </c>
      <c r="H1149">
        <v>0.04</v>
      </c>
      <c r="I1149" t="s">
        <v>244</v>
      </c>
      <c r="J1149" s="5">
        <v>45334.594524409724</v>
      </c>
      <c r="K1149" s="5">
        <v>45335.189048819448</v>
      </c>
      <c r="M1149">
        <f t="shared" si="35"/>
        <v>10029727651</v>
      </c>
      <c r="N1149">
        <f ca="1">IF(M1149&lt;&gt;M1148,INDEX(CustInfo!$A$2:$A$1001,RANDBETWEEN(1,1000)),N1148)</f>
        <v>11231</v>
      </c>
      <c r="O1149" t="s">
        <v>1002</v>
      </c>
      <c r="P1149">
        <v>52937283</v>
      </c>
    </row>
    <row r="1150" spans="1:16" x14ac:dyDescent="0.35">
      <c r="A1150">
        <v>93827212421</v>
      </c>
      <c r="C1150" s="2" t="s">
        <v>883</v>
      </c>
      <c r="D1150">
        <v>2</v>
      </c>
      <c r="E1150">
        <v>76891213580</v>
      </c>
      <c r="F1150">
        <f t="shared" ca="1" si="34"/>
        <v>5</v>
      </c>
      <c r="G1150">
        <f ca="1">VLOOKUP(E1150,PurchItem!$A$2:$H$508,8,0)</f>
        <v>5355.6561404349168</v>
      </c>
      <c r="H1150">
        <v>0.05</v>
      </c>
      <c r="I1150" t="s">
        <v>244</v>
      </c>
      <c r="J1150" s="5">
        <v>44631.594524409724</v>
      </c>
      <c r="K1150" s="5">
        <v>44632.189048819448</v>
      </c>
      <c r="M1150">
        <f t="shared" si="35"/>
        <v>10029727651</v>
      </c>
      <c r="N1150">
        <f ca="1">IF(M1150&lt;&gt;M1149,INDEX(CustInfo!$A$2:$A$1001,RANDBETWEEN(1,1000)),N1149)</f>
        <v>11231</v>
      </c>
      <c r="O1150" t="s">
        <v>1002</v>
      </c>
      <c r="P1150">
        <v>52937284</v>
      </c>
    </row>
    <row r="1151" spans="1:16" x14ac:dyDescent="0.35">
      <c r="A1151">
        <v>93827212422</v>
      </c>
      <c r="C1151" s="2" t="s">
        <v>883</v>
      </c>
      <c r="D1151">
        <v>1</v>
      </c>
      <c r="E1151">
        <v>76891213557</v>
      </c>
      <c r="F1151">
        <f t="shared" ca="1" si="34"/>
        <v>69</v>
      </c>
      <c r="G1151">
        <f ca="1">VLOOKUP(E1151,PurchItem!$A$2:$H$508,8,0)</f>
        <v>942.60995441491764</v>
      </c>
      <c r="H1151">
        <v>0.06</v>
      </c>
      <c r="I1151" t="s">
        <v>244</v>
      </c>
      <c r="J1151" s="5">
        <v>45575.594524409724</v>
      </c>
      <c r="K1151" s="5">
        <v>45578.189048819448</v>
      </c>
      <c r="M1151">
        <f t="shared" si="35"/>
        <v>10029727652</v>
      </c>
      <c r="N1151">
        <f ca="1">IF(M1151&lt;&gt;M1150,INDEX(CustInfo!$A$2:$A$1001,RANDBETWEEN(1,1000)),N1150)</f>
        <v>11881</v>
      </c>
      <c r="O1151" t="s">
        <v>1001</v>
      </c>
      <c r="P1151">
        <v>52937285</v>
      </c>
    </row>
    <row r="1152" spans="1:16" x14ac:dyDescent="0.35">
      <c r="A1152">
        <v>93827212422</v>
      </c>
      <c r="C1152" s="2" t="s">
        <v>883</v>
      </c>
      <c r="D1152">
        <v>2</v>
      </c>
      <c r="E1152">
        <v>76891213242</v>
      </c>
      <c r="F1152">
        <f t="shared" ca="1" si="34"/>
        <v>99</v>
      </c>
      <c r="G1152">
        <f ca="1">VLOOKUP(E1152,PurchItem!$A$2:$H$508,8,0)</f>
        <v>4903.8156344587151</v>
      </c>
      <c r="H1152">
        <v>0.05</v>
      </c>
      <c r="I1152" t="s">
        <v>244</v>
      </c>
      <c r="J1152" s="5">
        <v>44984.594524409724</v>
      </c>
      <c r="K1152" s="5">
        <v>44986.189048819448</v>
      </c>
      <c r="M1152">
        <f t="shared" si="35"/>
        <v>10029727652</v>
      </c>
      <c r="N1152">
        <f ca="1">IF(M1152&lt;&gt;M1151,INDEX(CustInfo!$A$2:$A$1001,RANDBETWEEN(1,1000)),N1151)</f>
        <v>11881</v>
      </c>
      <c r="O1152" t="s">
        <v>1001</v>
      </c>
      <c r="P1152">
        <v>52937286</v>
      </c>
    </row>
    <row r="1153" spans="1:16" x14ac:dyDescent="0.35">
      <c r="A1153">
        <v>93827212422</v>
      </c>
      <c r="C1153" s="2" t="s">
        <v>883</v>
      </c>
      <c r="D1153">
        <v>3</v>
      </c>
      <c r="E1153">
        <v>76891213511</v>
      </c>
      <c r="F1153">
        <f t="shared" ca="1" si="34"/>
        <v>79</v>
      </c>
      <c r="G1153">
        <f ca="1">VLOOKUP(E1153,PurchItem!$A$2:$H$508,8,0)</f>
        <v>6497.3010263499036</v>
      </c>
      <c r="H1153">
        <v>0.05</v>
      </c>
      <c r="I1153" t="s">
        <v>244</v>
      </c>
      <c r="J1153" s="5">
        <v>45056.594524409724</v>
      </c>
      <c r="K1153" s="5">
        <v>45058.189048819448</v>
      </c>
      <c r="M1153">
        <f t="shared" si="35"/>
        <v>10029727652</v>
      </c>
      <c r="N1153">
        <f ca="1">IF(M1153&lt;&gt;M1152,INDEX(CustInfo!$A$2:$A$1001,RANDBETWEEN(1,1000)),N1152)</f>
        <v>11881</v>
      </c>
      <c r="O1153" t="s">
        <v>1001</v>
      </c>
      <c r="P1153">
        <v>52937287</v>
      </c>
    </row>
    <row r="1154" spans="1:16" x14ac:dyDescent="0.35">
      <c r="A1154">
        <v>93827212423</v>
      </c>
      <c r="C1154" s="2" t="s">
        <v>883</v>
      </c>
      <c r="D1154">
        <v>1</v>
      </c>
      <c r="E1154">
        <v>76891213230</v>
      </c>
      <c r="F1154">
        <f t="shared" ca="1" si="34"/>
        <v>93</v>
      </c>
      <c r="G1154">
        <f ca="1">VLOOKUP(E1154,PurchItem!$A$2:$H$508,8,0)</f>
        <v>3755.1895040007321</v>
      </c>
      <c r="H1154">
        <v>0.05</v>
      </c>
      <c r="I1154" t="s">
        <v>244</v>
      </c>
      <c r="J1154" s="5">
        <v>44807.594524409724</v>
      </c>
      <c r="K1154" s="5">
        <v>44808.189048819448</v>
      </c>
      <c r="M1154">
        <f t="shared" si="35"/>
        <v>10029727653</v>
      </c>
      <c r="N1154">
        <f ca="1">IF(M1154&lt;&gt;M1153,INDEX(CustInfo!$A$2:$A$1001,RANDBETWEEN(1,1000)),N1153)</f>
        <v>11434</v>
      </c>
      <c r="O1154" t="s">
        <v>1001</v>
      </c>
      <c r="P1154">
        <v>52937288</v>
      </c>
    </row>
    <row r="1155" spans="1:16" x14ac:dyDescent="0.35">
      <c r="A1155">
        <v>93827212424</v>
      </c>
      <c r="C1155" s="2" t="s">
        <v>883</v>
      </c>
      <c r="D1155">
        <v>1</v>
      </c>
      <c r="E1155">
        <v>76891213633</v>
      </c>
      <c r="F1155">
        <f t="shared" ref="F1155:F1218" ca="1" si="36">RANDBETWEEN(1,100)</f>
        <v>56</v>
      </c>
      <c r="G1155">
        <f ca="1">VLOOKUP(E1155,PurchItem!$A$2:$H$508,8,0)</f>
        <v>4821.8382192090185</v>
      </c>
      <c r="H1155">
        <v>0.04</v>
      </c>
      <c r="I1155" t="s">
        <v>244</v>
      </c>
      <c r="J1155" s="5">
        <v>44624.594524409724</v>
      </c>
      <c r="K1155" s="5">
        <v>44628.189048819448</v>
      </c>
      <c r="M1155">
        <f t="shared" si="35"/>
        <v>10029727654</v>
      </c>
      <c r="N1155">
        <f ca="1">IF(M1155&lt;&gt;M1154,INDEX(CustInfo!$A$2:$A$1001,RANDBETWEEN(1,1000)),N1154)</f>
        <v>11999</v>
      </c>
      <c r="O1155" t="s">
        <v>1002</v>
      </c>
      <c r="P1155">
        <v>52937289</v>
      </c>
    </row>
    <row r="1156" spans="1:16" x14ac:dyDescent="0.35">
      <c r="A1156">
        <v>93827212424</v>
      </c>
      <c r="C1156" s="2" t="s">
        <v>883</v>
      </c>
      <c r="D1156">
        <v>2</v>
      </c>
      <c r="E1156">
        <v>76891213405</v>
      </c>
      <c r="F1156">
        <f t="shared" ca="1" si="36"/>
        <v>7</v>
      </c>
      <c r="G1156">
        <f ca="1">VLOOKUP(E1156,PurchItem!$A$2:$H$508,8,0)</f>
        <v>140.45123256001332</v>
      </c>
      <c r="H1156">
        <v>0.06</v>
      </c>
      <c r="I1156" t="s">
        <v>244</v>
      </c>
      <c r="J1156" s="5">
        <v>44562.594524409724</v>
      </c>
      <c r="K1156" s="5">
        <v>44565.189048819448</v>
      </c>
      <c r="M1156">
        <f t="shared" si="35"/>
        <v>10029727654</v>
      </c>
      <c r="N1156">
        <f ca="1">IF(M1156&lt;&gt;M1155,INDEX(CustInfo!$A$2:$A$1001,RANDBETWEEN(1,1000)),N1155)</f>
        <v>11999</v>
      </c>
      <c r="O1156" t="s">
        <v>1002</v>
      </c>
      <c r="P1156">
        <v>52937290</v>
      </c>
    </row>
    <row r="1157" spans="1:16" x14ac:dyDescent="0.35">
      <c r="A1157">
        <v>93827212424</v>
      </c>
      <c r="C1157" s="2" t="s">
        <v>883</v>
      </c>
      <c r="D1157">
        <v>3</v>
      </c>
      <c r="E1157">
        <v>76891213514</v>
      </c>
      <c r="F1157">
        <f t="shared" ca="1" si="36"/>
        <v>3</v>
      </c>
      <c r="G1157">
        <f ca="1">VLOOKUP(E1157,PurchItem!$A$2:$H$508,8,0)</f>
        <v>5315.5344122127744</v>
      </c>
      <c r="H1157">
        <v>0.06</v>
      </c>
      <c r="I1157" t="s">
        <v>244</v>
      </c>
      <c r="J1157" s="5">
        <v>45285.594524409724</v>
      </c>
      <c r="K1157" s="5">
        <v>45289.189048819448</v>
      </c>
      <c r="M1157">
        <f t="shared" ref="M1157:M1220" si="37">IF(A1157&lt;&gt;A1156,M1156+1,M1156)</f>
        <v>10029727654</v>
      </c>
      <c r="N1157">
        <f ca="1">IF(M1157&lt;&gt;M1156,INDEX(CustInfo!$A$2:$A$1001,RANDBETWEEN(1,1000)),N1156)</f>
        <v>11999</v>
      </c>
      <c r="O1157" t="s">
        <v>1002</v>
      </c>
      <c r="P1157">
        <v>52937291</v>
      </c>
    </row>
    <row r="1158" spans="1:16" x14ac:dyDescent="0.35">
      <c r="A1158">
        <v>93827212424</v>
      </c>
      <c r="C1158" s="2" t="s">
        <v>883</v>
      </c>
      <c r="D1158">
        <v>4</v>
      </c>
      <c r="E1158">
        <v>76891213577</v>
      </c>
      <c r="F1158">
        <f t="shared" ca="1" si="36"/>
        <v>72</v>
      </c>
      <c r="G1158">
        <f ca="1">VLOOKUP(E1158,PurchItem!$A$2:$H$508,8,0)</f>
        <v>1637.7481636374323</v>
      </c>
      <c r="H1158">
        <v>0.04</v>
      </c>
      <c r="I1158" t="s">
        <v>244</v>
      </c>
      <c r="J1158" s="5">
        <v>44810.594524409724</v>
      </c>
      <c r="K1158" s="5">
        <v>44813.189048819448</v>
      </c>
      <c r="M1158">
        <f t="shared" si="37"/>
        <v>10029727654</v>
      </c>
      <c r="N1158">
        <f ca="1">IF(M1158&lt;&gt;M1157,INDEX(CustInfo!$A$2:$A$1001,RANDBETWEEN(1,1000)),N1157)</f>
        <v>11999</v>
      </c>
      <c r="O1158" t="s">
        <v>1002</v>
      </c>
      <c r="P1158">
        <v>52937292</v>
      </c>
    </row>
    <row r="1159" spans="1:16" x14ac:dyDescent="0.35">
      <c r="A1159">
        <v>93827212425</v>
      </c>
      <c r="C1159" s="2" t="s">
        <v>883</v>
      </c>
      <c r="D1159">
        <v>1</v>
      </c>
      <c r="E1159">
        <v>76891213333</v>
      </c>
      <c r="F1159">
        <f t="shared" ca="1" si="36"/>
        <v>72</v>
      </c>
      <c r="G1159">
        <f ca="1">VLOOKUP(E1159,PurchItem!$A$2:$H$508,8,0)</f>
        <v>8289.6692498362754</v>
      </c>
      <c r="H1159">
        <v>0.04</v>
      </c>
      <c r="I1159" t="s">
        <v>244</v>
      </c>
      <c r="J1159" s="5">
        <v>45538.594524409724</v>
      </c>
      <c r="K1159" s="5">
        <v>45541.189048819448</v>
      </c>
      <c r="M1159">
        <f t="shared" si="37"/>
        <v>10029727655</v>
      </c>
      <c r="N1159">
        <f ca="1">IF(M1159&lt;&gt;M1158,INDEX(CustInfo!$A$2:$A$1001,RANDBETWEEN(1,1000)),N1158)</f>
        <v>11992</v>
      </c>
      <c r="O1159" t="s">
        <v>1003</v>
      </c>
      <c r="P1159">
        <v>52937293</v>
      </c>
    </row>
    <row r="1160" spans="1:16" x14ac:dyDescent="0.35">
      <c r="A1160">
        <v>93827212425</v>
      </c>
      <c r="C1160" s="2" t="s">
        <v>883</v>
      </c>
      <c r="D1160">
        <v>2</v>
      </c>
      <c r="E1160">
        <v>76891213305</v>
      </c>
      <c r="F1160">
        <f t="shared" ca="1" si="36"/>
        <v>99</v>
      </c>
      <c r="G1160">
        <f ca="1">VLOOKUP(E1160,PurchItem!$A$2:$H$508,8,0)</f>
        <v>7454.0016740690317</v>
      </c>
      <c r="H1160">
        <v>0.05</v>
      </c>
      <c r="I1160" t="s">
        <v>244</v>
      </c>
      <c r="J1160" s="5">
        <v>44634.594524409724</v>
      </c>
      <c r="K1160" s="5">
        <v>44638.189048819448</v>
      </c>
      <c r="M1160">
        <f t="shared" si="37"/>
        <v>10029727655</v>
      </c>
      <c r="N1160">
        <f ca="1">IF(M1160&lt;&gt;M1159,INDEX(CustInfo!$A$2:$A$1001,RANDBETWEEN(1,1000)),N1159)</f>
        <v>11992</v>
      </c>
      <c r="O1160" t="s">
        <v>1003</v>
      </c>
      <c r="P1160">
        <v>52937294</v>
      </c>
    </row>
    <row r="1161" spans="1:16" x14ac:dyDescent="0.35">
      <c r="A1161">
        <v>93827212425</v>
      </c>
      <c r="C1161" s="2" t="s">
        <v>883</v>
      </c>
      <c r="D1161">
        <v>3</v>
      </c>
      <c r="E1161">
        <v>76891213637</v>
      </c>
      <c r="F1161">
        <f t="shared" ca="1" si="36"/>
        <v>21</v>
      </c>
      <c r="G1161">
        <f ca="1">VLOOKUP(E1161,PurchItem!$A$2:$H$508,8,0)</f>
        <v>5862.4718067063704</v>
      </c>
      <c r="H1161">
        <v>0.04</v>
      </c>
      <c r="I1161" t="s">
        <v>244</v>
      </c>
      <c r="J1161" s="5">
        <v>44593.594524409724</v>
      </c>
      <c r="K1161" s="5">
        <v>44594.189048819448</v>
      </c>
      <c r="M1161">
        <f t="shared" si="37"/>
        <v>10029727655</v>
      </c>
      <c r="N1161">
        <f ca="1">IF(M1161&lt;&gt;M1160,INDEX(CustInfo!$A$2:$A$1001,RANDBETWEEN(1,1000)),N1160)</f>
        <v>11992</v>
      </c>
      <c r="O1161" t="s">
        <v>1003</v>
      </c>
      <c r="P1161">
        <v>52937295</v>
      </c>
    </row>
    <row r="1162" spans="1:16" x14ac:dyDescent="0.35">
      <c r="A1162">
        <v>93827212426</v>
      </c>
      <c r="C1162" s="2" t="s">
        <v>883</v>
      </c>
      <c r="D1162">
        <v>1</v>
      </c>
      <c r="E1162">
        <v>76891213297</v>
      </c>
      <c r="F1162">
        <f t="shared" ca="1" si="36"/>
        <v>20</v>
      </c>
      <c r="G1162">
        <f ca="1">VLOOKUP(E1162,PurchItem!$A$2:$H$508,8,0)</f>
        <v>1230.6506719710349</v>
      </c>
      <c r="H1162">
        <v>0.06</v>
      </c>
      <c r="I1162" t="s">
        <v>244</v>
      </c>
      <c r="J1162" s="5">
        <v>44619.594524409724</v>
      </c>
      <c r="K1162" s="5">
        <v>44621.189048819448</v>
      </c>
      <c r="M1162">
        <f t="shared" si="37"/>
        <v>10029727656</v>
      </c>
      <c r="N1162">
        <f ca="1">IF(M1162&lt;&gt;M1161,INDEX(CustInfo!$A$2:$A$1001,RANDBETWEEN(1,1000)),N1161)</f>
        <v>11591</v>
      </c>
      <c r="O1162" t="s">
        <v>1002</v>
      </c>
      <c r="P1162">
        <v>52937296</v>
      </c>
    </row>
    <row r="1163" spans="1:16" x14ac:dyDescent="0.35">
      <c r="A1163">
        <v>93827212426</v>
      </c>
      <c r="C1163" s="2" t="s">
        <v>883</v>
      </c>
      <c r="D1163">
        <v>2</v>
      </c>
      <c r="E1163">
        <v>76891213470</v>
      </c>
      <c r="F1163">
        <f t="shared" ca="1" si="36"/>
        <v>78</v>
      </c>
      <c r="G1163">
        <f ca="1">VLOOKUP(E1163,PurchItem!$A$2:$H$508,8,0)</f>
        <v>2084.2612195739525</v>
      </c>
      <c r="H1163">
        <v>0.05</v>
      </c>
      <c r="I1163" t="s">
        <v>244</v>
      </c>
      <c r="J1163" s="5">
        <v>45030.594524409724</v>
      </c>
      <c r="K1163" s="5">
        <v>45034.189048819448</v>
      </c>
      <c r="M1163">
        <f t="shared" si="37"/>
        <v>10029727656</v>
      </c>
      <c r="N1163">
        <f ca="1">IF(M1163&lt;&gt;M1162,INDEX(CustInfo!$A$2:$A$1001,RANDBETWEEN(1,1000)),N1162)</f>
        <v>11591</v>
      </c>
      <c r="O1163" t="s">
        <v>1002</v>
      </c>
      <c r="P1163">
        <v>52937297</v>
      </c>
    </row>
    <row r="1164" spans="1:16" x14ac:dyDescent="0.35">
      <c r="A1164">
        <v>93827212427</v>
      </c>
      <c r="C1164" s="2" t="s">
        <v>883</v>
      </c>
      <c r="D1164">
        <v>1</v>
      </c>
      <c r="E1164">
        <v>76891213295</v>
      </c>
      <c r="F1164">
        <f t="shared" ca="1" si="36"/>
        <v>4</v>
      </c>
      <c r="G1164">
        <f ca="1">VLOOKUP(E1164,PurchItem!$A$2:$H$508,8,0)</f>
        <v>8376.1725815416812</v>
      </c>
      <c r="H1164">
        <v>0.05</v>
      </c>
      <c r="I1164" t="s">
        <v>244</v>
      </c>
      <c r="J1164" s="5">
        <v>45115.594524409724</v>
      </c>
      <c r="K1164" s="5">
        <v>45118.189048819448</v>
      </c>
      <c r="M1164">
        <f t="shared" si="37"/>
        <v>10029727657</v>
      </c>
      <c r="N1164">
        <f ca="1">IF(M1164&lt;&gt;M1163,INDEX(CustInfo!$A$2:$A$1001,RANDBETWEEN(1,1000)),N1163)</f>
        <v>11841</v>
      </c>
      <c r="O1164" t="s">
        <v>1003</v>
      </c>
      <c r="P1164">
        <v>52937298</v>
      </c>
    </row>
    <row r="1165" spans="1:16" x14ac:dyDescent="0.35">
      <c r="A1165">
        <v>93827212428</v>
      </c>
      <c r="C1165" s="2" t="s">
        <v>883</v>
      </c>
      <c r="D1165">
        <v>1</v>
      </c>
      <c r="E1165">
        <v>76891213365</v>
      </c>
      <c r="F1165">
        <f t="shared" ca="1" si="36"/>
        <v>54</v>
      </c>
      <c r="G1165">
        <f ca="1">VLOOKUP(E1165,PurchItem!$A$2:$H$508,8,0)</f>
        <v>3629.0219178499342</v>
      </c>
      <c r="H1165">
        <v>0.04</v>
      </c>
      <c r="I1165" t="s">
        <v>244</v>
      </c>
      <c r="J1165" s="5">
        <v>44870.594524409724</v>
      </c>
      <c r="K1165" s="5">
        <v>44873.189048819448</v>
      </c>
      <c r="M1165">
        <f t="shared" si="37"/>
        <v>10029727658</v>
      </c>
      <c r="N1165">
        <f ca="1">IF(M1165&lt;&gt;M1164,INDEX(CustInfo!$A$2:$A$1001,RANDBETWEEN(1,1000)),N1164)</f>
        <v>11145</v>
      </c>
      <c r="O1165" t="s">
        <v>1001</v>
      </c>
      <c r="P1165">
        <v>52937299</v>
      </c>
    </row>
    <row r="1166" spans="1:16" x14ac:dyDescent="0.35">
      <c r="A1166">
        <v>93827212428</v>
      </c>
      <c r="C1166" s="2" t="s">
        <v>883</v>
      </c>
      <c r="D1166">
        <v>2</v>
      </c>
      <c r="E1166">
        <v>76891213337</v>
      </c>
      <c r="F1166">
        <f t="shared" ca="1" si="36"/>
        <v>72</v>
      </c>
      <c r="G1166">
        <f ca="1">VLOOKUP(E1166,PurchItem!$A$2:$H$508,8,0)</f>
        <v>9545.3934858717184</v>
      </c>
      <c r="H1166">
        <v>0.05</v>
      </c>
      <c r="I1166" t="s">
        <v>244</v>
      </c>
      <c r="J1166" s="5">
        <v>44601.594524409724</v>
      </c>
      <c r="K1166" s="5">
        <v>44602.189048819448</v>
      </c>
      <c r="M1166">
        <f t="shared" si="37"/>
        <v>10029727658</v>
      </c>
      <c r="N1166">
        <f ca="1">IF(M1166&lt;&gt;M1165,INDEX(CustInfo!$A$2:$A$1001,RANDBETWEEN(1,1000)),N1165)</f>
        <v>11145</v>
      </c>
      <c r="O1166" t="s">
        <v>1001</v>
      </c>
      <c r="P1166">
        <v>52937300</v>
      </c>
    </row>
    <row r="1167" spans="1:16" x14ac:dyDescent="0.35">
      <c r="A1167">
        <v>93827212429</v>
      </c>
      <c r="C1167" s="2" t="s">
        <v>883</v>
      </c>
      <c r="D1167">
        <v>1</v>
      </c>
      <c r="E1167">
        <v>76891213613</v>
      </c>
      <c r="F1167">
        <f t="shared" ca="1" si="36"/>
        <v>42</v>
      </c>
      <c r="G1167">
        <f ca="1">VLOOKUP(E1167,PurchItem!$A$2:$H$508,8,0)</f>
        <v>6056.8631163138916</v>
      </c>
      <c r="H1167">
        <v>0.06</v>
      </c>
      <c r="I1167" t="s">
        <v>244</v>
      </c>
      <c r="J1167" s="5">
        <v>44933.594524409724</v>
      </c>
      <c r="K1167" s="5">
        <v>44935.189048819448</v>
      </c>
      <c r="M1167">
        <f t="shared" si="37"/>
        <v>10029727659</v>
      </c>
      <c r="N1167">
        <f ca="1">IF(M1167&lt;&gt;M1166,INDEX(CustInfo!$A$2:$A$1001,RANDBETWEEN(1,1000)),N1166)</f>
        <v>11136</v>
      </c>
      <c r="O1167" t="s">
        <v>1003</v>
      </c>
      <c r="P1167">
        <v>52937301</v>
      </c>
    </row>
    <row r="1168" spans="1:16" x14ac:dyDescent="0.35">
      <c r="A1168">
        <v>93827212429</v>
      </c>
      <c r="C1168" s="2" t="s">
        <v>883</v>
      </c>
      <c r="D1168">
        <v>2</v>
      </c>
      <c r="E1168">
        <v>76891213283</v>
      </c>
      <c r="F1168">
        <f t="shared" ca="1" si="36"/>
        <v>76</v>
      </c>
      <c r="G1168">
        <f ca="1">VLOOKUP(E1168,PurchItem!$A$2:$H$508,8,0)</f>
        <v>871.93450976358122</v>
      </c>
      <c r="H1168">
        <v>0.06</v>
      </c>
      <c r="I1168" t="s">
        <v>244</v>
      </c>
      <c r="J1168" s="5">
        <v>45524.594524409724</v>
      </c>
      <c r="K1168" s="5">
        <v>45525.189048819448</v>
      </c>
      <c r="M1168">
        <f t="shared" si="37"/>
        <v>10029727659</v>
      </c>
      <c r="N1168">
        <f ca="1">IF(M1168&lt;&gt;M1167,INDEX(CustInfo!$A$2:$A$1001,RANDBETWEEN(1,1000)),N1167)</f>
        <v>11136</v>
      </c>
      <c r="O1168" t="s">
        <v>1003</v>
      </c>
      <c r="P1168">
        <v>52937302</v>
      </c>
    </row>
    <row r="1169" spans="1:16" x14ac:dyDescent="0.35">
      <c r="A1169">
        <v>93827212429</v>
      </c>
      <c r="C1169" s="2" t="s">
        <v>883</v>
      </c>
      <c r="D1169">
        <v>3</v>
      </c>
      <c r="E1169">
        <v>76891213248</v>
      </c>
      <c r="F1169">
        <f t="shared" ca="1" si="36"/>
        <v>56</v>
      </c>
      <c r="G1169">
        <f ca="1">VLOOKUP(E1169,PurchItem!$A$2:$H$508,8,0)</f>
        <v>7373.7414077764288</v>
      </c>
      <c r="H1169">
        <v>0.05</v>
      </c>
      <c r="I1169" t="s">
        <v>244</v>
      </c>
      <c r="J1169" s="5">
        <v>45282.594524409724</v>
      </c>
      <c r="K1169" s="5">
        <v>45283.189048819448</v>
      </c>
      <c r="M1169">
        <f t="shared" si="37"/>
        <v>10029727659</v>
      </c>
      <c r="N1169">
        <f ca="1">IF(M1169&lt;&gt;M1168,INDEX(CustInfo!$A$2:$A$1001,RANDBETWEEN(1,1000)),N1168)</f>
        <v>11136</v>
      </c>
      <c r="O1169" t="s">
        <v>1003</v>
      </c>
      <c r="P1169">
        <v>52937303</v>
      </c>
    </row>
    <row r="1170" spans="1:16" x14ac:dyDescent="0.35">
      <c r="A1170">
        <v>93827212429</v>
      </c>
      <c r="C1170" s="2" t="s">
        <v>883</v>
      </c>
      <c r="D1170">
        <v>4</v>
      </c>
      <c r="E1170">
        <v>76891213228</v>
      </c>
      <c r="F1170">
        <f t="shared" ca="1" si="36"/>
        <v>91</v>
      </c>
      <c r="G1170">
        <f ca="1">VLOOKUP(E1170,PurchItem!$A$2:$H$508,8,0)</f>
        <v>2204.5147768831243</v>
      </c>
      <c r="H1170">
        <v>0.06</v>
      </c>
      <c r="I1170" t="s">
        <v>244</v>
      </c>
      <c r="J1170" s="5">
        <v>44715.594524409724</v>
      </c>
      <c r="K1170" s="5">
        <v>44719.189048819448</v>
      </c>
      <c r="M1170">
        <f t="shared" si="37"/>
        <v>10029727659</v>
      </c>
      <c r="N1170">
        <f ca="1">IF(M1170&lt;&gt;M1169,INDEX(CustInfo!$A$2:$A$1001,RANDBETWEEN(1,1000)),N1169)</f>
        <v>11136</v>
      </c>
      <c r="O1170" t="s">
        <v>1003</v>
      </c>
      <c r="P1170">
        <v>52937304</v>
      </c>
    </row>
    <row r="1171" spans="1:16" x14ac:dyDescent="0.35">
      <c r="A1171">
        <v>93827212430</v>
      </c>
      <c r="C1171" s="2" t="s">
        <v>883</v>
      </c>
      <c r="D1171">
        <v>1</v>
      </c>
      <c r="E1171">
        <v>76891213401</v>
      </c>
      <c r="F1171">
        <f t="shared" ca="1" si="36"/>
        <v>73</v>
      </c>
      <c r="G1171">
        <f ca="1">VLOOKUP(E1171,PurchItem!$A$2:$H$508,8,0)</f>
        <v>5832.6749805311892</v>
      </c>
      <c r="H1171">
        <v>0.05</v>
      </c>
      <c r="I1171" t="s">
        <v>244</v>
      </c>
      <c r="J1171" s="5">
        <v>44983.594524409724</v>
      </c>
      <c r="K1171" s="5">
        <v>44986.189048819448</v>
      </c>
      <c r="M1171">
        <f t="shared" si="37"/>
        <v>10029727660</v>
      </c>
      <c r="N1171">
        <f ca="1">IF(M1171&lt;&gt;M1170,INDEX(CustInfo!$A$2:$A$1001,RANDBETWEEN(1,1000)),N1170)</f>
        <v>11928</v>
      </c>
      <c r="O1171" t="s">
        <v>1003</v>
      </c>
      <c r="P1171">
        <v>52937305</v>
      </c>
    </row>
    <row r="1172" spans="1:16" x14ac:dyDescent="0.35">
      <c r="A1172">
        <v>93827212430</v>
      </c>
      <c r="C1172" s="2" t="s">
        <v>883</v>
      </c>
      <c r="D1172">
        <v>2</v>
      </c>
      <c r="E1172">
        <v>76891213364</v>
      </c>
      <c r="F1172">
        <f t="shared" ca="1" si="36"/>
        <v>88</v>
      </c>
      <c r="G1172">
        <f ca="1">VLOOKUP(E1172,PurchItem!$A$2:$H$508,8,0)</f>
        <v>7469.4625439319479</v>
      </c>
      <c r="H1172">
        <v>0.04</v>
      </c>
      <c r="I1172" t="s">
        <v>244</v>
      </c>
      <c r="J1172" s="5">
        <v>45193.594524409724</v>
      </c>
      <c r="K1172" s="5">
        <v>45195.189048819448</v>
      </c>
      <c r="M1172">
        <f t="shared" si="37"/>
        <v>10029727660</v>
      </c>
      <c r="N1172">
        <f ca="1">IF(M1172&lt;&gt;M1171,INDEX(CustInfo!$A$2:$A$1001,RANDBETWEEN(1,1000)),N1171)</f>
        <v>11928</v>
      </c>
      <c r="O1172" t="s">
        <v>1003</v>
      </c>
      <c r="P1172">
        <v>52937306</v>
      </c>
    </row>
    <row r="1173" spans="1:16" x14ac:dyDescent="0.35">
      <c r="A1173">
        <v>93827212430</v>
      </c>
      <c r="C1173" s="2" t="s">
        <v>883</v>
      </c>
      <c r="D1173">
        <v>3</v>
      </c>
      <c r="E1173">
        <v>76891213539</v>
      </c>
      <c r="F1173">
        <f t="shared" ca="1" si="36"/>
        <v>90</v>
      </c>
      <c r="G1173">
        <f ca="1">VLOOKUP(E1173,PurchItem!$A$2:$H$508,8,0)</f>
        <v>2018.0212140707813</v>
      </c>
      <c r="H1173">
        <v>0.04</v>
      </c>
      <c r="I1173" t="s">
        <v>244</v>
      </c>
      <c r="J1173" s="5">
        <v>44916.594524409724</v>
      </c>
      <c r="K1173" s="5">
        <v>44920.189048819448</v>
      </c>
      <c r="M1173">
        <f t="shared" si="37"/>
        <v>10029727660</v>
      </c>
      <c r="N1173">
        <f ca="1">IF(M1173&lt;&gt;M1172,INDEX(CustInfo!$A$2:$A$1001,RANDBETWEEN(1,1000)),N1172)</f>
        <v>11928</v>
      </c>
      <c r="O1173" t="s">
        <v>1003</v>
      </c>
      <c r="P1173">
        <v>52937307</v>
      </c>
    </row>
    <row r="1174" spans="1:16" x14ac:dyDescent="0.35">
      <c r="A1174">
        <v>93827212430</v>
      </c>
      <c r="C1174" s="2" t="s">
        <v>883</v>
      </c>
      <c r="D1174">
        <v>4</v>
      </c>
      <c r="E1174">
        <v>76891213145</v>
      </c>
      <c r="F1174">
        <f t="shared" ca="1" si="36"/>
        <v>60</v>
      </c>
      <c r="G1174">
        <f ca="1">VLOOKUP(E1174,PurchItem!$A$2:$H$508,8,0)</f>
        <v>9273.3061751805526</v>
      </c>
      <c r="H1174">
        <v>0.04</v>
      </c>
      <c r="I1174" t="s">
        <v>244</v>
      </c>
      <c r="J1174" s="5">
        <v>44860.594524409724</v>
      </c>
      <c r="K1174" s="5">
        <v>44863.189048819448</v>
      </c>
      <c r="M1174">
        <f t="shared" si="37"/>
        <v>10029727660</v>
      </c>
      <c r="N1174">
        <f ca="1">IF(M1174&lt;&gt;M1173,INDEX(CustInfo!$A$2:$A$1001,RANDBETWEEN(1,1000)),N1173)</f>
        <v>11928</v>
      </c>
      <c r="O1174" t="s">
        <v>1003</v>
      </c>
      <c r="P1174">
        <v>52937308</v>
      </c>
    </row>
    <row r="1175" spans="1:16" x14ac:dyDescent="0.35">
      <c r="A1175">
        <v>93827212431</v>
      </c>
      <c r="C1175" s="2" t="s">
        <v>883</v>
      </c>
      <c r="D1175">
        <v>1</v>
      </c>
      <c r="E1175">
        <v>76891213551</v>
      </c>
      <c r="F1175">
        <f t="shared" ca="1" si="36"/>
        <v>24</v>
      </c>
      <c r="G1175">
        <f ca="1">VLOOKUP(E1175,PurchItem!$A$2:$H$508,8,0)</f>
        <v>8257.6439178880792</v>
      </c>
      <c r="H1175">
        <v>0.06</v>
      </c>
      <c r="I1175" t="s">
        <v>244</v>
      </c>
      <c r="J1175" s="5">
        <v>45302.594524409724</v>
      </c>
      <c r="K1175" s="5">
        <v>45304.189048819448</v>
      </c>
      <c r="M1175">
        <f t="shared" si="37"/>
        <v>10029727661</v>
      </c>
      <c r="N1175">
        <f ca="1">IF(M1175&lt;&gt;M1174,INDEX(CustInfo!$A$2:$A$1001,RANDBETWEEN(1,1000)),N1174)</f>
        <v>11620</v>
      </c>
      <c r="O1175" t="s">
        <v>1002</v>
      </c>
      <c r="P1175">
        <v>52937309</v>
      </c>
    </row>
    <row r="1176" spans="1:16" x14ac:dyDescent="0.35">
      <c r="A1176">
        <v>93827212431</v>
      </c>
      <c r="C1176" s="2" t="s">
        <v>883</v>
      </c>
      <c r="D1176">
        <v>2</v>
      </c>
      <c r="E1176">
        <v>76891213580</v>
      </c>
      <c r="F1176">
        <f t="shared" ca="1" si="36"/>
        <v>5</v>
      </c>
      <c r="G1176">
        <f ca="1">VLOOKUP(E1176,PurchItem!$A$2:$H$508,8,0)</f>
        <v>5355.6561404349168</v>
      </c>
      <c r="H1176">
        <v>0.06</v>
      </c>
      <c r="I1176" t="s">
        <v>244</v>
      </c>
      <c r="J1176" s="5">
        <v>44900.594524409724</v>
      </c>
      <c r="K1176" s="5">
        <v>44903.189048819448</v>
      </c>
      <c r="M1176">
        <f t="shared" si="37"/>
        <v>10029727661</v>
      </c>
      <c r="N1176">
        <f ca="1">IF(M1176&lt;&gt;M1175,INDEX(CustInfo!$A$2:$A$1001,RANDBETWEEN(1,1000)),N1175)</f>
        <v>11620</v>
      </c>
      <c r="O1176" t="s">
        <v>1002</v>
      </c>
      <c r="P1176">
        <v>52937310</v>
      </c>
    </row>
    <row r="1177" spans="1:16" x14ac:dyDescent="0.35">
      <c r="A1177">
        <v>93827212431</v>
      </c>
      <c r="C1177" s="2" t="s">
        <v>883</v>
      </c>
      <c r="D1177">
        <v>3</v>
      </c>
      <c r="E1177">
        <v>76891213480</v>
      </c>
      <c r="F1177">
        <f t="shared" ca="1" si="36"/>
        <v>53</v>
      </c>
      <c r="G1177">
        <f ca="1">VLOOKUP(E1177,PurchItem!$A$2:$H$508,8,0)</f>
        <v>5818.9796436144088</v>
      </c>
      <c r="H1177">
        <v>0.04</v>
      </c>
      <c r="I1177" t="s">
        <v>244</v>
      </c>
      <c r="J1177" s="5">
        <v>44643.594524409724</v>
      </c>
      <c r="K1177" s="5">
        <v>44646.189048819448</v>
      </c>
      <c r="M1177">
        <f t="shared" si="37"/>
        <v>10029727661</v>
      </c>
      <c r="N1177">
        <f ca="1">IF(M1177&lt;&gt;M1176,INDEX(CustInfo!$A$2:$A$1001,RANDBETWEEN(1,1000)),N1176)</f>
        <v>11620</v>
      </c>
      <c r="O1177" t="s">
        <v>1002</v>
      </c>
      <c r="P1177">
        <v>52937311</v>
      </c>
    </row>
    <row r="1178" spans="1:16" x14ac:dyDescent="0.35">
      <c r="A1178">
        <v>93827212431</v>
      </c>
      <c r="C1178" s="2" t="s">
        <v>883</v>
      </c>
      <c r="D1178">
        <v>4</v>
      </c>
      <c r="E1178">
        <v>76891213389</v>
      </c>
      <c r="F1178">
        <f t="shared" ca="1" si="36"/>
        <v>69</v>
      </c>
      <c r="G1178">
        <f ca="1">VLOOKUP(E1178,PurchItem!$A$2:$H$508,8,0)</f>
        <v>4480.705223680392</v>
      </c>
      <c r="H1178">
        <v>0.05</v>
      </c>
      <c r="I1178" t="s">
        <v>244</v>
      </c>
      <c r="J1178" s="5">
        <v>45037.594524409724</v>
      </c>
      <c r="K1178" s="5">
        <v>45041.189048819448</v>
      </c>
      <c r="M1178">
        <f t="shared" si="37"/>
        <v>10029727661</v>
      </c>
      <c r="N1178">
        <f ca="1">IF(M1178&lt;&gt;M1177,INDEX(CustInfo!$A$2:$A$1001,RANDBETWEEN(1,1000)),N1177)</f>
        <v>11620</v>
      </c>
      <c r="O1178" t="s">
        <v>1002</v>
      </c>
      <c r="P1178">
        <v>52937312</v>
      </c>
    </row>
    <row r="1179" spans="1:16" x14ac:dyDescent="0.35">
      <c r="A1179">
        <v>93827212432</v>
      </c>
      <c r="C1179" s="2" t="s">
        <v>883</v>
      </c>
      <c r="D1179">
        <v>1</v>
      </c>
      <c r="E1179">
        <v>76891213530</v>
      </c>
      <c r="F1179">
        <f t="shared" ca="1" si="36"/>
        <v>48</v>
      </c>
      <c r="G1179">
        <f ca="1">VLOOKUP(E1179,PurchItem!$A$2:$H$508,8,0)</f>
        <v>3761.9037329346024</v>
      </c>
      <c r="H1179">
        <v>0.05</v>
      </c>
      <c r="I1179" t="s">
        <v>244</v>
      </c>
      <c r="J1179" s="5">
        <v>44675.594524409724</v>
      </c>
      <c r="K1179" s="5">
        <v>44678.189048819448</v>
      </c>
      <c r="M1179">
        <f t="shared" si="37"/>
        <v>10029727662</v>
      </c>
      <c r="N1179">
        <f ca="1">IF(M1179&lt;&gt;M1178,INDEX(CustInfo!$A$2:$A$1001,RANDBETWEEN(1,1000)),N1178)</f>
        <v>11368</v>
      </c>
      <c r="O1179" t="s">
        <v>1002</v>
      </c>
      <c r="P1179">
        <v>52937313</v>
      </c>
    </row>
    <row r="1180" spans="1:16" x14ac:dyDescent="0.35">
      <c r="A1180">
        <v>93827212433</v>
      </c>
      <c r="C1180" s="2" t="s">
        <v>883</v>
      </c>
      <c r="D1180">
        <v>1</v>
      </c>
      <c r="E1180">
        <v>76891213513</v>
      </c>
      <c r="F1180">
        <f t="shared" ca="1" si="36"/>
        <v>36</v>
      </c>
      <c r="G1180">
        <f ca="1">VLOOKUP(E1180,PurchItem!$A$2:$H$508,8,0)</f>
        <v>8751.058887926647</v>
      </c>
      <c r="H1180">
        <v>0.05</v>
      </c>
      <c r="I1180" t="s">
        <v>244</v>
      </c>
      <c r="J1180" s="5">
        <v>45258.594524409724</v>
      </c>
      <c r="K1180" s="5">
        <v>45260.189048819448</v>
      </c>
      <c r="M1180">
        <f t="shared" si="37"/>
        <v>10029727663</v>
      </c>
      <c r="N1180">
        <f ca="1">IF(M1180&lt;&gt;M1179,INDEX(CustInfo!$A$2:$A$1001,RANDBETWEEN(1,1000)),N1179)</f>
        <v>11158</v>
      </c>
      <c r="O1180" t="s">
        <v>1003</v>
      </c>
      <c r="P1180">
        <v>52937314</v>
      </c>
    </row>
    <row r="1181" spans="1:16" x14ac:dyDescent="0.35">
      <c r="A1181">
        <v>93827212433</v>
      </c>
      <c r="C1181" s="2" t="s">
        <v>883</v>
      </c>
      <c r="D1181">
        <v>2</v>
      </c>
      <c r="E1181">
        <v>76891213481</v>
      </c>
      <c r="F1181">
        <f t="shared" ca="1" si="36"/>
        <v>47</v>
      </c>
      <c r="G1181">
        <f ca="1">VLOOKUP(E1181,PurchItem!$A$2:$H$508,8,0)</f>
        <v>9672.6491193647089</v>
      </c>
      <c r="H1181">
        <v>0.05</v>
      </c>
      <c r="I1181" t="s">
        <v>244</v>
      </c>
      <c r="J1181" s="5">
        <v>44574.594524409724</v>
      </c>
      <c r="K1181" s="5">
        <v>44578.189048819448</v>
      </c>
      <c r="M1181">
        <f t="shared" si="37"/>
        <v>10029727663</v>
      </c>
      <c r="N1181">
        <f ca="1">IF(M1181&lt;&gt;M1180,INDEX(CustInfo!$A$2:$A$1001,RANDBETWEEN(1,1000)),N1180)</f>
        <v>11158</v>
      </c>
      <c r="O1181" t="s">
        <v>1003</v>
      </c>
      <c r="P1181">
        <v>52937315</v>
      </c>
    </row>
    <row r="1182" spans="1:16" x14ac:dyDescent="0.35">
      <c r="A1182">
        <v>93827212434</v>
      </c>
      <c r="C1182" s="2" t="s">
        <v>883</v>
      </c>
      <c r="D1182">
        <v>1</v>
      </c>
      <c r="E1182">
        <v>76891213596</v>
      </c>
      <c r="F1182">
        <f t="shared" ca="1" si="36"/>
        <v>61</v>
      </c>
      <c r="G1182">
        <f ca="1">VLOOKUP(E1182,PurchItem!$A$2:$H$508,8,0)</f>
        <v>4771.1199477066812</v>
      </c>
      <c r="H1182">
        <v>0.05</v>
      </c>
      <c r="I1182" t="s">
        <v>244</v>
      </c>
      <c r="J1182" s="5">
        <v>44983.594524409724</v>
      </c>
      <c r="K1182" s="5">
        <v>44987.189048819448</v>
      </c>
      <c r="M1182">
        <f t="shared" si="37"/>
        <v>10029727664</v>
      </c>
      <c r="N1182">
        <f ca="1">IF(M1182&lt;&gt;M1181,INDEX(CustInfo!$A$2:$A$1001,RANDBETWEEN(1,1000)),N1181)</f>
        <v>11833</v>
      </c>
      <c r="O1182" t="s">
        <v>1002</v>
      </c>
      <c r="P1182">
        <v>52937316</v>
      </c>
    </row>
    <row r="1183" spans="1:16" x14ac:dyDescent="0.35">
      <c r="A1183">
        <v>93827212434</v>
      </c>
      <c r="C1183" s="2" t="s">
        <v>883</v>
      </c>
      <c r="D1183">
        <v>2</v>
      </c>
      <c r="E1183">
        <v>76891213416</v>
      </c>
      <c r="F1183">
        <f t="shared" ca="1" si="36"/>
        <v>72</v>
      </c>
      <c r="G1183">
        <f ca="1">VLOOKUP(E1183,PurchItem!$A$2:$H$508,8,0)</f>
        <v>254.34781389929725</v>
      </c>
      <c r="H1183">
        <v>0.06</v>
      </c>
      <c r="I1183" t="s">
        <v>244</v>
      </c>
      <c r="J1183" s="5">
        <v>45473.594524409724</v>
      </c>
      <c r="K1183" s="5">
        <v>45477.189048819448</v>
      </c>
      <c r="M1183">
        <f t="shared" si="37"/>
        <v>10029727664</v>
      </c>
      <c r="N1183">
        <f ca="1">IF(M1183&lt;&gt;M1182,INDEX(CustInfo!$A$2:$A$1001,RANDBETWEEN(1,1000)),N1182)</f>
        <v>11833</v>
      </c>
      <c r="O1183" t="s">
        <v>1002</v>
      </c>
      <c r="P1183">
        <v>52937317</v>
      </c>
    </row>
    <row r="1184" spans="1:16" x14ac:dyDescent="0.35">
      <c r="A1184">
        <v>93827212434</v>
      </c>
      <c r="C1184" s="2" t="s">
        <v>883</v>
      </c>
      <c r="D1184">
        <v>3</v>
      </c>
      <c r="E1184">
        <v>76891213262</v>
      </c>
      <c r="F1184">
        <f t="shared" ca="1" si="36"/>
        <v>67</v>
      </c>
      <c r="G1184">
        <f ca="1">VLOOKUP(E1184,PurchItem!$A$2:$H$508,8,0)</f>
        <v>3130.141280264294</v>
      </c>
      <c r="H1184">
        <v>0.05</v>
      </c>
      <c r="I1184" t="s">
        <v>244</v>
      </c>
      <c r="J1184" s="5">
        <v>44581.594524409724</v>
      </c>
      <c r="K1184" s="5">
        <v>44583.189048819448</v>
      </c>
      <c r="M1184">
        <f t="shared" si="37"/>
        <v>10029727664</v>
      </c>
      <c r="N1184">
        <f ca="1">IF(M1184&lt;&gt;M1183,INDEX(CustInfo!$A$2:$A$1001,RANDBETWEEN(1,1000)),N1183)</f>
        <v>11833</v>
      </c>
      <c r="O1184" t="s">
        <v>1002</v>
      </c>
      <c r="P1184">
        <v>52937318</v>
      </c>
    </row>
    <row r="1185" spans="1:16" x14ac:dyDescent="0.35">
      <c r="A1185">
        <v>93827212435</v>
      </c>
      <c r="C1185" s="2" t="s">
        <v>883</v>
      </c>
      <c r="D1185">
        <v>1</v>
      </c>
      <c r="E1185">
        <v>76891213316</v>
      </c>
      <c r="F1185">
        <f t="shared" ca="1" si="36"/>
        <v>50</v>
      </c>
      <c r="G1185">
        <f ca="1">VLOOKUP(E1185,PurchItem!$A$2:$H$508,8,0)</f>
        <v>1710.7168304779898</v>
      </c>
      <c r="H1185">
        <v>0.05</v>
      </c>
      <c r="I1185" t="s">
        <v>244</v>
      </c>
      <c r="J1185" s="5">
        <v>45270.594524409724</v>
      </c>
      <c r="K1185" s="5">
        <v>45273.189048819448</v>
      </c>
      <c r="M1185">
        <f t="shared" si="37"/>
        <v>10029727665</v>
      </c>
      <c r="N1185">
        <f ca="1">IF(M1185&lt;&gt;M1184,INDEX(CustInfo!$A$2:$A$1001,RANDBETWEEN(1,1000)),N1184)</f>
        <v>11865</v>
      </c>
      <c r="O1185" t="s">
        <v>1002</v>
      </c>
      <c r="P1185">
        <v>52937319</v>
      </c>
    </row>
    <row r="1186" spans="1:16" x14ac:dyDescent="0.35">
      <c r="A1186">
        <v>93827212436</v>
      </c>
      <c r="C1186" s="2" t="s">
        <v>883</v>
      </c>
      <c r="D1186">
        <v>1</v>
      </c>
      <c r="E1186">
        <v>76891213629</v>
      </c>
      <c r="F1186">
        <f t="shared" ca="1" si="36"/>
        <v>20</v>
      </c>
      <c r="G1186">
        <f ca="1">VLOOKUP(E1186,PurchItem!$A$2:$H$508,8,0)</f>
        <v>3163.7564415224051</v>
      </c>
      <c r="H1186">
        <v>0.04</v>
      </c>
      <c r="I1186" t="s">
        <v>244</v>
      </c>
      <c r="J1186" s="5">
        <v>45021.594524409724</v>
      </c>
      <c r="K1186" s="5">
        <v>45024.189048819448</v>
      </c>
      <c r="M1186">
        <f t="shared" si="37"/>
        <v>10029727666</v>
      </c>
      <c r="N1186">
        <f ca="1">IF(M1186&lt;&gt;M1185,INDEX(CustInfo!$A$2:$A$1001,RANDBETWEEN(1,1000)),N1185)</f>
        <v>11823</v>
      </c>
      <c r="O1186" t="s">
        <v>1003</v>
      </c>
      <c r="P1186">
        <v>52937320</v>
      </c>
    </row>
    <row r="1187" spans="1:16" x14ac:dyDescent="0.35">
      <c r="A1187">
        <v>93827212436</v>
      </c>
      <c r="C1187" s="2" t="s">
        <v>883</v>
      </c>
      <c r="D1187">
        <v>2</v>
      </c>
      <c r="E1187">
        <v>76891213179</v>
      </c>
      <c r="F1187">
        <f t="shared" ca="1" si="36"/>
        <v>72</v>
      </c>
      <c r="G1187">
        <f ca="1">VLOOKUP(E1187,PurchItem!$A$2:$H$508,8,0)</f>
        <v>6832.2348521988297</v>
      </c>
      <c r="H1187">
        <v>0.05</v>
      </c>
      <c r="I1187" t="s">
        <v>244</v>
      </c>
      <c r="J1187" s="5">
        <v>45272.594524409724</v>
      </c>
      <c r="K1187" s="5">
        <v>45276.189048819448</v>
      </c>
      <c r="M1187">
        <f t="shared" si="37"/>
        <v>10029727666</v>
      </c>
      <c r="N1187">
        <f ca="1">IF(M1187&lt;&gt;M1186,INDEX(CustInfo!$A$2:$A$1001,RANDBETWEEN(1,1000)),N1186)</f>
        <v>11823</v>
      </c>
      <c r="O1187" t="s">
        <v>1003</v>
      </c>
      <c r="P1187">
        <v>52937321</v>
      </c>
    </row>
    <row r="1188" spans="1:16" x14ac:dyDescent="0.35">
      <c r="A1188">
        <v>93827212436</v>
      </c>
      <c r="C1188" s="2" t="s">
        <v>883</v>
      </c>
      <c r="D1188">
        <v>3</v>
      </c>
      <c r="E1188">
        <v>76891213317</v>
      </c>
      <c r="F1188">
        <f t="shared" ca="1" si="36"/>
        <v>26</v>
      </c>
      <c r="G1188">
        <f ca="1">VLOOKUP(E1188,PurchItem!$A$2:$H$508,8,0)</f>
        <v>8735.0905789967401</v>
      </c>
      <c r="H1188">
        <v>0.05</v>
      </c>
      <c r="I1188" t="s">
        <v>244</v>
      </c>
      <c r="J1188" s="5">
        <v>45588.594524409724</v>
      </c>
      <c r="K1188" s="5">
        <v>45589.189048819448</v>
      </c>
      <c r="M1188">
        <f t="shared" si="37"/>
        <v>10029727666</v>
      </c>
      <c r="N1188">
        <f ca="1">IF(M1188&lt;&gt;M1187,INDEX(CustInfo!$A$2:$A$1001,RANDBETWEEN(1,1000)),N1187)</f>
        <v>11823</v>
      </c>
      <c r="O1188" t="s">
        <v>1003</v>
      </c>
      <c r="P1188">
        <v>52937322</v>
      </c>
    </row>
    <row r="1189" spans="1:16" x14ac:dyDescent="0.35">
      <c r="A1189">
        <v>93827212436</v>
      </c>
      <c r="C1189" s="2" t="s">
        <v>883</v>
      </c>
      <c r="D1189">
        <v>4</v>
      </c>
      <c r="E1189">
        <v>76891213371</v>
      </c>
      <c r="F1189">
        <f t="shared" ca="1" si="36"/>
        <v>91</v>
      </c>
      <c r="G1189">
        <f ca="1">VLOOKUP(E1189,PurchItem!$A$2:$H$508,8,0)</f>
        <v>2898.9854478241714</v>
      </c>
      <c r="H1189">
        <v>0.05</v>
      </c>
      <c r="I1189" t="s">
        <v>244</v>
      </c>
      <c r="J1189" s="5">
        <v>45390.594524409724</v>
      </c>
      <c r="K1189" s="5">
        <v>45392.189048819448</v>
      </c>
      <c r="M1189">
        <f t="shared" si="37"/>
        <v>10029727666</v>
      </c>
      <c r="N1189">
        <f ca="1">IF(M1189&lt;&gt;M1188,INDEX(CustInfo!$A$2:$A$1001,RANDBETWEEN(1,1000)),N1188)</f>
        <v>11823</v>
      </c>
      <c r="O1189" t="s">
        <v>1003</v>
      </c>
      <c r="P1189">
        <v>52937323</v>
      </c>
    </row>
    <row r="1190" spans="1:16" x14ac:dyDescent="0.35">
      <c r="A1190">
        <v>93827212437</v>
      </c>
      <c r="C1190" s="2" t="s">
        <v>883</v>
      </c>
      <c r="D1190">
        <v>1</v>
      </c>
      <c r="E1190">
        <v>76891213620</v>
      </c>
      <c r="F1190">
        <f t="shared" ca="1" si="36"/>
        <v>21</v>
      </c>
      <c r="G1190">
        <f ca="1">VLOOKUP(E1190,PurchItem!$A$2:$H$508,8,0)</f>
        <v>261.77946432896999</v>
      </c>
      <c r="H1190">
        <v>0.05</v>
      </c>
      <c r="I1190" t="s">
        <v>244</v>
      </c>
      <c r="J1190" s="5">
        <v>44750.594524409724</v>
      </c>
      <c r="K1190" s="5">
        <v>44751.189048819448</v>
      </c>
      <c r="M1190">
        <f t="shared" si="37"/>
        <v>10029727667</v>
      </c>
      <c r="N1190">
        <f ca="1">IF(M1190&lt;&gt;M1189,INDEX(CustInfo!$A$2:$A$1001,RANDBETWEEN(1,1000)),N1189)</f>
        <v>11052</v>
      </c>
      <c r="O1190" t="s">
        <v>1002</v>
      </c>
      <c r="P1190">
        <v>52937324</v>
      </c>
    </row>
    <row r="1191" spans="1:16" x14ac:dyDescent="0.35">
      <c r="A1191">
        <v>93827212437</v>
      </c>
      <c r="C1191" s="2" t="s">
        <v>883</v>
      </c>
      <c r="D1191">
        <v>2</v>
      </c>
      <c r="E1191">
        <v>76891213246</v>
      </c>
      <c r="F1191">
        <f t="shared" ca="1" si="36"/>
        <v>78</v>
      </c>
      <c r="G1191">
        <f ca="1">VLOOKUP(E1191,PurchItem!$A$2:$H$508,8,0)</f>
        <v>2892.1791857409398</v>
      </c>
      <c r="H1191">
        <v>0.04</v>
      </c>
      <c r="I1191" t="s">
        <v>244</v>
      </c>
      <c r="J1191" s="5">
        <v>44693.594524409724</v>
      </c>
      <c r="K1191" s="5">
        <v>44694.189048819448</v>
      </c>
      <c r="M1191">
        <f t="shared" si="37"/>
        <v>10029727667</v>
      </c>
      <c r="N1191">
        <f ca="1">IF(M1191&lt;&gt;M1190,INDEX(CustInfo!$A$2:$A$1001,RANDBETWEEN(1,1000)),N1190)</f>
        <v>11052</v>
      </c>
      <c r="O1191" t="s">
        <v>1002</v>
      </c>
      <c r="P1191">
        <v>52937325</v>
      </c>
    </row>
    <row r="1192" spans="1:16" x14ac:dyDescent="0.35">
      <c r="A1192">
        <v>93827212438</v>
      </c>
      <c r="C1192" s="2" t="s">
        <v>883</v>
      </c>
      <c r="D1192">
        <v>1</v>
      </c>
      <c r="E1192">
        <v>76891213249</v>
      </c>
      <c r="F1192">
        <f t="shared" ca="1" si="36"/>
        <v>20</v>
      </c>
      <c r="G1192">
        <f ca="1">VLOOKUP(E1192,PurchItem!$A$2:$H$508,8,0)</f>
        <v>8086.2832587876792</v>
      </c>
      <c r="H1192">
        <v>0.04</v>
      </c>
      <c r="I1192" t="s">
        <v>244</v>
      </c>
      <c r="J1192" s="5">
        <v>44659.594524409724</v>
      </c>
      <c r="K1192" s="5">
        <v>44663.189048819448</v>
      </c>
      <c r="M1192">
        <f t="shared" si="37"/>
        <v>10029727668</v>
      </c>
      <c r="N1192">
        <f ca="1">IF(M1192&lt;&gt;M1191,INDEX(CustInfo!$A$2:$A$1001,RANDBETWEEN(1,1000)),N1191)</f>
        <v>11608</v>
      </c>
      <c r="O1192" t="s">
        <v>1003</v>
      </c>
      <c r="P1192">
        <v>52937326</v>
      </c>
    </row>
    <row r="1193" spans="1:16" x14ac:dyDescent="0.35">
      <c r="A1193">
        <v>93827212438</v>
      </c>
      <c r="C1193" s="2" t="s">
        <v>883</v>
      </c>
      <c r="D1193">
        <v>2</v>
      </c>
      <c r="E1193">
        <v>76891213571</v>
      </c>
      <c r="F1193">
        <f t="shared" ca="1" si="36"/>
        <v>80</v>
      </c>
      <c r="G1193">
        <f ca="1">VLOOKUP(E1193,PurchItem!$A$2:$H$508,8,0)</f>
        <v>3575.5287130457696</v>
      </c>
      <c r="H1193">
        <v>0.05</v>
      </c>
      <c r="I1193" t="s">
        <v>244</v>
      </c>
      <c r="J1193" s="5">
        <v>44668.594524409724</v>
      </c>
      <c r="K1193" s="5">
        <v>44670.189048819448</v>
      </c>
      <c r="M1193">
        <f t="shared" si="37"/>
        <v>10029727668</v>
      </c>
      <c r="N1193">
        <f ca="1">IF(M1193&lt;&gt;M1192,INDEX(CustInfo!$A$2:$A$1001,RANDBETWEEN(1,1000)),N1192)</f>
        <v>11608</v>
      </c>
      <c r="O1193" t="s">
        <v>1003</v>
      </c>
      <c r="P1193">
        <v>52937327</v>
      </c>
    </row>
    <row r="1194" spans="1:16" x14ac:dyDescent="0.35">
      <c r="A1194">
        <v>93827212439</v>
      </c>
      <c r="C1194" s="2" t="s">
        <v>883</v>
      </c>
      <c r="D1194">
        <v>1</v>
      </c>
      <c r="E1194">
        <v>76891213568</v>
      </c>
      <c r="F1194">
        <f t="shared" ca="1" si="36"/>
        <v>50</v>
      </c>
      <c r="G1194">
        <f ca="1">VLOOKUP(E1194,PurchItem!$A$2:$H$508,8,0)</f>
        <v>7832.221940741756</v>
      </c>
      <c r="H1194">
        <v>0.06</v>
      </c>
      <c r="I1194" t="s">
        <v>244</v>
      </c>
      <c r="J1194" s="5">
        <v>44841.594524409724</v>
      </c>
      <c r="K1194" s="5">
        <v>44844.189048819448</v>
      </c>
      <c r="M1194">
        <f t="shared" si="37"/>
        <v>10029727669</v>
      </c>
      <c r="N1194">
        <f ca="1">IF(M1194&lt;&gt;M1193,INDEX(CustInfo!$A$2:$A$1001,RANDBETWEEN(1,1000)),N1193)</f>
        <v>11433</v>
      </c>
      <c r="O1194" t="s">
        <v>1002</v>
      </c>
      <c r="P1194">
        <v>52937328</v>
      </c>
    </row>
    <row r="1195" spans="1:16" x14ac:dyDescent="0.35">
      <c r="A1195">
        <v>93827212439</v>
      </c>
      <c r="C1195" s="2" t="s">
        <v>883</v>
      </c>
      <c r="D1195">
        <v>2</v>
      </c>
      <c r="E1195">
        <v>76891213546</v>
      </c>
      <c r="F1195">
        <f t="shared" ca="1" si="36"/>
        <v>54</v>
      </c>
      <c r="G1195">
        <f ca="1">VLOOKUP(E1195,PurchItem!$A$2:$H$508,8,0)</f>
        <v>8263.053348102203</v>
      </c>
      <c r="H1195">
        <v>0.05</v>
      </c>
      <c r="I1195" t="s">
        <v>244</v>
      </c>
      <c r="J1195" s="5">
        <v>45301.594524409724</v>
      </c>
      <c r="K1195" s="5">
        <v>45302.189048819448</v>
      </c>
      <c r="M1195">
        <f t="shared" si="37"/>
        <v>10029727669</v>
      </c>
      <c r="N1195">
        <f ca="1">IF(M1195&lt;&gt;M1194,INDEX(CustInfo!$A$2:$A$1001,RANDBETWEEN(1,1000)),N1194)</f>
        <v>11433</v>
      </c>
      <c r="O1195" t="s">
        <v>1002</v>
      </c>
      <c r="P1195">
        <v>52937329</v>
      </c>
    </row>
    <row r="1196" spans="1:16" x14ac:dyDescent="0.35">
      <c r="A1196">
        <v>93827212439</v>
      </c>
      <c r="C1196" s="2" t="s">
        <v>883</v>
      </c>
      <c r="D1196">
        <v>3</v>
      </c>
      <c r="E1196">
        <v>76891213363</v>
      </c>
      <c r="F1196">
        <f t="shared" ca="1" si="36"/>
        <v>38</v>
      </c>
      <c r="G1196">
        <f ca="1">VLOOKUP(E1196,PurchItem!$A$2:$H$508,8,0)</f>
        <v>1463.7798305631063</v>
      </c>
      <c r="H1196">
        <v>0.05</v>
      </c>
      <c r="I1196" t="s">
        <v>244</v>
      </c>
      <c r="J1196" s="5">
        <v>45255.594524409724</v>
      </c>
      <c r="K1196" s="5">
        <v>45258.189048819448</v>
      </c>
      <c r="M1196">
        <f t="shared" si="37"/>
        <v>10029727669</v>
      </c>
      <c r="N1196">
        <f ca="1">IF(M1196&lt;&gt;M1195,INDEX(CustInfo!$A$2:$A$1001,RANDBETWEEN(1,1000)),N1195)</f>
        <v>11433</v>
      </c>
      <c r="O1196" t="s">
        <v>1002</v>
      </c>
      <c r="P1196">
        <v>52937330</v>
      </c>
    </row>
    <row r="1197" spans="1:16" x14ac:dyDescent="0.35">
      <c r="A1197">
        <v>93827212440</v>
      </c>
      <c r="C1197" s="2" t="s">
        <v>883</v>
      </c>
      <c r="D1197">
        <v>1</v>
      </c>
      <c r="E1197">
        <v>76891213403</v>
      </c>
      <c r="F1197">
        <f t="shared" ca="1" si="36"/>
        <v>2</v>
      </c>
      <c r="G1197">
        <f ca="1">VLOOKUP(E1197,PurchItem!$A$2:$H$508,8,0)</f>
        <v>7222.6267597950819</v>
      </c>
      <c r="H1197">
        <v>0.04</v>
      </c>
      <c r="I1197" t="s">
        <v>244</v>
      </c>
      <c r="J1197" s="5">
        <v>44785.594524409724</v>
      </c>
      <c r="K1197" s="5">
        <v>44789.189048819448</v>
      </c>
      <c r="M1197">
        <f t="shared" si="37"/>
        <v>10029727670</v>
      </c>
      <c r="N1197">
        <f ca="1">IF(M1197&lt;&gt;M1196,INDEX(CustInfo!$A$2:$A$1001,RANDBETWEEN(1,1000)),N1196)</f>
        <v>11725</v>
      </c>
      <c r="O1197" t="s">
        <v>1002</v>
      </c>
      <c r="P1197">
        <v>52937331</v>
      </c>
    </row>
    <row r="1198" spans="1:16" x14ac:dyDescent="0.35">
      <c r="A1198">
        <v>93827212440</v>
      </c>
      <c r="C1198" s="2" t="s">
        <v>883</v>
      </c>
      <c r="D1198">
        <v>2</v>
      </c>
      <c r="E1198">
        <v>76891213288</v>
      </c>
      <c r="F1198">
        <f t="shared" ca="1" si="36"/>
        <v>21</v>
      </c>
      <c r="G1198">
        <f ca="1">VLOOKUP(E1198,PurchItem!$A$2:$H$508,8,0)</f>
        <v>6634.5213683580823</v>
      </c>
      <c r="H1198">
        <v>0.06</v>
      </c>
      <c r="I1198" t="s">
        <v>244</v>
      </c>
      <c r="J1198" s="5">
        <v>44653.594524409724</v>
      </c>
      <c r="K1198" s="5">
        <v>44654.189048819448</v>
      </c>
      <c r="M1198">
        <f t="shared" si="37"/>
        <v>10029727670</v>
      </c>
      <c r="N1198">
        <f ca="1">IF(M1198&lt;&gt;M1197,INDEX(CustInfo!$A$2:$A$1001,RANDBETWEEN(1,1000)),N1197)</f>
        <v>11725</v>
      </c>
      <c r="O1198" t="s">
        <v>1002</v>
      </c>
      <c r="P1198">
        <v>52937332</v>
      </c>
    </row>
    <row r="1199" spans="1:16" x14ac:dyDescent="0.35">
      <c r="A1199">
        <v>93827212440</v>
      </c>
      <c r="C1199" s="2" t="s">
        <v>883</v>
      </c>
      <c r="D1199">
        <v>3</v>
      </c>
      <c r="E1199">
        <v>76891213603</v>
      </c>
      <c r="F1199">
        <f t="shared" ca="1" si="36"/>
        <v>9</v>
      </c>
      <c r="G1199">
        <f ca="1">VLOOKUP(E1199,PurchItem!$A$2:$H$508,8,0)</f>
        <v>4831.6381960821909</v>
      </c>
      <c r="H1199">
        <v>0.06</v>
      </c>
      <c r="I1199" t="s">
        <v>244</v>
      </c>
      <c r="J1199" s="5">
        <v>45370.594524409724</v>
      </c>
      <c r="K1199" s="5">
        <v>45374.189048819448</v>
      </c>
      <c r="M1199">
        <f t="shared" si="37"/>
        <v>10029727670</v>
      </c>
      <c r="N1199">
        <f ca="1">IF(M1199&lt;&gt;M1198,INDEX(CustInfo!$A$2:$A$1001,RANDBETWEEN(1,1000)),N1198)</f>
        <v>11725</v>
      </c>
      <c r="O1199" t="s">
        <v>1002</v>
      </c>
      <c r="P1199">
        <v>52937333</v>
      </c>
    </row>
    <row r="1200" spans="1:16" x14ac:dyDescent="0.35">
      <c r="A1200">
        <v>93827212440</v>
      </c>
      <c r="C1200" s="2" t="s">
        <v>883</v>
      </c>
      <c r="D1200">
        <v>4</v>
      </c>
      <c r="E1200">
        <v>76891213558</v>
      </c>
      <c r="F1200">
        <f t="shared" ca="1" si="36"/>
        <v>10</v>
      </c>
      <c r="G1200">
        <f ca="1">VLOOKUP(E1200,PurchItem!$A$2:$H$508,8,0)</f>
        <v>2703.1304184049623</v>
      </c>
      <c r="H1200">
        <v>0.05</v>
      </c>
      <c r="I1200" t="s">
        <v>244</v>
      </c>
      <c r="J1200" s="5">
        <v>45340.594524409724</v>
      </c>
      <c r="K1200" s="5">
        <v>45344.189048819448</v>
      </c>
      <c r="M1200">
        <f t="shared" si="37"/>
        <v>10029727670</v>
      </c>
      <c r="N1200">
        <f ca="1">IF(M1200&lt;&gt;M1199,INDEX(CustInfo!$A$2:$A$1001,RANDBETWEEN(1,1000)),N1199)</f>
        <v>11725</v>
      </c>
      <c r="O1200" t="s">
        <v>1002</v>
      </c>
      <c r="P1200">
        <v>52937334</v>
      </c>
    </row>
    <row r="1201" spans="1:16" x14ac:dyDescent="0.35">
      <c r="A1201">
        <v>93827212441</v>
      </c>
      <c r="C1201" s="2" t="s">
        <v>883</v>
      </c>
      <c r="D1201">
        <v>1</v>
      </c>
      <c r="E1201">
        <v>76891213197</v>
      </c>
      <c r="F1201">
        <f t="shared" ca="1" si="36"/>
        <v>25</v>
      </c>
      <c r="G1201">
        <f ca="1">VLOOKUP(E1201,PurchItem!$A$2:$H$508,8,0)</f>
        <v>2158.1221622330891</v>
      </c>
      <c r="H1201">
        <v>0.05</v>
      </c>
      <c r="I1201" t="s">
        <v>244</v>
      </c>
      <c r="J1201" s="5">
        <v>45280.594524409724</v>
      </c>
      <c r="K1201" s="5">
        <v>45284.189048819448</v>
      </c>
      <c r="M1201">
        <f t="shared" si="37"/>
        <v>10029727671</v>
      </c>
      <c r="N1201">
        <f ca="1">IF(M1201&lt;&gt;M1200,INDEX(CustInfo!$A$2:$A$1001,RANDBETWEEN(1,1000)),N1200)</f>
        <v>11701</v>
      </c>
      <c r="O1201" t="s">
        <v>1003</v>
      </c>
      <c r="P1201">
        <v>52937335</v>
      </c>
    </row>
    <row r="1202" spans="1:16" x14ac:dyDescent="0.35">
      <c r="A1202">
        <v>93827212441</v>
      </c>
      <c r="C1202" s="2" t="s">
        <v>883</v>
      </c>
      <c r="D1202">
        <v>2</v>
      </c>
      <c r="E1202">
        <v>76891213361</v>
      </c>
      <c r="F1202">
        <f t="shared" ca="1" si="36"/>
        <v>93</v>
      </c>
      <c r="G1202">
        <f ca="1">VLOOKUP(E1202,PurchItem!$A$2:$H$508,8,0)</f>
        <v>2867.170727452004</v>
      </c>
      <c r="H1202">
        <v>0.04</v>
      </c>
      <c r="I1202" t="s">
        <v>244</v>
      </c>
      <c r="J1202" s="5">
        <v>44817.594524409724</v>
      </c>
      <c r="K1202" s="5">
        <v>44820.189048819448</v>
      </c>
      <c r="M1202">
        <f t="shared" si="37"/>
        <v>10029727671</v>
      </c>
      <c r="N1202">
        <f ca="1">IF(M1202&lt;&gt;M1201,INDEX(CustInfo!$A$2:$A$1001,RANDBETWEEN(1,1000)),N1201)</f>
        <v>11701</v>
      </c>
      <c r="O1202" t="s">
        <v>1003</v>
      </c>
      <c r="P1202">
        <v>52937336</v>
      </c>
    </row>
    <row r="1203" spans="1:16" x14ac:dyDescent="0.35">
      <c r="A1203">
        <v>93827212442</v>
      </c>
      <c r="C1203" s="2" t="s">
        <v>883</v>
      </c>
      <c r="D1203">
        <v>1</v>
      </c>
      <c r="E1203">
        <v>76891213449</v>
      </c>
      <c r="F1203">
        <f t="shared" ca="1" si="36"/>
        <v>49</v>
      </c>
      <c r="G1203">
        <f ca="1">VLOOKUP(E1203,PurchItem!$A$2:$H$508,8,0)</f>
        <v>8466.7708817939128</v>
      </c>
      <c r="H1203">
        <v>0.04</v>
      </c>
      <c r="I1203" t="s">
        <v>244</v>
      </c>
      <c r="J1203" s="5">
        <v>45231.594524409724</v>
      </c>
      <c r="K1203" s="5">
        <v>45235.189048819448</v>
      </c>
      <c r="M1203">
        <f t="shared" si="37"/>
        <v>10029727672</v>
      </c>
      <c r="N1203">
        <f ca="1">IF(M1203&lt;&gt;M1202,INDEX(CustInfo!$A$2:$A$1001,RANDBETWEEN(1,1000)),N1202)</f>
        <v>11423</v>
      </c>
      <c r="O1203" t="s">
        <v>1002</v>
      </c>
      <c r="P1203">
        <v>52937337</v>
      </c>
    </row>
    <row r="1204" spans="1:16" x14ac:dyDescent="0.35">
      <c r="A1204">
        <v>93827212443</v>
      </c>
      <c r="C1204" s="2" t="s">
        <v>883</v>
      </c>
      <c r="D1204">
        <v>1</v>
      </c>
      <c r="E1204">
        <v>76891213377</v>
      </c>
      <c r="F1204">
        <f t="shared" ca="1" si="36"/>
        <v>46</v>
      </c>
      <c r="G1204">
        <f ca="1">VLOOKUP(E1204,PurchItem!$A$2:$H$508,8,0)</f>
        <v>747.79686367362922</v>
      </c>
      <c r="H1204">
        <v>0.04</v>
      </c>
      <c r="I1204" t="s">
        <v>244</v>
      </c>
      <c r="J1204" s="5">
        <v>44587.594524409724</v>
      </c>
      <c r="K1204" s="5">
        <v>44588.189048819448</v>
      </c>
      <c r="M1204">
        <f t="shared" si="37"/>
        <v>10029727673</v>
      </c>
      <c r="N1204">
        <f ca="1">IF(M1204&lt;&gt;M1203,INDEX(CustInfo!$A$2:$A$1001,RANDBETWEEN(1,1000)),N1203)</f>
        <v>11516</v>
      </c>
      <c r="O1204" t="s">
        <v>1003</v>
      </c>
      <c r="P1204">
        <v>52937338</v>
      </c>
    </row>
    <row r="1205" spans="1:16" x14ac:dyDescent="0.35">
      <c r="A1205">
        <v>93827212444</v>
      </c>
      <c r="C1205" s="2" t="s">
        <v>883</v>
      </c>
      <c r="D1205">
        <v>1</v>
      </c>
      <c r="E1205">
        <v>76891213368</v>
      </c>
      <c r="F1205">
        <f t="shared" ca="1" si="36"/>
        <v>47</v>
      </c>
      <c r="G1205">
        <f ca="1">VLOOKUP(E1205,PurchItem!$A$2:$H$508,8,0)</f>
        <v>3312.7979678593924</v>
      </c>
      <c r="H1205">
        <v>0.05</v>
      </c>
      <c r="I1205" t="s">
        <v>244</v>
      </c>
      <c r="J1205" s="5">
        <v>44989.594524409724</v>
      </c>
      <c r="K1205" s="5">
        <v>44991.189048819448</v>
      </c>
      <c r="M1205">
        <f t="shared" si="37"/>
        <v>10029727674</v>
      </c>
      <c r="N1205">
        <f ca="1">IF(M1205&lt;&gt;M1204,INDEX(CustInfo!$A$2:$A$1001,RANDBETWEEN(1,1000)),N1204)</f>
        <v>11609</v>
      </c>
      <c r="O1205" t="s">
        <v>1002</v>
      </c>
      <c r="P1205">
        <v>52937339</v>
      </c>
    </row>
    <row r="1206" spans="1:16" x14ac:dyDescent="0.35">
      <c r="A1206">
        <v>93827212445</v>
      </c>
      <c r="C1206" s="2" t="s">
        <v>883</v>
      </c>
      <c r="D1206">
        <v>1</v>
      </c>
      <c r="E1206">
        <v>76891213180</v>
      </c>
      <c r="F1206">
        <f t="shared" ca="1" si="36"/>
        <v>47</v>
      </c>
      <c r="G1206">
        <f ca="1">VLOOKUP(E1206,PurchItem!$A$2:$H$508,8,0)</f>
        <v>3521.2371052414392</v>
      </c>
      <c r="H1206">
        <v>0.06</v>
      </c>
      <c r="I1206" t="s">
        <v>244</v>
      </c>
      <c r="J1206" s="5">
        <v>45507.594524409724</v>
      </c>
      <c r="K1206" s="5">
        <v>45509.189048819448</v>
      </c>
      <c r="M1206">
        <f t="shared" si="37"/>
        <v>10029727675</v>
      </c>
      <c r="N1206">
        <f ca="1">IF(M1206&lt;&gt;M1205,INDEX(CustInfo!$A$2:$A$1001,RANDBETWEEN(1,1000)),N1205)</f>
        <v>11932</v>
      </c>
      <c r="O1206" t="s">
        <v>1001</v>
      </c>
      <c r="P1206">
        <v>52937340</v>
      </c>
    </row>
    <row r="1207" spans="1:16" x14ac:dyDescent="0.35">
      <c r="A1207">
        <v>93827212445</v>
      </c>
      <c r="C1207" s="2" t="s">
        <v>883</v>
      </c>
      <c r="D1207">
        <v>2</v>
      </c>
      <c r="E1207">
        <v>76891213539</v>
      </c>
      <c r="F1207">
        <f t="shared" ca="1" si="36"/>
        <v>2</v>
      </c>
      <c r="G1207">
        <f ca="1">VLOOKUP(E1207,PurchItem!$A$2:$H$508,8,0)</f>
        <v>2018.0212140707813</v>
      </c>
      <c r="H1207">
        <v>0.04</v>
      </c>
      <c r="I1207" t="s">
        <v>244</v>
      </c>
      <c r="J1207" s="5">
        <v>44649.594524409724</v>
      </c>
      <c r="K1207" s="5">
        <v>44652.189048819448</v>
      </c>
      <c r="M1207">
        <f t="shared" si="37"/>
        <v>10029727675</v>
      </c>
      <c r="N1207">
        <f ca="1">IF(M1207&lt;&gt;M1206,INDEX(CustInfo!$A$2:$A$1001,RANDBETWEEN(1,1000)),N1206)</f>
        <v>11932</v>
      </c>
      <c r="O1207" t="s">
        <v>1001</v>
      </c>
      <c r="P1207">
        <v>52937341</v>
      </c>
    </row>
    <row r="1208" spans="1:16" x14ac:dyDescent="0.35">
      <c r="A1208">
        <v>93827212446</v>
      </c>
      <c r="C1208" s="2" t="s">
        <v>883</v>
      </c>
      <c r="D1208">
        <v>1</v>
      </c>
      <c r="E1208">
        <v>76891213349</v>
      </c>
      <c r="F1208">
        <f t="shared" ca="1" si="36"/>
        <v>12</v>
      </c>
      <c r="G1208">
        <f ca="1">VLOOKUP(E1208,PurchItem!$A$2:$H$508,8,0)</f>
        <v>5182.697525429865</v>
      </c>
      <c r="H1208">
        <v>0.05</v>
      </c>
      <c r="I1208" t="s">
        <v>244</v>
      </c>
      <c r="J1208" s="5">
        <v>44960.594524409724</v>
      </c>
      <c r="K1208" s="5">
        <v>44964.189048819448</v>
      </c>
      <c r="M1208">
        <f t="shared" si="37"/>
        <v>10029727676</v>
      </c>
      <c r="N1208">
        <f ca="1">IF(M1208&lt;&gt;M1207,INDEX(CustInfo!$A$2:$A$1001,RANDBETWEEN(1,1000)),N1207)</f>
        <v>11675</v>
      </c>
      <c r="O1208" t="s">
        <v>1002</v>
      </c>
      <c r="P1208">
        <v>52937342</v>
      </c>
    </row>
    <row r="1209" spans="1:16" x14ac:dyDescent="0.35">
      <c r="A1209">
        <v>93827212446</v>
      </c>
      <c r="C1209" s="2" t="s">
        <v>883</v>
      </c>
      <c r="D1209">
        <v>2</v>
      </c>
      <c r="E1209">
        <v>76891213363</v>
      </c>
      <c r="F1209">
        <f t="shared" ca="1" si="36"/>
        <v>94</v>
      </c>
      <c r="G1209">
        <f ca="1">VLOOKUP(E1209,PurchItem!$A$2:$H$508,8,0)</f>
        <v>1463.7798305631063</v>
      </c>
      <c r="H1209">
        <v>0.04</v>
      </c>
      <c r="I1209" t="s">
        <v>244</v>
      </c>
      <c r="J1209" s="5">
        <v>45236.594524409724</v>
      </c>
      <c r="K1209" s="5">
        <v>45240.189048819448</v>
      </c>
      <c r="M1209">
        <f t="shared" si="37"/>
        <v>10029727676</v>
      </c>
      <c r="N1209">
        <f ca="1">IF(M1209&lt;&gt;M1208,INDEX(CustInfo!$A$2:$A$1001,RANDBETWEEN(1,1000)),N1208)</f>
        <v>11675</v>
      </c>
      <c r="O1209" t="s">
        <v>1002</v>
      </c>
      <c r="P1209">
        <v>52937343</v>
      </c>
    </row>
    <row r="1210" spans="1:16" x14ac:dyDescent="0.35">
      <c r="A1210">
        <v>93827212446</v>
      </c>
      <c r="C1210" s="2" t="s">
        <v>883</v>
      </c>
      <c r="D1210">
        <v>3</v>
      </c>
      <c r="E1210">
        <v>76891213364</v>
      </c>
      <c r="F1210">
        <f t="shared" ca="1" si="36"/>
        <v>59</v>
      </c>
      <c r="G1210">
        <f ca="1">VLOOKUP(E1210,PurchItem!$A$2:$H$508,8,0)</f>
        <v>7469.4625439319479</v>
      </c>
      <c r="H1210">
        <v>0.06</v>
      </c>
      <c r="I1210" t="s">
        <v>244</v>
      </c>
      <c r="J1210" s="5">
        <v>44867.594524409724</v>
      </c>
      <c r="K1210" s="5">
        <v>44870.189048819448</v>
      </c>
      <c r="M1210">
        <f t="shared" si="37"/>
        <v>10029727676</v>
      </c>
      <c r="N1210">
        <f ca="1">IF(M1210&lt;&gt;M1209,INDEX(CustInfo!$A$2:$A$1001,RANDBETWEEN(1,1000)),N1209)</f>
        <v>11675</v>
      </c>
      <c r="O1210" t="s">
        <v>1002</v>
      </c>
      <c r="P1210">
        <v>52937344</v>
      </c>
    </row>
    <row r="1211" spans="1:16" x14ac:dyDescent="0.35">
      <c r="A1211">
        <v>93827212447</v>
      </c>
      <c r="C1211" s="2" t="s">
        <v>883</v>
      </c>
      <c r="D1211">
        <v>1</v>
      </c>
      <c r="E1211">
        <v>76891213346</v>
      </c>
      <c r="F1211">
        <f t="shared" ca="1" si="36"/>
        <v>54</v>
      </c>
      <c r="G1211">
        <f ca="1">VLOOKUP(E1211,PurchItem!$A$2:$H$508,8,0)</f>
        <v>7319.6019842468886</v>
      </c>
      <c r="H1211">
        <v>0.04</v>
      </c>
      <c r="I1211" t="s">
        <v>244</v>
      </c>
      <c r="J1211" s="5">
        <v>45233.594524409724</v>
      </c>
      <c r="K1211" s="5">
        <v>45237.189048819448</v>
      </c>
      <c r="M1211">
        <f t="shared" si="37"/>
        <v>10029727677</v>
      </c>
      <c r="N1211">
        <f ca="1">IF(M1211&lt;&gt;M1210,INDEX(CustInfo!$A$2:$A$1001,RANDBETWEEN(1,1000)),N1210)</f>
        <v>11660</v>
      </c>
      <c r="O1211" t="s">
        <v>1001</v>
      </c>
      <c r="P1211">
        <v>52937345</v>
      </c>
    </row>
    <row r="1212" spans="1:16" x14ac:dyDescent="0.35">
      <c r="A1212">
        <v>93827212447</v>
      </c>
      <c r="C1212" s="2" t="s">
        <v>883</v>
      </c>
      <c r="D1212">
        <v>2</v>
      </c>
      <c r="E1212">
        <v>76891213460</v>
      </c>
      <c r="F1212">
        <f t="shared" ca="1" si="36"/>
        <v>2</v>
      </c>
      <c r="G1212">
        <f ca="1">VLOOKUP(E1212,PurchItem!$A$2:$H$508,8,0)</f>
        <v>6992.4051616071765</v>
      </c>
      <c r="H1212">
        <v>0.04</v>
      </c>
      <c r="I1212" t="s">
        <v>244</v>
      </c>
      <c r="J1212" s="5">
        <v>44626.594524409724</v>
      </c>
      <c r="K1212" s="5">
        <v>44627.189048819448</v>
      </c>
      <c r="M1212">
        <f t="shared" si="37"/>
        <v>10029727677</v>
      </c>
      <c r="N1212">
        <f ca="1">IF(M1212&lt;&gt;M1211,INDEX(CustInfo!$A$2:$A$1001,RANDBETWEEN(1,1000)),N1211)</f>
        <v>11660</v>
      </c>
      <c r="O1212" t="s">
        <v>1001</v>
      </c>
      <c r="P1212">
        <v>52937346</v>
      </c>
    </row>
    <row r="1213" spans="1:16" x14ac:dyDescent="0.35">
      <c r="A1213">
        <v>93827212447</v>
      </c>
      <c r="C1213" s="2" t="s">
        <v>883</v>
      </c>
      <c r="D1213">
        <v>3</v>
      </c>
      <c r="E1213">
        <v>76891213568</v>
      </c>
      <c r="F1213">
        <f t="shared" ca="1" si="36"/>
        <v>62</v>
      </c>
      <c r="G1213">
        <f ca="1">VLOOKUP(E1213,PurchItem!$A$2:$H$508,8,0)</f>
        <v>7832.221940741756</v>
      </c>
      <c r="H1213">
        <v>0.06</v>
      </c>
      <c r="I1213" t="s">
        <v>244</v>
      </c>
      <c r="J1213" s="5">
        <v>44718.594524409724</v>
      </c>
      <c r="K1213" s="5">
        <v>44722.189048819448</v>
      </c>
      <c r="M1213">
        <f t="shared" si="37"/>
        <v>10029727677</v>
      </c>
      <c r="N1213">
        <f ca="1">IF(M1213&lt;&gt;M1212,INDEX(CustInfo!$A$2:$A$1001,RANDBETWEEN(1,1000)),N1212)</f>
        <v>11660</v>
      </c>
      <c r="O1213" t="s">
        <v>1001</v>
      </c>
      <c r="P1213">
        <v>52937347</v>
      </c>
    </row>
    <row r="1214" spans="1:16" x14ac:dyDescent="0.35">
      <c r="A1214">
        <v>93827212447</v>
      </c>
      <c r="C1214" s="2" t="s">
        <v>883</v>
      </c>
      <c r="D1214">
        <v>4</v>
      </c>
      <c r="E1214">
        <v>76891213171</v>
      </c>
      <c r="F1214">
        <f t="shared" ca="1" si="36"/>
        <v>34</v>
      </c>
      <c r="G1214">
        <f ca="1">VLOOKUP(E1214,PurchItem!$A$2:$H$508,8,0)</f>
        <v>2108.5600192484262</v>
      </c>
      <c r="H1214">
        <v>0.04</v>
      </c>
      <c r="I1214" t="s">
        <v>244</v>
      </c>
      <c r="J1214" s="5">
        <v>45352.594524409724</v>
      </c>
      <c r="K1214" s="5">
        <v>45356.189048819448</v>
      </c>
      <c r="M1214">
        <f t="shared" si="37"/>
        <v>10029727677</v>
      </c>
      <c r="N1214">
        <f ca="1">IF(M1214&lt;&gt;M1213,INDEX(CustInfo!$A$2:$A$1001,RANDBETWEEN(1,1000)),N1213)</f>
        <v>11660</v>
      </c>
      <c r="O1214" t="s">
        <v>1001</v>
      </c>
      <c r="P1214">
        <v>52937348</v>
      </c>
    </row>
    <row r="1215" spans="1:16" x14ac:dyDescent="0.35">
      <c r="A1215">
        <v>93827212448</v>
      </c>
      <c r="C1215" s="2" t="s">
        <v>883</v>
      </c>
      <c r="D1215">
        <v>1</v>
      </c>
      <c r="E1215">
        <v>76891213522</v>
      </c>
      <c r="F1215">
        <f t="shared" ca="1" si="36"/>
        <v>65</v>
      </c>
      <c r="G1215">
        <f ca="1">VLOOKUP(E1215,PurchItem!$A$2:$H$508,8,0)</f>
        <v>2861.1857686932035</v>
      </c>
      <c r="H1215">
        <v>0.05</v>
      </c>
      <c r="I1215" t="s">
        <v>244</v>
      </c>
      <c r="J1215" s="5">
        <v>44737.594524409724</v>
      </c>
      <c r="K1215" s="5">
        <v>44741.189048819448</v>
      </c>
      <c r="M1215">
        <f t="shared" si="37"/>
        <v>10029727678</v>
      </c>
      <c r="N1215">
        <f ca="1">IF(M1215&lt;&gt;M1214,INDEX(CustInfo!$A$2:$A$1001,RANDBETWEEN(1,1000)),N1214)</f>
        <v>11332</v>
      </c>
      <c r="O1215" t="s">
        <v>1001</v>
      </c>
      <c r="P1215">
        <v>52937349</v>
      </c>
    </row>
    <row r="1216" spans="1:16" x14ac:dyDescent="0.35">
      <c r="A1216">
        <v>93827212448</v>
      </c>
      <c r="C1216" s="2" t="s">
        <v>883</v>
      </c>
      <c r="D1216">
        <v>2</v>
      </c>
      <c r="E1216">
        <v>76891213603</v>
      </c>
      <c r="F1216">
        <f t="shared" ca="1" si="36"/>
        <v>87</v>
      </c>
      <c r="G1216">
        <f ca="1">VLOOKUP(E1216,PurchItem!$A$2:$H$508,8,0)</f>
        <v>4831.6381960821909</v>
      </c>
      <c r="H1216">
        <v>0.06</v>
      </c>
      <c r="I1216" t="s">
        <v>244</v>
      </c>
      <c r="J1216" s="5">
        <v>45169.594524409724</v>
      </c>
      <c r="K1216" s="5">
        <v>45172.189048819448</v>
      </c>
      <c r="M1216">
        <f t="shared" si="37"/>
        <v>10029727678</v>
      </c>
      <c r="N1216">
        <f ca="1">IF(M1216&lt;&gt;M1215,INDEX(CustInfo!$A$2:$A$1001,RANDBETWEEN(1,1000)),N1215)</f>
        <v>11332</v>
      </c>
      <c r="O1216" t="s">
        <v>1001</v>
      </c>
      <c r="P1216">
        <v>52937350</v>
      </c>
    </row>
    <row r="1217" spans="1:16" x14ac:dyDescent="0.35">
      <c r="A1217">
        <v>93827212448</v>
      </c>
      <c r="C1217" s="2" t="s">
        <v>883</v>
      </c>
      <c r="D1217">
        <v>3</v>
      </c>
      <c r="E1217">
        <v>76891213542</v>
      </c>
      <c r="F1217">
        <f t="shared" ca="1" si="36"/>
        <v>52</v>
      </c>
      <c r="G1217">
        <f ca="1">VLOOKUP(E1217,PurchItem!$A$2:$H$508,8,0)</f>
        <v>6787.2982998588732</v>
      </c>
      <c r="H1217">
        <v>0.05</v>
      </c>
      <c r="I1217" t="s">
        <v>244</v>
      </c>
      <c r="J1217" s="5">
        <v>44634.594524409724</v>
      </c>
      <c r="K1217" s="5">
        <v>44637.189048819448</v>
      </c>
      <c r="M1217">
        <f t="shared" si="37"/>
        <v>10029727678</v>
      </c>
      <c r="N1217">
        <f ca="1">IF(M1217&lt;&gt;M1216,INDEX(CustInfo!$A$2:$A$1001,RANDBETWEEN(1,1000)),N1216)</f>
        <v>11332</v>
      </c>
      <c r="O1217" t="s">
        <v>1001</v>
      </c>
      <c r="P1217">
        <v>52937351</v>
      </c>
    </row>
    <row r="1218" spans="1:16" x14ac:dyDescent="0.35">
      <c r="A1218">
        <v>93827212449</v>
      </c>
      <c r="C1218" s="2" t="s">
        <v>883</v>
      </c>
      <c r="D1218">
        <v>1</v>
      </c>
      <c r="E1218">
        <v>76891213187</v>
      </c>
      <c r="F1218">
        <f t="shared" ca="1" si="36"/>
        <v>43</v>
      </c>
      <c r="G1218">
        <f ca="1">VLOOKUP(E1218,PurchItem!$A$2:$H$508,8,0)</f>
        <v>9230.4715911830135</v>
      </c>
      <c r="H1218">
        <v>0.04</v>
      </c>
      <c r="I1218" t="s">
        <v>244</v>
      </c>
      <c r="J1218" s="5">
        <v>44738.594524409724</v>
      </c>
      <c r="K1218" s="5">
        <v>44739.189048819448</v>
      </c>
      <c r="M1218">
        <f t="shared" si="37"/>
        <v>10029727679</v>
      </c>
      <c r="N1218">
        <f ca="1">IF(M1218&lt;&gt;M1217,INDEX(CustInfo!$A$2:$A$1001,RANDBETWEEN(1,1000)),N1217)</f>
        <v>11765</v>
      </c>
      <c r="O1218" t="s">
        <v>1001</v>
      </c>
      <c r="P1218">
        <v>52937352</v>
      </c>
    </row>
    <row r="1219" spans="1:16" x14ac:dyDescent="0.35">
      <c r="A1219">
        <v>93827212449</v>
      </c>
      <c r="C1219" s="2" t="s">
        <v>883</v>
      </c>
      <c r="D1219">
        <v>2</v>
      </c>
      <c r="E1219">
        <v>76891213502</v>
      </c>
      <c r="F1219">
        <f t="shared" ref="F1219:F1282" ca="1" si="38">RANDBETWEEN(1,100)</f>
        <v>52</v>
      </c>
      <c r="G1219">
        <f ca="1">VLOOKUP(E1219,PurchItem!$A$2:$H$508,8,0)</f>
        <v>7081.1969266698825</v>
      </c>
      <c r="H1219">
        <v>0.04</v>
      </c>
      <c r="I1219" t="s">
        <v>244</v>
      </c>
      <c r="J1219" s="5">
        <v>44588.594524409724</v>
      </c>
      <c r="K1219" s="5">
        <v>44589.189048819448</v>
      </c>
      <c r="M1219">
        <f t="shared" si="37"/>
        <v>10029727679</v>
      </c>
      <c r="N1219">
        <f ca="1">IF(M1219&lt;&gt;M1218,INDEX(CustInfo!$A$2:$A$1001,RANDBETWEEN(1,1000)),N1218)</f>
        <v>11765</v>
      </c>
      <c r="O1219" t="s">
        <v>1001</v>
      </c>
      <c r="P1219">
        <v>52937353</v>
      </c>
    </row>
    <row r="1220" spans="1:16" x14ac:dyDescent="0.35">
      <c r="A1220">
        <v>93827212449</v>
      </c>
      <c r="C1220" s="2" t="s">
        <v>883</v>
      </c>
      <c r="D1220">
        <v>3</v>
      </c>
      <c r="E1220">
        <v>76891213339</v>
      </c>
      <c r="F1220">
        <f t="shared" ca="1" si="38"/>
        <v>63</v>
      </c>
      <c r="G1220">
        <f ca="1">VLOOKUP(E1220,PurchItem!$A$2:$H$508,8,0)</f>
        <v>1786.9343173094894</v>
      </c>
      <c r="H1220">
        <v>0.04</v>
      </c>
      <c r="I1220" t="s">
        <v>244</v>
      </c>
      <c r="J1220" s="5">
        <v>45276.594524409724</v>
      </c>
      <c r="K1220" s="5">
        <v>45280.189048819448</v>
      </c>
      <c r="M1220">
        <f t="shared" si="37"/>
        <v>10029727679</v>
      </c>
      <c r="N1220">
        <f ca="1">IF(M1220&lt;&gt;M1219,INDEX(CustInfo!$A$2:$A$1001,RANDBETWEEN(1,1000)),N1219)</f>
        <v>11765</v>
      </c>
      <c r="O1220" t="s">
        <v>1001</v>
      </c>
      <c r="P1220">
        <v>52937354</v>
      </c>
    </row>
    <row r="1221" spans="1:16" x14ac:dyDescent="0.35">
      <c r="A1221">
        <v>93827212449</v>
      </c>
      <c r="C1221" s="2" t="s">
        <v>883</v>
      </c>
      <c r="D1221">
        <v>4</v>
      </c>
      <c r="E1221">
        <v>76891213618</v>
      </c>
      <c r="F1221">
        <f t="shared" ca="1" si="38"/>
        <v>60</v>
      </c>
      <c r="G1221">
        <f ca="1">VLOOKUP(E1221,PurchItem!$A$2:$H$508,8,0)</f>
        <v>3216.4328612514669</v>
      </c>
      <c r="H1221">
        <v>0.05</v>
      </c>
      <c r="I1221" t="s">
        <v>244</v>
      </c>
      <c r="J1221" s="5">
        <v>45399.594524409724</v>
      </c>
      <c r="K1221" s="5">
        <v>45402.189048819448</v>
      </c>
      <c r="M1221">
        <f t="shared" ref="M1221:M1284" si="39">IF(A1221&lt;&gt;A1220,M1220+1,M1220)</f>
        <v>10029727679</v>
      </c>
      <c r="N1221">
        <f ca="1">IF(M1221&lt;&gt;M1220,INDEX(CustInfo!$A$2:$A$1001,RANDBETWEEN(1,1000)),N1220)</f>
        <v>11765</v>
      </c>
      <c r="O1221" t="s">
        <v>1001</v>
      </c>
      <c r="P1221">
        <v>52937355</v>
      </c>
    </row>
    <row r="1222" spans="1:16" x14ac:dyDescent="0.35">
      <c r="A1222">
        <v>93827212450</v>
      </c>
      <c r="C1222" s="2" t="s">
        <v>883</v>
      </c>
      <c r="D1222">
        <v>1</v>
      </c>
      <c r="E1222">
        <v>76891213372</v>
      </c>
      <c r="F1222">
        <f t="shared" ca="1" si="38"/>
        <v>63</v>
      </c>
      <c r="G1222">
        <f ca="1">VLOOKUP(E1222,PurchItem!$A$2:$H$508,8,0)</f>
        <v>6535.386894947068</v>
      </c>
      <c r="H1222">
        <v>0.06</v>
      </c>
      <c r="I1222" t="s">
        <v>244</v>
      </c>
      <c r="J1222" s="5">
        <v>44610.594524409724</v>
      </c>
      <c r="K1222" s="5">
        <v>44612.189048819448</v>
      </c>
      <c r="M1222">
        <f t="shared" si="39"/>
        <v>10029727680</v>
      </c>
      <c r="N1222">
        <f ca="1">IF(M1222&lt;&gt;M1221,INDEX(CustInfo!$A$2:$A$1001,RANDBETWEEN(1,1000)),N1221)</f>
        <v>11369</v>
      </c>
      <c r="O1222" t="s">
        <v>1002</v>
      </c>
      <c r="P1222">
        <v>52937356</v>
      </c>
    </row>
    <row r="1223" spans="1:16" x14ac:dyDescent="0.35">
      <c r="A1223">
        <v>93827212451</v>
      </c>
      <c r="C1223" s="2" t="s">
        <v>883</v>
      </c>
      <c r="D1223">
        <v>1</v>
      </c>
      <c r="E1223">
        <v>76891213310</v>
      </c>
      <c r="F1223">
        <f t="shared" ca="1" si="38"/>
        <v>79</v>
      </c>
      <c r="G1223">
        <f ca="1">VLOOKUP(E1223,PurchItem!$A$2:$H$508,8,0)</f>
        <v>7148.7204018000157</v>
      </c>
      <c r="H1223">
        <v>0.05</v>
      </c>
      <c r="I1223" t="s">
        <v>244</v>
      </c>
      <c r="J1223" s="5">
        <v>44977.594524409724</v>
      </c>
      <c r="K1223" s="5">
        <v>44981.189048819448</v>
      </c>
      <c r="M1223">
        <f t="shared" si="39"/>
        <v>10029727681</v>
      </c>
      <c r="N1223">
        <f ca="1">IF(M1223&lt;&gt;M1222,INDEX(CustInfo!$A$2:$A$1001,RANDBETWEEN(1,1000)),N1222)</f>
        <v>11226</v>
      </c>
      <c r="O1223" t="s">
        <v>1001</v>
      </c>
      <c r="P1223">
        <v>52937357</v>
      </c>
    </row>
    <row r="1224" spans="1:16" x14ac:dyDescent="0.35">
      <c r="A1224">
        <v>93827212452</v>
      </c>
      <c r="C1224" s="2" t="s">
        <v>883</v>
      </c>
      <c r="D1224">
        <v>1</v>
      </c>
      <c r="E1224">
        <v>76891213259</v>
      </c>
      <c r="F1224">
        <f t="shared" ca="1" si="38"/>
        <v>55</v>
      </c>
      <c r="G1224">
        <f ca="1">VLOOKUP(E1224,PurchItem!$A$2:$H$508,8,0)</f>
        <v>2690.2809923861096</v>
      </c>
      <c r="H1224">
        <v>0.06</v>
      </c>
      <c r="I1224" t="s">
        <v>244</v>
      </c>
      <c r="J1224" s="5">
        <v>44705.594524409724</v>
      </c>
      <c r="K1224" s="5">
        <v>44709.189048819448</v>
      </c>
      <c r="M1224">
        <f t="shared" si="39"/>
        <v>10029727682</v>
      </c>
      <c r="N1224">
        <f ca="1">IF(M1224&lt;&gt;M1223,INDEX(CustInfo!$A$2:$A$1001,RANDBETWEEN(1,1000)),N1223)</f>
        <v>11399</v>
      </c>
      <c r="O1224" t="s">
        <v>1001</v>
      </c>
      <c r="P1224">
        <v>52937358</v>
      </c>
    </row>
    <row r="1225" spans="1:16" x14ac:dyDescent="0.35">
      <c r="A1225">
        <v>93827212452</v>
      </c>
      <c r="C1225" s="2" t="s">
        <v>883</v>
      </c>
      <c r="D1225">
        <v>2</v>
      </c>
      <c r="E1225">
        <v>76891213509</v>
      </c>
      <c r="F1225">
        <f t="shared" ca="1" si="38"/>
        <v>38</v>
      </c>
      <c r="G1225">
        <f ca="1">VLOOKUP(E1225,PurchItem!$A$2:$H$508,8,0)</f>
        <v>8828.2564542238288</v>
      </c>
      <c r="H1225">
        <v>0.05</v>
      </c>
      <c r="I1225" t="s">
        <v>244</v>
      </c>
      <c r="J1225" s="5">
        <v>45270.594524409724</v>
      </c>
      <c r="K1225" s="5">
        <v>45274.189048819448</v>
      </c>
      <c r="M1225">
        <f t="shared" si="39"/>
        <v>10029727682</v>
      </c>
      <c r="N1225">
        <f ca="1">IF(M1225&lt;&gt;M1224,INDEX(CustInfo!$A$2:$A$1001,RANDBETWEEN(1,1000)),N1224)</f>
        <v>11399</v>
      </c>
      <c r="O1225" t="s">
        <v>1001</v>
      </c>
      <c r="P1225">
        <v>52937359</v>
      </c>
    </row>
    <row r="1226" spans="1:16" x14ac:dyDescent="0.35">
      <c r="A1226">
        <v>93827212452</v>
      </c>
      <c r="C1226" s="2" t="s">
        <v>883</v>
      </c>
      <c r="D1226">
        <v>3</v>
      </c>
      <c r="E1226">
        <v>76891213620</v>
      </c>
      <c r="F1226">
        <f t="shared" ca="1" si="38"/>
        <v>63</v>
      </c>
      <c r="G1226">
        <f ca="1">VLOOKUP(E1226,PurchItem!$A$2:$H$508,8,0)</f>
        <v>261.77946432896999</v>
      </c>
      <c r="H1226">
        <v>0.04</v>
      </c>
      <c r="I1226" t="s">
        <v>244</v>
      </c>
      <c r="J1226" s="5">
        <v>45026.594524409724</v>
      </c>
      <c r="K1226" s="5">
        <v>45029.189048819448</v>
      </c>
      <c r="M1226">
        <f t="shared" si="39"/>
        <v>10029727682</v>
      </c>
      <c r="N1226">
        <f ca="1">IF(M1226&lt;&gt;M1225,INDEX(CustInfo!$A$2:$A$1001,RANDBETWEEN(1,1000)),N1225)</f>
        <v>11399</v>
      </c>
      <c r="O1226" t="s">
        <v>1001</v>
      </c>
      <c r="P1226">
        <v>52937360</v>
      </c>
    </row>
    <row r="1227" spans="1:16" x14ac:dyDescent="0.35">
      <c r="A1227">
        <v>93827212452</v>
      </c>
      <c r="C1227" s="2" t="s">
        <v>883</v>
      </c>
      <c r="D1227">
        <v>4</v>
      </c>
      <c r="E1227">
        <v>76891213312</v>
      </c>
      <c r="F1227">
        <f t="shared" ca="1" si="38"/>
        <v>47</v>
      </c>
      <c r="G1227">
        <f ca="1">VLOOKUP(E1227,PurchItem!$A$2:$H$508,8,0)</f>
        <v>4852.9147599245198</v>
      </c>
      <c r="H1227">
        <v>0.05</v>
      </c>
      <c r="I1227" t="s">
        <v>244</v>
      </c>
      <c r="J1227" s="5">
        <v>44882.594524409724</v>
      </c>
      <c r="K1227" s="5">
        <v>44885.189048819448</v>
      </c>
      <c r="M1227">
        <f t="shared" si="39"/>
        <v>10029727682</v>
      </c>
      <c r="N1227">
        <f ca="1">IF(M1227&lt;&gt;M1226,INDEX(CustInfo!$A$2:$A$1001,RANDBETWEEN(1,1000)),N1226)</f>
        <v>11399</v>
      </c>
      <c r="O1227" t="s">
        <v>1001</v>
      </c>
      <c r="P1227">
        <v>52937361</v>
      </c>
    </row>
    <row r="1228" spans="1:16" x14ac:dyDescent="0.35">
      <c r="A1228">
        <v>93827212453</v>
      </c>
      <c r="C1228" s="2" t="s">
        <v>883</v>
      </c>
      <c r="D1228">
        <v>1</v>
      </c>
      <c r="E1228">
        <v>76891213293</v>
      </c>
      <c r="F1228">
        <f t="shared" ca="1" si="38"/>
        <v>24</v>
      </c>
      <c r="G1228">
        <f ca="1">VLOOKUP(E1228,PurchItem!$A$2:$H$508,8,0)</f>
        <v>1389.1874106181256</v>
      </c>
      <c r="H1228">
        <v>0.06</v>
      </c>
      <c r="I1228" t="s">
        <v>244</v>
      </c>
      <c r="J1228" s="5">
        <v>45173.594524409724</v>
      </c>
      <c r="K1228" s="5">
        <v>45174.189048819448</v>
      </c>
      <c r="M1228">
        <f t="shared" si="39"/>
        <v>10029727683</v>
      </c>
      <c r="N1228">
        <f ca="1">IF(M1228&lt;&gt;M1227,INDEX(CustInfo!$A$2:$A$1001,RANDBETWEEN(1,1000)),N1227)</f>
        <v>11658</v>
      </c>
      <c r="O1228" t="s">
        <v>1002</v>
      </c>
      <c r="P1228">
        <v>52937362</v>
      </c>
    </row>
    <row r="1229" spans="1:16" x14ac:dyDescent="0.35">
      <c r="A1229">
        <v>93827212454</v>
      </c>
      <c r="C1229" s="2" t="s">
        <v>883</v>
      </c>
      <c r="D1229">
        <v>1</v>
      </c>
      <c r="E1229">
        <v>76891213553</v>
      </c>
      <c r="F1229">
        <f t="shared" ca="1" si="38"/>
        <v>36</v>
      </c>
      <c r="G1229">
        <f ca="1">VLOOKUP(E1229,PurchItem!$A$2:$H$508,8,0)</f>
        <v>6673.2582146081568</v>
      </c>
      <c r="H1229">
        <v>0.04</v>
      </c>
      <c r="I1229" t="s">
        <v>244</v>
      </c>
      <c r="J1229" s="5">
        <v>44976.594524409724</v>
      </c>
      <c r="K1229" s="5">
        <v>44979.189048819448</v>
      </c>
      <c r="M1229">
        <f t="shared" si="39"/>
        <v>10029727684</v>
      </c>
      <c r="N1229">
        <f ca="1">IF(M1229&lt;&gt;M1228,INDEX(CustInfo!$A$2:$A$1001,RANDBETWEEN(1,1000)),N1228)</f>
        <v>11492</v>
      </c>
      <c r="O1229" t="s">
        <v>1003</v>
      </c>
      <c r="P1229">
        <v>52937363</v>
      </c>
    </row>
    <row r="1230" spans="1:16" x14ac:dyDescent="0.35">
      <c r="A1230">
        <v>93827212454</v>
      </c>
      <c r="C1230" s="2" t="s">
        <v>883</v>
      </c>
      <c r="D1230">
        <v>2</v>
      </c>
      <c r="E1230">
        <v>76891213326</v>
      </c>
      <c r="F1230">
        <f t="shared" ca="1" si="38"/>
        <v>9</v>
      </c>
      <c r="G1230">
        <f ca="1">VLOOKUP(E1230,PurchItem!$A$2:$H$508,8,0)</f>
        <v>8893.450961561346</v>
      </c>
      <c r="H1230">
        <v>0.05</v>
      </c>
      <c r="I1230" t="s">
        <v>244</v>
      </c>
      <c r="J1230" s="5">
        <v>45461.594524409724</v>
      </c>
      <c r="K1230" s="5">
        <v>45462.189048819448</v>
      </c>
      <c r="M1230">
        <f t="shared" si="39"/>
        <v>10029727684</v>
      </c>
      <c r="N1230">
        <f ca="1">IF(M1230&lt;&gt;M1229,INDEX(CustInfo!$A$2:$A$1001,RANDBETWEEN(1,1000)),N1229)</f>
        <v>11492</v>
      </c>
      <c r="O1230" t="s">
        <v>1003</v>
      </c>
      <c r="P1230">
        <v>52937364</v>
      </c>
    </row>
    <row r="1231" spans="1:16" x14ac:dyDescent="0.35">
      <c r="A1231">
        <v>93827212454</v>
      </c>
      <c r="C1231" s="2" t="s">
        <v>883</v>
      </c>
      <c r="D1231">
        <v>3</v>
      </c>
      <c r="E1231">
        <v>76891213403</v>
      </c>
      <c r="F1231">
        <f t="shared" ca="1" si="38"/>
        <v>55</v>
      </c>
      <c r="G1231">
        <f ca="1">VLOOKUP(E1231,PurchItem!$A$2:$H$508,8,0)</f>
        <v>7222.6267597950819</v>
      </c>
      <c r="H1231">
        <v>0.04</v>
      </c>
      <c r="I1231" t="s">
        <v>244</v>
      </c>
      <c r="J1231" s="5">
        <v>45400.594524409724</v>
      </c>
      <c r="K1231" s="5">
        <v>45403.189048819448</v>
      </c>
      <c r="M1231">
        <f t="shared" si="39"/>
        <v>10029727684</v>
      </c>
      <c r="N1231">
        <f ca="1">IF(M1231&lt;&gt;M1230,INDEX(CustInfo!$A$2:$A$1001,RANDBETWEEN(1,1000)),N1230)</f>
        <v>11492</v>
      </c>
      <c r="O1231" t="s">
        <v>1003</v>
      </c>
      <c r="P1231">
        <v>52937365</v>
      </c>
    </row>
    <row r="1232" spans="1:16" x14ac:dyDescent="0.35">
      <c r="A1232">
        <v>93827212454</v>
      </c>
      <c r="C1232" s="2" t="s">
        <v>883</v>
      </c>
      <c r="D1232">
        <v>4</v>
      </c>
      <c r="E1232">
        <v>76891213308</v>
      </c>
      <c r="F1232">
        <f t="shared" ca="1" si="38"/>
        <v>14</v>
      </c>
      <c r="G1232">
        <f ca="1">VLOOKUP(E1232,PurchItem!$A$2:$H$508,8,0)</f>
        <v>6506.0693874211602</v>
      </c>
      <c r="H1232">
        <v>0.05</v>
      </c>
      <c r="I1232" t="s">
        <v>244</v>
      </c>
      <c r="J1232" s="5">
        <v>45567.594524409724</v>
      </c>
      <c r="K1232" s="5">
        <v>45571.189048819448</v>
      </c>
      <c r="M1232">
        <f t="shared" si="39"/>
        <v>10029727684</v>
      </c>
      <c r="N1232">
        <f ca="1">IF(M1232&lt;&gt;M1231,INDEX(CustInfo!$A$2:$A$1001,RANDBETWEEN(1,1000)),N1231)</f>
        <v>11492</v>
      </c>
      <c r="O1232" t="s">
        <v>1003</v>
      </c>
      <c r="P1232">
        <v>52937366</v>
      </c>
    </row>
    <row r="1233" spans="1:16" x14ac:dyDescent="0.35">
      <c r="A1233">
        <v>93827212455</v>
      </c>
      <c r="C1233" s="2" t="s">
        <v>883</v>
      </c>
      <c r="D1233">
        <v>1</v>
      </c>
      <c r="E1233">
        <v>76891213499</v>
      </c>
      <c r="F1233">
        <f t="shared" ca="1" si="38"/>
        <v>56</v>
      </c>
      <c r="G1233">
        <f ca="1">VLOOKUP(E1233,PurchItem!$A$2:$H$508,8,0)</f>
        <v>4264.1968914330655</v>
      </c>
      <c r="H1233">
        <v>0.06</v>
      </c>
      <c r="I1233" t="s">
        <v>244</v>
      </c>
      <c r="J1233" s="5">
        <v>45608.594524409724</v>
      </c>
      <c r="K1233" s="5">
        <v>45609.189048819448</v>
      </c>
      <c r="M1233">
        <f t="shared" si="39"/>
        <v>10029727685</v>
      </c>
      <c r="N1233">
        <f ca="1">IF(M1233&lt;&gt;M1232,INDEX(CustInfo!$A$2:$A$1001,RANDBETWEEN(1,1000)),N1232)</f>
        <v>11249</v>
      </c>
      <c r="O1233" t="s">
        <v>1002</v>
      </c>
      <c r="P1233">
        <v>52937367</v>
      </c>
    </row>
    <row r="1234" spans="1:16" x14ac:dyDescent="0.35">
      <c r="A1234">
        <v>93827212455</v>
      </c>
      <c r="C1234" s="2" t="s">
        <v>883</v>
      </c>
      <c r="D1234">
        <v>2</v>
      </c>
      <c r="E1234">
        <v>76891213349</v>
      </c>
      <c r="F1234">
        <f t="shared" ca="1" si="38"/>
        <v>17</v>
      </c>
      <c r="G1234">
        <f ca="1">VLOOKUP(E1234,PurchItem!$A$2:$H$508,8,0)</f>
        <v>5182.697525429865</v>
      </c>
      <c r="H1234">
        <v>0.06</v>
      </c>
      <c r="I1234" t="s">
        <v>244</v>
      </c>
      <c r="J1234" s="5">
        <v>45128.594524409724</v>
      </c>
      <c r="K1234" s="5">
        <v>45129.189048819448</v>
      </c>
      <c r="M1234">
        <f t="shared" si="39"/>
        <v>10029727685</v>
      </c>
      <c r="N1234">
        <f ca="1">IF(M1234&lt;&gt;M1233,INDEX(CustInfo!$A$2:$A$1001,RANDBETWEEN(1,1000)),N1233)</f>
        <v>11249</v>
      </c>
      <c r="O1234" t="s">
        <v>1002</v>
      </c>
      <c r="P1234">
        <v>52937368</v>
      </c>
    </row>
    <row r="1235" spans="1:16" x14ac:dyDescent="0.35">
      <c r="A1235">
        <v>93827212455</v>
      </c>
      <c r="C1235" s="2" t="s">
        <v>883</v>
      </c>
      <c r="D1235">
        <v>3</v>
      </c>
      <c r="E1235">
        <v>76891213624</v>
      </c>
      <c r="F1235">
        <f t="shared" ca="1" si="38"/>
        <v>67</v>
      </c>
      <c r="G1235">
        <f ca="1">VLOOKUP(E1235,PurchItem!$A$2:$H$508,8,0)</f>
        <v>4975.1506502302827</v>
      </c>
      <c r="H1235">
        <v>0.05</v>
      </c>
      <c r="I1235" t="s">
        <v>244</v>
      </c>
      <c r="J1235" s="5">
        <v>45079.594524409724</v>
      </c>
      <c r="K1235" s="5">
        <v>45081.189048819448</v>
      </c>
      <c r="M1235">
        <f t="shared" si="39"/>
        <v>10029727685</v>
      </c>
      <c r="N1235">
        <f ca="1">IF(M1235&lt;&gt;M1234,INDEX(CustInfo!$A$2:$A$1001,RANDBETWEEN(1,1000)),N1234)</f>
        <v>11249</v>
      </c>
      <c r="O1235" t="s">
        <v>1002</v>
      </c>
      <c r="P1235">
        <v>52937369</v>
      </c>
    </row>
    <row r="1236" spans="1:16" x14ac:dyDescent="0.35">
      <c r="A1236">
        <v>93827212456</v>
      </c>
      <c r="C1236" s="2" t="s">
        <v>883</v>
      </c>
      <c r="D1236">
        <v>1</v>
      </c>
      <c r="E1236">
        <v>76891213558</v>
      </c>
      <c r="F1236">
        <f t="shared" ca="1" si="38"/>
        <v>17</v>
      </c>
      <c r="G1236">
        <f ca="1">VLOOKUP(E1236,PurchItem!$A$2:$H$508,8,0)</f>
        <v>2703.1304184049623</v>
      </c>
      <c r="H1236">
        <v>0.06</v>
      </c>
      <c r="I1236" t="s">
        <v>244</v>
      </c>
      <c r="J1236" s="5">
        <v>44757.594524409724</v>
      </c>
      <c r="K1236" s="5">
        <v>44759.189048819448</v>
      </c>
      <c r="M1236">
        <f t="shared" si="39"/>
        <v>10029727686</v>
      </c>
      <c r="N1236">
        <f ca="1">IF(M1236&lt;&gt;M1235,INDEX(CustInfo!$A$2:$A$1001,RANDBETWEEN(1,1000)),N1235)</f>
        <v>11649</v>
      </c>
      <c r="O1236" t="s">
        <v>1003</v>
      </c>
      <c r="P1236">
        <v>52937370</v>
      </c>
    </row>
    <row r="1237" spans="1:16" x14ac:dyDescent="0.35">
      <c r="A1237">
        <v>93827212457</v>
      </c>
      <c r="C1237" s="2" t="s">
        <v>883</v>
      </c>
      <c r="D1237">
        <v>1</v>
      </c>
      <c r="E1237">
        <v>76891213637</v>
      </c>
      <c r="F1237">
        <f t="shared" ca="1" si="38"/>
        <v>6</v>
      </c>
      <c r="G1237">
        <f ca="1">VLOOKUP(E1237,PurchItem!$A$2:$H$508,8,0)</f>
        <v>5862.4718067063704</v>
      </c>
      <c r="H1237">
        <v>0.04</v>
      </c>
      <c r="I1237" t="s">
        <v>244</v>
      </c>
      <c r="J1237" s="5">
        <v>45023.594524409724</v>
      </c>
      <c r="K1237" s="5">
        <v>45024.189048819448</v>
      </c>
      <c r="M1237">
        <f t="shared" si="39"/>
        <v>10029727687</v>
      </c>
      <c r="N1237">
        <f ca="1">IF(M1237&lt;&gt;M1236,INDEX(CustInfo!$A$2:$A$1001,RANDBETWEEN(1,1000)),N1236)</f>
        <v>11451</v>
      </c>
      <c r="O1237" t="s">
        <v>1003</v>
      </c>
      <c r="P1237">
        <v>52937371</v>
      </c>
    </row>
    <row r="1238" spans="1:16" x14ac:dyDescent="0.35">
      <c r="A1238">
        <v>93827212457</v>
      </c>
      <c r="C1238" s="2" t="s">
        <v>883</v>
      </c>
      <c r="D1238">
        <v>2</v>
      </c>
      <c r="E1238">
        <v>76891213509</v>
      </c>
      <c r="F1238">
        <f t="shared" ca="1" si="38"/>
        <v>24</v>
      </c>
      <c r="G1238">
        <f ca="1">VLOOKUP(E1238,PurchItem!$A$2:$H$508,8,0)</f>
        <v>8828.2564542238288</v>
      </c>
      <c r="H1238">
        <v>0.05</v>
      </c>
      <c r="I1238" t="s">
        <v>244</v>
      </c>
      <c r="J1238" s="5">
        <v>45028.594524409724</v>
      </c>
      <c r="K1238" s="5">
        <v>45032.189048819448</v>
      </c>
      <c r="M1238">
        <f t="shared" si="39"/>
        <v>10029727687</v>
      </c>
      <c r="N1238">
        <f ca="1">IF(M1238&lt;&gt;M1237,INDEX(CustInfo!$A$2:$A$1001,RANDBETWEEN(1,1000)),N1237)</f>
        <v>11451</v>
      </c>
      <c r="O1238" t="s">
        <v>1003</v>
      </c>
      <c r="P1238">
        <v>52937372</v>
      </c>
    </row>
    <row r="1239" spans="1:16" x14ac:dyDescent="0.35">
      <c r="A1239">
        <v>93827212457</v>
      </c>
      <c r="C1239" s="2" t="s">
        <v>883</v>
      </c>
      <c r="D1239">
        <v>3</v>
      </c>
      <c r="E1239">
        <v>76891213244</v>
      </c>
      <c r="F1239">
        <f t="shared" ca="1" si="38"/>
        <v>8</v>
      </c>
      <c r="G1239">
        <f ca="1">VLOOKUP(E1239,PurchItem!$A$2:$H$508,8,0)</f>
        <v>888.41330492322379</v>
      </c>
      <c r="H1239">
        <v>0.04</v>
      </c>
      <c r="I1239" t="s">
        <v>244</v>
      </c>
      <c r="J1239" s="5">
        <v>44971.594524409724</v>
      </c>
      <c r="K1239" s="5">
        <v>44975.189048819448</v>
      </c>
      <c r="M1239">
        <f t="shared" si="39"/>
        <v>10029727687</v>
      </c>
      <c r="N1239">
        <f ca="1">IF(M1239&lt;&gt;M1238,INDEX(CustInfo!$A$2:$A$1001,RANDBETWEEN(1,1000)),N1238)</f>
        <v>11451</v>
      </c>
      <c r="O1239" t="s">
        <v>1003</v>
      </c>
      <c r="P1239">
        <v>52937373</v>
      </c>
    </row>
    <row r="1240" spans="1:16" x14ac:dyDescent="0.35">
      <c r="A1240">
        <v>93827212457</v>
      </c>
      <c r="C1240" s="2" t="s">
        <v>883</v>
      </c>
      <c r="D1240">
        <v>4</v>
      </c>
      <c r="E1240">
        <v>76891213444</v>
      </c>
      <c r="F1240">
        <f t="shared" ca="1" si="38"/>
        <v>13</v>
      </c>
      <c r="G1240">
        <f ca="1">VLOOKUP(E1240,PurchItem!$A$2:$H$508,8,0)</f>
        <v>3599.8456531871029</v>
      </c>
      <c r="H1240">
        <v>0.04</v>
      </c>
      <c r="I1240" t="s">
        <v>244</v>
      </c>
      <c r="J1240" s="5">
        <v>45005.594524409724</v>
      </c>
      <c r="K1240" s="5">
        <v>45007.189048819448</v>
      </c>
      <c r="M1240">
        <f t="shared" si="39"/>
        <v>10029727687</v>
      </c>
      <c r="N1240">
        <f ca="1">IF(M1240&lt;&gt;M1239,INDEX(CustInfo!$A$2:$A$1001,RANDBETWEEN(1,1000)),N1239)</f>
        <v>11451</v>
      </c>
      <c r="O1240" t="s">
        <v>1003</v>
      </c>
      <c r="P1240">
        <v>52937374</v>
      </c>
    </row>
    <row r="1241" spans="1:16" x14ac:dyDescent="0.35">
      <c r="A1241">
        <v>93827212458</v>
      </c>
      <c r="C1241" s="2" t="s">
        <v>883</v>
      </c>
      <c r="D1241">
        <v>1</v>
      </c>
      <c r="E1241">
        <v>76891213179</v>
      </c>
      <c r="F1241">
        <f t="shared" ca="1" si="38"/>
        <v>43</v>
      </c>
      <c r="G1241">
        <f ca="1">VLOOKUP(E1241,PurchItem!$A$2:$H$508,8,0)</f>
        <v>6832.2348521988297</v>
      </c>
      <c r="H1241">
        <v>0.06</v>
      </c>
      <c r="I1241" t="s">
        <v>244</v>
      </c>
      <c r="J1241" s="5">
        <v>44693.594524409724</v>
      </c>
      <c r="K1241" s="5">
        <v>44694.189048819448</v>
      </c>
      <c r="M1241">
        <f t="shared" si="39"/>
        <v>10029727688</v>
      </c>
      <c r="N1241">
        <f ca="1">IF(M1241&lt;&gt;M1240,INDEX(CustInfo!$A$2:$A$1001,RANDBETWEEN(1,1000)),N1240)</f>
        <v>11887</v>
      </c>
      <c r="O1241" t="s">
        <v>1001</v>
      </c>
      <c r="P1241">
        <v>52937375</v>
      </c>
    </row>
    <row r="1242" spans="1:16" x14ac:dyDescent="0.35">
      <c r="A1242">
        <v>93827212458</v>
      </c>
      <c r="C1242" s="2" t="s">
        <v>883</v>
      </c>
      <c r="D1242">
        <v>2</v>
      </c>
      <c r="E1242">
        <v>76891213433</v>
      </c>
      <c r="F1242">
        <f t="shared" ca="1" si="38"/>
        <v>13</v>
      </c>
      <c r="G1242">
        <f ca="1">VLOOKUP(E1242,PurchItem!$A$2:$H$508,8,0)</f>
        <v>8137.8051344838841</v>
      </c>
      <c r="H1242">
        <v>0.06</v>
      </c>
      <c r="I1242" t="s">
        <v>244</v>
      </c>
      <c r="J1242" s="5">
        <v>44575.594524409724</v>
      </c>
      <c r="K1242" s="5">
        <v>44576.189048819448</v>
      </c>
      <c r="M1242">
        <f t="shared" si="39"/>
        <v>10029727688</v>
      </c>
      <c r="N1242">
        <f ca="1">IF(M1242&lt;&gt;M1241,INDEX(CustInfo!$A$2:$A$1001,RANDBETWEEN(1,1000)),N1241)</f>
        <v>11887</v>
      </c>
      <c r="O1242" t="s">
        <v>1001</v>
      </c>
      <c r="P1242">
        <v>52937376</v>
      </c>
    </row>
    <row r="1243" spans="1:16" x14ac:dyDescent="0.35">
      <c r="A1243">
        <v>93827212458</v>
      </c>
      <c r="C1243" s="2" t="s">
        <v>883</v>
      </c>
      <c r="D1243">
        <v>3</v>
      </c>
      <c r="E1243">
        <v>76891213229</v>
      </c>
      <c r="F1243">
        <f t="shared" ca="1" si="38"/>
        <v>78</v>
      </c>
      <c r="G1243">
        <f ca="1">VLOOKUP(E1243,PurchItem!$A$2:$H$508,8,0)</f>
        <v>3150.6874887833542</v>
      </c>
      <c r="H1243">
        <v>0.04</v>
      </c>
      <c r="I1243" t="s">
        <v>244</v>
      </c>
      <c r="J1243" s="5">
        <v>44916.594524409724</v>
      </c>
      <c r="K1243" s="5">
        <v>44918.189048819448</v>
      </c>
      <c r="M1243">
        <f t="shared" si="39"/>
        <v>10029727688</v>
      </c>
      <c r="N1243">
        <f ca="1">IF(M1243&lt;&gt;M1242,INDEX(CustInfo!$A$2:$A$1001,RANDBETWEEN(1,1000)),N1242)</f>
        <v>11887</v>
      </c>
      <c r="O1243" t="s">
        <v>1001</v>
      </c>
      <c r="P1243">
        <v>52937377</v>
      </c>
    </row>
    <row r="1244" spans="1:16" x14ac:dyDescent="0.35">
      <c r="A1244">
        <v>93827212458</v>
      </c>
      <c r="C1244" s="2" t="s">
        <v>883</v>
      </c>
      <c r="D1244">
        <v>4</v>
      </c>
      <c r="E1244">
        <v>76891213590</v>
      </c>
      <c r="F1244">
        <f t="shared" ca="1" si="38"/>
        <v>92</v>
      </c>
      <c r="G1244">
        <f ca="1">VLOOKUP(E1244,PurchItem!$A$2:$H$508,8,0)</f>
        <v>7917.0484239555426</v>
      </c>
      <c r="H1244">
        <v>0.06</v>
      </c>
      <c r="I1244" t="s">
        <v>244</v>
      </c>
      <c r="J1244" s="5">
        <v>45182.594524409724</v>
      </c>
      <c r="K1244" s="5">
        <v>45184.189048819448</v>
      </c>
      <c r="M1244">
        <f t="shared" si="39"/>
        <v>10029727688</v>
      </c>
      <c r="N1244">
        <f ca="1">IF(M1244&lt;&gt;M1243,INDEX(CustInfo!$A$2:$A$1001,RANDBETWEEN(1,1000)),N1243)</f>
        <v>11887</v>
      </c>
      <c r="O1244" t="s">
        <v>1001</v>
      </c>
      <c r="P1244">
        <v>52937378</v>
      </c>
    </row>
    <row r="1245" spans="1:16" x14ac:dyDescent="0.35">
      <c r="A1245">
        <v>93827212459</v>
      </c>
      <c r="C1245" s="2" t="s">
        <v>883</v>
      </c>
      <c r="D1245">
        <v>1</v>
      </c>
      <c r="E1245">
        <v>76891213566</v>
      </c>
      <c r="F1245">
        <f t="shared" ca="1" si="38"/>
        <v>92</v>
      </c>
      <c r="G1245">
        <f ca="1">VLOOKUP(E1245,PurchItem!$A$2:$H$508,8,0)</f>
        <v>4496.7840844503189</v>
      </c>
      <c r="H1245">
        <v>0.05</v>
      </c>
      <c r="I1245" t="s">
        <v>244</v>
      </c>
      <c r="J1245" s="5">
        <v>44592.594524409724</v>
      </c>
      <c r="K1245" s="5">
        <v>44593.189048819448</v>
      </c>
      <c r="M1245">
        <f t="shared" si="39"/>
        <v>10029727689</v>
      </c>
      <c r="N1245">
        <f ca="1">IF(M1245&lt;&gt;M1244,INDEX(CustInfo!$A$2:$A$1001,RANDBETWEEN(1,1000)),N1244)</f>
        <v>11258</v>
      </c>
      <c r="O1245" t="s">
        <v>1003</v>
      </c>
      <c r="P1245">
        <v>52937379</v>
      </c>
    </row>
    <row r="1246" spans="1:16" x14ac:dyDescent="0.35">
      <c r="A1246">
        <v>93827212460</v>
      </c>
      <c r="C1246" s="2" t="s">
        <v>883</v>
      </c>
      <c r="D1246">
        <v>1</v>
      </c>
      <c r="E1246">
        <v>76891213168</v>
      </c>
      <c r="F1246">
        <f t="shared" ca="1" si="38"/>
        <v>2</v>
      </c>
      <c r="G1246">
        <f ca="1">VLOOKUP(E1246,PurchItem!$A$2:$H$508,8,0)</f>
        <v>1428.4461535663661</v>
      </c>
      <c r="H1246">
        <v>0.05</v>
      </c>
      <c r="I1246" t="s">
        <v>244</v>
      </c>
      <c r="J1246" s="5">
        <v>45381.594524409724</v>
      </c>
      <c r="K1246" s="5">
        <v>45383.189048819448</v>
      </c>
      <c r="M1246">
        <f t="shared" si="39"/>
        <v>10029727690</v>
      </c>
      <c r="N1246">
        <f ca="1">IF(M1246&lt;&gt;M1245,INDEX(CustInfo!$A$2:$A$1001,RANDBETWEEN(1,1000)),N1245)</f>
        <v>11182</v>
      </c>
      <c r="O1246" t="s">
        <v>1001</v>
      </c>
      <c r="P1246">
        <v>52937380</v>
      </c>
    </row>
    <row r="1247" spans="1:16" x14ac:dyDescent="0.35">
      <c r="A1247">
        <v>93827212460</v>
      </c>
      <c r="C1247" s="2" t="s">
        <v>883</v>
      </c>
      <c r="D1247">
        <v>2</v>
      </c>
      <c r="E1247">
        <v>76891213236</v>
      </c>
      <c r="F1247">
        <f t="shared" ca="1" si="38"/>
        <v>31</v>
      </c>
      <c r="G1247">
        <f ca="1">VLOOKUP(E1247,PurchItem!$A$2:$H$508,8,0)</f>
        <v>7957.9636559697883</v>
      </c>
      <c r="H1247">
        <v>0.05</v>
      </c>
      <c r="I1247" t="s">
        <v>244</v>
      </c>
      <c r="J1247" s="5">
        <v>45399.594524409724</v>
      </c>
      <c r="K1247" s="5">
        <v>45400.189048819448</v>
      </c>
      <c r="M1247">
        <f t="shared" si="39"/>
        <v>10029727690</v>
      </c>
      <c r="N1247">
        <f ca="1">IF(M1247&lt;&gt;M1246,INDEX(CustInfo!$A$2:$A$1001,RANDBETWEEN(1,1000)),N1246)</f>
        <v>11182</v>
      </c>
      <c r="O1247" t="s">
        <v>1001</v>
      </c>
      <c r="P1247">
        <v>52937381</v>
      </c>
    </row>
    <row r="1248" spans="1:16" x14ac:dyDescent="0.35">
      <c r="A1248">
        <v>93827212460</v>
      </c>
      <c r="C1248" s="2" t="s">
        <v>883</v>
      </c>
      <c r="D1248">
        <v>3</v>
      </c>
      <c r="E1248">
        <v>76891213233</v>
      </c>
      <c r="F1248">
        <f t="shared" ca="1" si="38"/>
        <v>4</v>
      </c>
      <c r="G1248">
        <f ca="1">VLOOKUP(E1248,PurchItem!$A$2:$H$508,8,0)</f>
        <v>9181.2256991220602</v>
      </c>
      <c r="H1248">
        <v>0.04</v>
      </c>
      <c r="I1248" t="s">
        <v>244</v>
      </c>
      <c r="J1248" s="5">
        <v>44831.594524409724</v>
      </c>
      <c r="K1248" s="5">
        <v>44832.189048819448</v>
      </c>
      <c r="M1248">
        <f t="shared" si="39"/>
        <v>10029727690</v>
      </c>
      <c r="N1248">
        <f ca="1">IF(M1248&lt;&gt;M1247,INDEX(CustInfo!$A$2:$A$1001,RANDBETWEEN(1,1000)),N1247)</f>
        <v>11182</v>
      </c>
      <c r="O1248" t="s">
        <v>1001</v>
      </c>
      <c r="P1248">
        <v>52937382</v>
      </c>
    </row>
    <row r="1249" spans="1:16" x14ac:dyDescent="0.35">
      <c r="A1249">
        <v>93827212461</v>
      </c>
      <c r="C1249" s="2" t="s">
        <v>883</v>
      </c>
      <c r="D1249">
        <v>1</v>
      </c>
      <c r="E1249">
        <v>76891213292</v>
      </c>
      <c r="F1249">
        <f t="shared" ca="1" si="38"/>
        <v>89</v>
      </c>
      <c r="G1249">
        <f ca="1">VLOOKUP(E1249,PurchItem!$A$2:$H$508,8,0)</f>
        <v>6706.8830844652466</v>
      </c>
      <c r="H1249">
        <v>0.04</v>
      </c>
      <c r="I1249" t="s">
        <v>244</v>
      </c>
      <c r="J1249" s="5">
        <v>44896.594524409724</v>
      </c>
      <c r="K1249" s="5">
        <v>44899.189048819448</v>
      </c>
      <c r="M1249">
        <f t="shared" si="39"/>
        <v>10029727691</v>
      </c>
      <c r="N1249">
        <f ca="1">IF(M1249&lt;&gt;M1248,INDEX(CustInfo!$A$2:$A$1001,RANDBETWEEN(1,1000)),N1248)</f>
        <v>11915</v>
      </c>
      <c r="O1249" t="s">
        <v>1003</v>
      </c>
      <c r="P1249">
        <v>52937383</v>
      </c>
    </row>
    <row r="1250" spans="1:16" x14ac:dyDescent="0.35">
      <c r="A1250">
        <v>93827212461</v>
      </c>
      <c r="C1250" s="2" t="s">
        <v>883</v>
      </c>
      <c r="D1250">
        <v>2</v>
      </c>
      <c r="E1250">
        <v>76891213166</v>
      </c>
      <c r="F1250">
        <f t="shared" ca="1" si="38"/>
        <v>82</v>
      </c>
      <c r="G1250">
        <f ca="1">VLOOKUP(E1250,PurchItem!$A$2:$H$508,8,0)</f>
        <v>8772.6347437385975</v>
      </c>
      <c r="H1250">
        <v>0.04</v>
      </c>
      <c r="I1250" t="s">
        <v>244</v>
      </c>
      <c r="J1250" s="5">
        <v>44721.594524409724</v>
      </c>
      <c r="K1250" s="5">
        <v>44724.189048819448</v>
      </c>
      <c r="M1250">
        <f t="shared" si="39"/>
        <v>10029727691</v>
      </c>
      <c r="N1250">
        <f ca="1">IF(M1250&lt;&gt;M1249,INDEX(CustInfo!$A$2:$A$1001,RANDBETWEEN(1,1000)),N1249)</f>
        <v>11915</v>
      </c>
      <c r="O1250" t="s">
        <v>1003</v>
      </c>
      <c r="P1250">
        <v>52937384</v>
      </c>
    </row>
    <row r="1251" spans="1:16" x14ac:dyDescent="0.35">
      <c r="A1251">
        <v>93827212461</v>
      </c>
      <c r="C1251" s="2" t="s">
        <v>883</v>
      </c>
      <c r="D1251">
        <v>3</v>
      </c>
      <c r="E1251">
        <v>76891213610</v>
      </c>
      <c r="F1251">
        <f t="shared" ca="1" si="38"/>
        <v>66</v>
      </c>
      <c r="G1251">
        <f ca="1">VLOOKUP(E1251,PurchItem!$A$2:$H$508,8,0)</f>
        <v>9496.0640582896649</v>
      </c>
      <c r="H1251">
        <v>0.04</v>
      </c>
      <c r="I1251" t="s">
        <v>244</v>
      </c>
      <c r="J1251" s="5">
        <v>44971.594524409724</v>
      </c>
      <c r="K1251" s="5">
        <v>44975.189048819448</v>
      </c>
      <c r="M1251">
        <f t="shared" si="39"/>
        <v>10029727691</v>
      </c>
      <c r="N1251">
        <f ca="1">IF(M1251&lt;&gt;M1250,INDEX(CustInfo!$A$2:$A$1001,RANDBETWEEN(1,1000)),N1250)</f>
        <v>11915</v>
      </c>
      <c r="O1251" t="s">
        <v>1003</v>
      </c>
      <c r="P1251">
        <v>52937385</v>
      </c>
    </row>
    <row r="1252" spans="1:16" x14ac:dyDescent="0.35">
      <c r="A1252">
        <v>93827212462</v>
      </c>
      <c r="C1252" s="2" t="s">
        <v>883</v>
      </c>
      <c r="D1252">
        <v>1</v>
      </c>
      <c r="E1252">
        <v>76891213505</v>
      </c>
      <c r="F1252">
        <f t="shared" ca="1" si="38"/>
        <v>16</v>
      </c>
      <c r="G1252">
        <f ca="1">VLOOKUP(E1252,PurchItem!$A$2:$H$508,8,0)</f>
        <v>6494.2629478443014</v>
      </c>
      <c r="H1252">
        <v>0.04</v>
      </c>
      <c r="I1252" t="s">
        <v>244</v>
      </c>
      <c r="J1252" s="5">
        <v>45236.594524409724</v>
      </c>
      <c r="K1252" s="5">
        <v>45238.189048819448</v>
      </c>
      <c r="M1252">
        <f t="shared" si="39"/>
        <v>10029727692</v>
      </c>
      <c r="N1252">
        <f ca="1">IF(M1252&lt;&gt;M1251,INDEX(CustInfo!$A$2:$A$1001,RANDBETWEEN(1,1000)),N1251)</f>
        <v>11061</v>
      </c>
      <c r="O1252" t="s">
        <v>1002</v>
      </c>
      <c r="P1252">
        <v>52937386</v>
      </c>
    </row>
    <row r="1253" spans="1:16" x14ac:dyDescent="0.35">
      <c r="A1253">
        <v>93827212462</v>
      </c>
      <c r="C1253" s="2" t="s">
        <v>883</v>
      </c>
      <c r="D1253">
        <v>2</v>
      </c>
      <c r="E1253">
        <v>76891213178</v>
      </c>
      <c r="F1253">
        <f t="shared" ca="1" si="38"/>
        <v>92</v>
      </c>
      <c r="G1253">
        <f ca="1">VLOOKUP(E1253,PurchItem!$A$2:$H$508,8,0)</f>
        <v>2256.6727435914268</v>
      </c>
      <c r="H1253">
        <v>0.04</v>
      </c>
      <c r="I1253" t="s">
        <v>244</v>
      </c>
      <c r="J1253" s="5">
        <v>44867.594524409724</v>
      </c>
      <c r="K1253" s="5">
        <v>44870.189048819448</v>
      </c>
      <c r="M1253">
        <f t="shared" si="39"/>
        <v>10029727692</v>
      </c>
      <c r="N1253">
        <f ca="1">IF(M1253&lt;&gt;M1252,INDEX(CustInfo!$A$2:$A$1001,RANDBETWEEN(1,1000)),N1252)</f>
        <v>11061</v>
      </c>
      <c r="O1253" t="s">
        <v>1002</v>
      </c>
      <c r="P1253">
        <v>52937387</v>
      </c>
    </row>
    <row r="1254" spans="1:16" x14ac:dyDescent="0.35">
      <c r="A1254">
        <v>93827212462</v>
      </c>
      <c r="C1254" s="2" t="s">
        <v>883</v>
      </c>
      <c r="D1254">
        <v>3</v>
      </c>
      <c r="E1254">
        <v>76891213336</v>
      </c>
      <c r="F1254">
        <f t="shared" ca="1" si="38"/>
        <v>71</v>
      </c>
      <c r="G1254">
        <f ca="1">VLOOKUP(E1254,PurchItem!$A$2:$H$508,8,0)</f>
        <v>2324.4800791164721</v>
      </c>
      <c r="H1254">
        <v>0.06</v>
      </c>
      <c r="I1254" t="s">
        <v>244</v>
      </c>
      <c r="J1254" s="5">
        <v>44831.594524409724</v>
      </c>
      <c r="K1254" s="5">
        <v>44833.189048819448</v>
      </c>
      <c r="M1254">
        <f t="shared" si="39"/>
        <v>10029727692</v>
      </c>
      <c r="N1254">
        <f ca="1">IF(M1254&lt;&gt;M1253,INDEX(CustInfo!$A$2:$A$1001,RANDBETWEEN(1,1000)),N1253)</f>
        <v>11061</v>
      </c>
      <c r="O1254" t="s">
        <v>1002</v>
      </c>
      <c r="P1254">
        <v>52937388</v>
      </c>
    </row>
    <row r="1255" spans="1:16" x14ac:dyDescent="0.35">
      <c r="A1255">
        <v>93827212463</v>
      </c>
      <c r="C1255" s="2" t="s">
        <v>883</v>
      </c>
      <c r="D1255">
        <v>1</v>
      </c>
      <c r="E1255">
        <v>76891213635</v>
      </c>
      <c r="F1255">
        <f t="shared" ca="1" si="38"/>
        <v>35</v>
      </c>
      <c r="G1255">
        <f ca="1">VLOOKUP(E1255,PurchItem!$A$2:$H$508,8,0)</f>
        <v>683.81529686480883</v>
      </c>
      <c r="H1255">
        <v>0.04</v>
      </c>
      <c r="I1255" t="s">
        <v>244</v>
      </c>
      <c r="J1255" s="5">
        <v>44871.594524409724</v>
      </c>
      <c r="K1255" s="5">
        <v>44875.189048819448</v>
      </c>
      <c r="M1255">
        <f t="shared" si="39"/>
        <v>10029727693</v>
      </c>
      <c r="N1255">
        <f ca="1">IF(M1255&lt;&gt;M1254,INDEX(CustInfo!$A$2:$A$1001,RANDBETWEEN(1,1000)),N1254)</f>
        <v>11717</v>
      </c>
      <c r="O1255" t="s">
        <v>1001</v>
      </c>
      <c r="P1255">
        <v>52937389</v>
      </c>
    </row>
    <row r="1256" spans="1:16" x14ac:dyDescent="0.35">
      <c r="A1256">
        <v>93827212464</v>
      </c>
      <c r="C1256" s="2" t="s">
        <v>883</v>
      </c>
      <c r="D1256">
        <v>1</v>
      </c>
      <c r="E1256">
        <v>76891213619</v>
      </c>
      <c r="F1256">
        <f t="shared" ca="1" si="38"/>
        <v>69</v>
      </c>
      <c r="G1256">
        <f ca="1">VLOOKUP(E1256,PurchItem!$A$2:$H$508,8,0)</f>
        <v>1441.1583775333718</v>
      </c>
      <c r="H1256">
        <v>0.04</v>
      </c>
      <c r="I1256" t="s">
        <v>244</v>
      </c>
      <c r="J1256" s="5">
        <v>45318.594524409724</v>
      </c>
      <c r="K1256" s="5">
        <v>45321.189048819448</v>
      </c>
      <c r="M1256">
        <f t="shared" si="39"/>
        <v>10029727694</v>
      </c>
      <c r="N1256">
        <f ca="1">IF(M1256&lt;&gt;M1255,INDEX(CustInfo!$A$2:$A$1001,RANDBETWEEN(1,1000)),N1255)</f>
        <v>11091</v>
      </c>
      <c r="O1256" t="s">
        <v>1003</v>
      </c>
      <c r="P1256">
        <v>52937390</v>
      </c>
    </row>
    <row r="1257" spans="1:16" x14ac:dyDescent="0.35">
      <c r="A1257">
        <v>93827212464</v>
      </c>
      <c r="C1257" s="2" t="s">
        <v>883</v>
      </c>
      <c r="D1257">
        <v>2</v>
      </c>
      <c r="E1257">
        <v>76891213186</v>
      </c>
      <c r="F1257">
        <f t="shared" ca="1" si="38"/>
        <v>46</v>
      </c>
      <c r="G1257">
        <f ca="1">VLOOKUP(E1257,PurchItem!$A$2:$H$508,8,0)</f>
        <v>9814.0624540391254</v>
      </c>
      <c r="H1257">
        <v>0.04</v>
      </c>
      <c r="I1257" t="s">
        <v>244</v>
      </c>
      <c r="J1257" s="5">
        <v>45061.594524409724</v>
      </c>
      <c r="K1257" s="5">
        <v>45065.189048819448</v>
      </c>
      <c r="M1257">
        <f t="shared" si="39"/>
        <v>10029727694</v>
      </c>
      <c r="N1257">
        <f ca="1">IF(M1257&lt;&gt;M1256,INDEX(CustInfo!$A$2:$A$1001,RANDBETWEEN(1,1000)),N1256)</f>
        <v>11091</v>
      </c>
      <c r="O1257" t="s">
        <v>1003</v>
      </c>
      <c r="P1257">
        <v>52937391</v>
      </c>
    </row>
    <row r="1258" spans="1:16" x14ac:dyDescent="0.35">
      <c r="A1258">
        <v>93827212464</v>
      </c>
      <c r="C1258" s="2" t="s">
        <v>883</v>
      </c>
      <c r="D1258">
        <v>3</v>
      </c>
      <c r="E1258">
        <v>76891213147</v>
      </c>
      <c r="F1258">
        <f t="shared" ca="1" si="38"/>
        <v>50</v>
      </c>
      <c r="G1258">
        <f ca="1">VLOOKUP(E1258,PurchItem!$A$2:$H$508,8,0)</f>
        <v>2264.3353543042599</v>
      </c>
      <c r="H1258">
        <v>0.05</v>
      </c>
      <c r="I1258" t="s">
        <v>244</v>
      </c>
      <c r="J1258" s="5">
        <v>45298.594524409724</v>
      </c>
      <c r="K1258" s="5">
        <v>45302.189048819448</v>
      </c>
      <c r="M1258">
        <f t="shared" si="39"/>
        <v>10029727694</v>
      </c>
      <c r="N1258">
        <f ca="1">IF(M1258&lt;&gt;M1257,INDEX(CustInfo!$A$2:$A$1001,RANDBETWEEN(1,1000)),N1257)</f>
        <v>11091</v>
      </c>
      <c r="O1258" t="s">
        <v>1003</v>
      </c>
      <c r="P1258">
        <v>52937392</v>
      </c>
    </row>
    <row r="1259" spans="1:16" x14ac:dyDescent="0.35">
      <c r="A1259">
        <v>93827212464</v>
      </c>
      <c r="C1259" s="2" t="s">
        <v>883</v>
      </c>
      <c r="D1259">
        <v>4</v>
      </c>
      <c r="E1259">
        <v>76891213476</v>
      </c>
      <c r="F1259">
        <f t="shared" ca="1" si="38"/>
        <v>77</v>
      </c>
      <c r="G1259">
        <f ca="1">VLOOKUP(E1259,PurchItem!$A$2:$H$508,8,0)</f>
        <v>9770.3876233997762</v>
      </c>
      <c r="H1259">
        <v>0.05</v>
      </c>
      <c r="I1259" t="s">
        <v>244</v>
      </c>
      <c r="J1259" s="5">
        <v>44647.594524409724</v>
      </c>
      <c r="K1259" s="5">
        <v>44651.189048819448</v>
      </c>
      <c r="M1259">
        <f t="shared" si="39"/>
        <v>10029727694</v>
      </c>
      <c r="N1259">
        <f ca="1">IF(M1259&lt;&gt;M1258,INDEX(CustInfo!$A$2:$A$1001,RANDBETWEEN(1,1000)),N1258)</f>
        <v>11091</v>
      </c>
      <c r="O1259" t="s">
        <v>1003</v>
      </c>
      <c r="P1259">
        <v>52937393</v>
      </c>
    </row>
    <row r="1260" spans="1:16" x14ac:dyDescent="0.35">
      <c r="A1260">
        <v>93827212465</v>
      </c>
      <c r="C1260" s="2" t="s">
        <v>883</v>
      </c>
      <c r="D1260">
        <v>1</v>
      </c>
      <c r="E1260">
        <v>76891213630</v>
      </c>
      <c r="F1260">
        <f t="shared" ca="1" si="38"/>
        <v>11</v>
      </c>
      <c r="G1260">
        <f ca="1">VLOOKUP(E1260,PurchItem!$A$2:$H$508,8,0)</f>
        <v>135.20849454455922</v>
      </c>
      <c r="H1260">
        <v>0.04</v>
      </c>
      <c r="I1260" t="s">
        <v>244</v>
      </c>
      <c r="J1260" s="5">
        <v>44618.594524409724</v>
      </c>
      <c r="K1260" s="5">
        <v>44622.189048819448</v>
      </c>
      <c r="M1260">
        <f t="shared" si="39"/>
        <v>10029727695</v>
      </c>
      <c r="N1260">
        <f ca="1">IF(M1260&lt;&gt;M1259,INDEX(CustInfo!$A$2:$A$1001,RANDBETWEEN(1,1000)),N1259)</f>
        <v>11633</v>
      </c>
      <c r="O1260" t="s">
        <v>1001</v>
      </c>
      <c r="P1260">
        <v>52937394</v>
      </c>
    </row>
    <row r="1261" spans="1:16" x14ac:dyDescent="0.35">
      <c r="A1261">
        <v>93827212466</v>
      </c>
      <c r="C1261" s="2" t="s">
        <v>883</v>
      </c>
      <c r="D1261">
        <v>1</v>
      </c>
      <c r="E1261">
        <v>76891213366</v>
      </c>
      <c r="F1261">
        <f t="shared" ca="1" si="38"/>
        <v>58</v>
      </c>
      <c r="G1261">
        <f ca="1">VLOOKUP(E1261,PurchItem!$A$2:$H$508,8,0)</f>
        <v>2775.3275183824289</v>
      </c>
      <c r="H1261">
        <v>0.06</v>
      </c>
      <c r="I1261" t="s">
        <v>244</v>
      </c>
      <c r="J1261" s="5">
        <v>45492.594524409724</v>
      </c>
      <c r="K1261" s="5">
        <v>45495.189048819448</v>
      </c>
      <c r="M1261">
        <f t="shared" si="39"/>
        <v>10029727696</v>
      </c>
      <c r="N1261">
        <f ca="1">IF(M1261&lt;&gt;M1260,INDEX(CustInfo!$A$2:$A$1001,RANDBETWEEN(1,1000)),N1260)</f>
        <v>11222</v>
      </c>
      <c r="O1261" t="s">
        <v>1001</v>
      </c>
      <c r="P1261">
        <v>52937395</v>
      </c>
    </row>
    <row r="1262" spans="1:16" x14ac:dyDescent="0.35">
      <c r="A1262">
        <v>93827212467</v>
      </c>
      <c r="C1262" s="2" t="s">
        <v>883</v>
      </c>
      <c r="D1262">
        <v>1</v>
      </c>
      <c r="E1262">
        <v>76891213597</v>
      </c>
      <c r="F1262">
        <f t="shared" ca="1" si="38"/>
        <v>42</v>
      </c>
      <c r="G1262">
        <f ca="1">VLOOKUP(E1262,PurchItem!$A$2:$H$508,8,0)</f>
        <v>6407.6591066993278</v>
      </c>
      <c r="H1262">
        <v>0.04</v>
      </c>
      <c r="I1262" t="s">
        <v>244</v>
      </c>
      <c r="J1262" s="5">
        <v>45345.594524409724</v>
      </c>
      <c r="K1262" s="5">
        <v>45347.189048819448</v>
      </c>
      <c r="M1262">
        <f t="shared" si="39"/>
        <v>10029727697</v>
      </c>
      <c r="N1262">
        <f ca="1">IF(M1262&lt;&gt;M1261,INDEX(CustInfo!$A$2:$A$1001,RANDBETWEEN(1,1000)),N1261)</f>
        <v>11597</v>
      </c>
      <c r="O1262" t="s">
        <v>1001</v>
      </c>
      <c r="P1262">
        <v>52937396</v>
      </c>
    </row>
    <row r="1263" spans="1:16" x14ac:dyDescent="0.35">
      <c r="A1263">
        <v>93827212468</v>
      </c>
      <c r="C1263" s="2" t="s">
        <v>883</v>
      </c>
      <c r="D1263">
        <v>1</v>
      </c>
      <c r="E1263">
        <v>76891213506</v>
      </c>
      <c r="F1263">
        <f t="shared" ca="1" si="38"/>
        <v>68</v>
      </c>
      <c r="G1263">
        <f ca="1">VLOOKUP(E1263,PurchItem!$A$2:$H$508,8,0)</f>
        <v>6924.1684247755047</v>
      </c>
      <c r="H1263">
        <v>0.06</v>
      </c>
      <c r="I1263" t="s">
        <v>244</v>
      </c>
      <c r="J1263" s="5">
        <v>45276.594524409724</v>
      </c>
      <c r="K1263" s="5">
        <v>45280.189048819448</v>
      </c>
      <c r="M1263">
        <f t="shared" si="39"/>
        <v>10029727698</v>
      </c>
      <c r="N1263">
        <f ca="1">IF(M1263&lt;&gt;M1262,INDEX(CustInfo!$A$2:$A$1001,RANDBETWEEN(1,1000)),N1262)</f>
        <v>11845</v>
      </c>
      <c r="O1263" t="s">
        <v>1002</v>
      </c>
      <c r="P1263">
        <v>52937397</v>
      </c>
    </row>
    <row r="1264" spans="1:16" x14ac:dyDescent="0.35">
      <c r="A1264">
        <v>93827212468</v>
      </c>
      <c r="C1264" s="2" t="s">
        <v>883</v>
      </c>
      <c r="D1264">
        <v>2</v>
      </c>
      <c r="E1264">
        <v>76891213528</v>
      </c>
      <c r="F1264">
        <f t="shared" ca="1" si="38"/>
        <v>84</v>
      </c>
      <c r="G1264">
        <f ca="1">VLOOKUP(E1264,PurchItem!$A$2:$H$508,8,0)</f>
        <v>8635.9221287063683</v>
      </c>
      <c r="H1264">
        <v>0.04</v>
      </c>
      <c r="I1264" t="s">
        <v>244</v>
      </c>
      <c r="J1264" s="5">
        <v>45482.594524409724</v>
      </c>
      <c r="K1264" s="5">
        <v>45485.189048819448</v>
      </c>
      <c r="M1264">
        <f t="shared" si="39"/>
        <v>10029727698</v>
      </c>
      <c r="N1264">
        <f ca="1">IF(M1264&lt;&gt;M1263,INDEX(CustInfo!$A$2:$A$1001,RANDBETWEEN(1,1000)),N1263)</f>
        <v>11845</v>
      </c>
      <c r="O1264" t="s">
        <v>1002</v>
      </c>
      <c r="P1264">
        <v>52937398</v>
      </c>
    </row>
    <row r="1265" spans="1:16" x14ac:dyDescent="0.35">
      <c r="A1265">
        <v>93827212468</v>
      </c>
      <c r="C1265" s="2" t="s">
        <v>883</v>
      </c>
      <c r="D1265">
        <v>3</v>
      </c>
      <c r="E1265">
        <v>76891213632</v>
      </c>
      <c r="F1265">
        <f t="shared" ca="1" si="38"/>
        <v>56</v>
      </c>
      <c r="G1265">
        <f ca="1">VLOOKUP(E1265,PurchItem!$A$2:$H$508,8,0)</f>
        <v>2684.3182600797395</v>
      </c>
      <c r="H1265">
        <v>0.05</v>
      </c>
      <c r="I1265" t="s">
        <v>244</v>
      </c>
      <c r="J1265" s="5">
        <v>45157.594524409724</v>
      </c>
      <c r="K1265" s="5">
        <v>45160.189048819448</v>
      </c>
      <c r="M1265">
        <f t="shared" si="39"/>
        <v>10029727698</v>
      </c>
      <c r="N1265">
        <f ca="1">IF(M1265&lt;&gt;M1264,INDEX(CustInfo!$A$2:$A$1001,RANDBETWEEN(1,1000)),N1264)</f>
        <v>11845</v>
      </c>
      <c r="O1265" t="s">
        <v>1002</v>
      </c>
      <c r="P1265">
        <v>52937399</v>
      </c>
    </row>
    <row r="1266" spans="1:16" x14ac:dyDescent="0.35">
      <c r="A1266">
        <v>93827212469</v>
      </c>
      <c r="C1266" s="2" t="s">
        <v>883</v>
      </c>
      <c r="D1266">
        <v>1</v>
      </c>
      <c r="E1266">
        <v>76891213482</v>
      </c>
      <c r="F1266">
        <f t="shared" ca="1" si="38"/>
        <v>67</v>
      </c>
      <c r="G1266">
        <f ca="1">VLOOKUP(E1266,PurchItem!$A$2:$H$508,8,0)</f>
        <v>1942.5852998534569</v>
      </c>
      <c r="H1266">
        <v>0.06</v>
      </c>
      <c r="I1266" t="s">
        <v>244</v>
      </c>
      <c r="J1266" s="5">
        <v>45272.594524409724</v>
      </c>
      <c r="K1266" s="5">
        <v>45274.189048819448</v>
      </c>
      <c r="M1266">
        <f t="shared" si="39"/>
        <v>10029727699</v>
      </c>
      <c r="N1266">
        <f ca="1">IF(M1266&lt;&gt;M1265,INDEX(CustInfo!$A$2:$A$1001,RANDBETWEEN(1,1000)),N1265)</f>
        <v>11576</v>
      </c>
      <c r="O1266" t="s">
        <v>1003</v>
      </c>
      <c r="P1266">
        <v>52937400</v>
      </c>
    </row>
    <row r="1267" spans="1:16" x14ac:dyDescent="0.35">
      <c r="A1267">
        <v>93827212469</v>
      </c>
      <c r="C1267" s="2" t="s">
        <v>883</v>
      </c>
      <c r="D1267">
        <v>2</v>
      </c>
      <c r="E1267">
        <v>76891213546</v>
      </c>
      <c r="F1267">
        <f t="shared" ca="1" si="38"/>
        <v>4</v>
      </c>
      <c r="G1267">
        <f ca="1">VLOOKUP(E1267,PurchItem!$A$2:$H$508,8,0)</f>
        <v>8263.053348102203</v>
      </c>
      <c r="H1267">
        <v>0.05</v>
      </c>
      <c r="I1267" t="s">
        <v>244</v>
      </c>
      <c r="J1267" s="5">
        <v>44826.594524409724</v>
      </c>
      <c r="K1267" s="5">
        <v>44828.189048819448</v>
      </c>
      <c r="M1267">
        <f t="shared" si="39"/>
        <v>10029727699</v>
      </c>
      <c r="N1267">
        <f ca="1">IF(M1267&lt;&gt;M1266,INDEX(CustInfo!$A$2:$A$1001,RANDBETWEEN(1,1000)),N1266)</f>
        <v>11576</v>
      </c>
      <c r="O1267" t="s">
        <v>1003</v>
      </c>
      <c r="P1267">
        <v>52937401</v>
      </c>
    </row>
    <row r="1268" spans="1:16" x14ac:dyDescent="0.35">
      <c r="A1268">
        <v>93827212469</v>
      </c>
      <c r="C1268" s="2" t="s">
        <v>883</v>
      </c>
      <c r="D1268">
        <v>3</v>
      </c>
      <c r="E1268">
        <v>76891213354</v>
      </c>
      <c r="F1268">
        <f t="shared" ca="1" si="38"/>
        <v>50</v>
      </c>
      <c r="G1268">
        <f ca="1">VLOOKUP(E1268,PurchItem!$A$2:$H$508,8,0)</f>
        <v>9590.7052160264502</v>
      </c>
      <c r="H1268">
        <v>0.05</v>
      </c>
      <c r="I1268" t="s">
        <v>244</v>
      </c>
      <c r="J1268" s="5">
        <v>45469.594524409724</v>
      </c>
      <c r="K1268" s="5">
        <v>45470.189048819448</v>
      </c>
      <c r="M1268">
        <f t="shared" si="39"/>
        <v>10029727699</v>
      </c>
      <c r="N1268">
        <f ca="1">IF(M1268&lt;&gt;M1267,INDEX(CustInfo!$A$2:$A$1001,RANDBETWEEN(1,1000)),N1267)</f>
        <v>11576</v>
      </c>
      <c r="O1268" t="s">
        <v>1003</v>
      </c>
      <c r="P1268">
        <v>52937402</v>
      </c>
    </row>
    <row r="1269" spans="1:16" x14ac:dyDescent="0.35">
      <c r="A1269">
        <v>93827212470</v>
      </c>
      <c r="C1269" s="2" t="s">
        <v>883</v>
      </c>
      <c r="D1269">
        <v>1</v>
      </c>
      <c r="E1269">
        <v>76891213257</v>
      </c>
      <c r="F1269">
        <f t="shared" ca="1" si="38"/>
        <v>61</v>
      </c>
      <c r="G1269">
        <f ca="1">VLOOKUP(E1269,PurchItem!$A$2:$H$508,8,0)</f>
        <v>4673.0581351845212</v>
      </c>
      <c r="H1269">
        <v>0.04</v>
      </c>
      <c r="I1269" t="s">
        <v>244</v>
      </c>
      <c r="J1269" s="5">
        <v>45028.594524409724</v>
      </c>
      <c r="K1269" s="5">
        <v>45030.189048819448</v>
      </c>
      <c r="M1269">
        <f t="shared" si="39"/>
        <v>10029727700</v>
      </c>
      <c r="N1269">
        <f ca="1">IF(M1269&lt;&gt;M1268,INDEX(CustInfo!$A$2:$A$1001,RANDBETWEEN(1,1000)),N1268)</f>
        <v>11424</v>
      </c>
      <c r="O1269" t="s">
        <v>1002</v>
      </c>
      <c r="P1269">
        <v>52937403</v>
      </c>
    </row>
    <row r="1270" spans="1:16" x14ac:dyDescent="0.35">
      <c r="A1270">
        <v>93827212470</v>
      </c>
      <c r="C1270" s="2" t="s">
        <v>883</v>
      </c>
      <c r="D1270">
        <v>2</v>
      </c>
      <c r="E1270">
        <v>76891213231</v>
      </c>
      <c r="F1270">
        <f t="shared" ca="1" si="38"/>
        <v>50</v>
      </c>
      <c r="G1270">
        <f ca="1">VLOOKUP(E1270,PurchItem!$A$2:$H$508,8,0)</f>
        <v>4023.7904944851043</v>
      </c>
      <c r="H1270">
        <v>0.05</v>
      </c>
      <c r="I1270" t="s">
        <v>244</v>
      </c>
      <c r="J1270" s="5">
        <v>44576.594524409724</v>
      </c>
      <c r="K1270" s="5">
        <v>44579.189048819448</v>
      </c>
      <c r="M1270">
        <f t="shared" si="39"/>
        <v>10029727700</v>
      </c>
      <c r="N1270">
        <f ca="1">IF(M1270&lt;&gt;M1269,INDEX(CustInfo!$A$2:$A$1001,RANDBETWEEN(1,1000)),N1269)</f>
        <v>11424</v>
      </c>
      <c r="O1270" t="s">
        <v>1002</v>
      </c>
      <c r="P1270">
        <v>52937404</v>
      </c>
    </row>
    <row r="1271" spans="1:16" x14ac:dyDescent="0.35">
      <c r="A1271">
        <v>93827212471</v>
      </c>
      <c r="C1271" s="2" t="s">
        <v>883</v>
      </c>
      <c r="D1271">
        <v>1</v>
      </c>
      <c r="E1271">
        <v>76891213312</v>
      </c>
      <c r="F1271">
        <f t="shared" ca="1" si="38"/>
        <v>46</v>
      </c>
      <c r="G1271">
        <f ca="1">VLOOKUP(E1271,PurchItem!$A$2:$H$508,8,0)</f>
        <v>4852.9147599245198</v>
      </c>
      <c r="H1271">
        <v>0.04</v>
      </c>
      <c r="I1271" t="s">
        <v>244</v>
      </c>
      <c r="J1271" s="5">
        <v>44745.594524409724</v>
      </c>
      <c r="K1271" s="5">
        <v>44749.189048819448</v>
      </c>
      <c r="M1271">
        <f t="shared" si="39"/>
        <v>10029727701</v>
      </c>
      <c r="N1271">
        <f ca="1">IF(M1271&lt;&gt;M1270,INDEX(CustInfo!$A$2:$A$1001,RANDBETWEEN(1,1000)),N1270)</f>
        <v>11021</v>
      </c>
      <c r="O1271" t="s">
        <v>1001</v>
      </c>
      <c r="P1271">
        <v>52937405</v>
      </c>
    </row>
    <row r="1272" spans="1:16" x14ac:dyDescent="0.35">
      <c r="A1272">
        <v>93827212471</v>
      </c>
      <c r="C1272" s="2" t="s">
        <v>883</v>
      </c>
      <c r="D1272">
        <v>2</v>
      </c>
      <c r="E1272">
        <v>76891213233</v>
      </c>
      <c r="F1272">
        <f t="shared" ca="1" si="38"/>
        <v>49</v>
      </c>
      <c r="G1272">
        <f ca="1">VLOOKUP(E1272,PurchItem!$A$2:$H$508,8,0)</f>
        <v>9181.2256991220602</v>
      </c>
      <c r="H1272">
        <v>0.06</v>
      </c>
      <c r="I1272" t="s">
        <v>244</v>
      </c>
      <c r="J1272" s="5">
        <v>44902.594524409724</v>
      </c>
      <c r="K1272" s="5">
        <v>44903.189048819448</v>
      </c>
      <c r="M1272">
        <f t="shared" si="39"/>
        <v>10029727701</v>
      </c>
      <c r="N1272">
        <f ca="1">IF(M1272&lt;&gt;M1271,INDEX(CustInfo!$A$2:$A$1001,RANDBETWEEN(1,1000)),N1271)</f>
        <v>11021</v>
      </c>
      <c r="O1272" t="s">
        <v>1001</v>
      </c>
      <c r="P1272">
        <v>52937406</v>
      </c>
    </row>
    <row r="1273" spans="1:16" x14ac:dyDescent="0.35">
      <c r="A1273">
        <v>93827212472</v>
      </c>
      <c r="C1273" s="2" t="s">
        <v>883</v>
      </c>
      <c r="D1273">
        <v>1</v>
      </c>
      <c r="E1273">
        <v>76891213490</v>
      </c>
      <c r="F1273">
        <f t="shared" ca="1" si="38"/>
        <v>2</v>
      </c>
      <c r="G1273">
        <f ca="1">VLOOKUP(E1273,PurchItem!$A$2:$H$508,8,0)</f>
        <v>140.78264380891454</v>
      </c>
      <c r="H1273">
        <v>0.06</v>
      </c>
      <c r="I1273" t="s">
        <v>244</v>
      </c>
      <c r="J1273" s="5">
        <v>45140.594524409724</v>
      </c>
      <c r="K1273" s="5">
        <v>45141.189048819448</v>
      </c>
      <c r="M1273">
        <f t="shared" si="39"/>
        <v>10029727702</v>
      </c>
      <c r="N1273">
        <f ca="1">IF(M1273&lt;&gt;M1272,INDEX(CustInfo!$A$2:$A$1001,RANDBETWEEN(1,1000)),N1272)</f>
        <v>11481</v>
      </c>
      <c r="O1273" t="s">
        <v>1001</v>
      </c>
      <c r="P1273">
        <v>52937407</v>
      </c>
    </row>
    <row r="1274" spans="1:16" x14ac:dyDescent="0.35">
      <c r="A1274">
        <v>93827212472</v>
      </c>
      <c r="C1274" s="2" t="s">
        <v>883</v>
      </c>
      <c r="D1274">
        <v>2</v>
      </c>
      <c r="E1274">
        <v>76891213318</v>
      </c>
      <c r="F1274">
        <f t="shared" ca="1" si="38"/>
        <v>86</v>
      </c>
      <c r="G1274">
        <f ca="1">VLOOKUP(E1274,PurchItem!$A$2:$H$508,8,0)</f>
        <v>8260.5762424972345</v>
      </c>
      <c r="H1274">
        <v>0.05</v>
      </c>
      <c r="I1274" t="s">
        <v>244</v>
      </c>
      <c r="J1274" s="5">
        <v>44567.594524409724</v>
      </c>
      <c r="K1274" s="5">
        <v>44571.189048819448</v>
      </c>
      <c r="M1274">
        <f t="shared" si="39"/>
        <v>10029727702</v>
      </c>
      <c r="N1274">
        <f ca="1">IF(M1274&lt;&gt;M1273,INDEX(CustInfo!$A$2:$A$1001,RANDBETWEEN(1,1000)),N1273)</f>
        <v>11481</v>
      </c>
      <c r="O1274" t="s">
        <v>1001</v>
      </c>
      <c r="P1274">
        <v>52937408</v>
      </c>
    </row>
    <row r="1275" spans="1:16" x14ac:dyDescent="0.35">
      <c r="A1275">
        <v>93827212472</v>
      </c>
      <c r="C1275" s="2" t="s">
        <v>883</v>
      </c>
      <c r="D1275">
        <v>3</v>
      </c>
      <c r="E1275">
        <v>76891213327</v>
      </c>
      <c r="F1275">
        <f t="shared" ca="1" si="38"/>
        <v>95</v>
      </c>
      <c r="G1275">
        <f ca="1">VLOOKUP(E1275,PurchItem!$A$2:$H$508,8,0)</f>
        <v>2188.043722839745</v>
      </c>
      <c r="H1275">
        <v>0.06</v>
      </c>
      <c r="I1275" t="s">
        <v>244</v>
      </c>
      <c r="J1275" s="5">
        <v>45321.594524409724</v>
      </c>
      <c r="K1275" s="5">
        <v>45325.189048819448</v>
      </c>
      <c r="M1275">
        <f t="shared" si="39"/>
        <v>10029727702</v>
      </c>
      <c r="N1275">
        <f ca="1">IF(M1275&lt;&gt;M1274,INDEX(CustInfo!$A$2:$A$1001,RANDBETWEEN(1,1000)),N1274)</f>
        <v>11481</v>
      </c>
      <c r="O1275" t="s">
        <v>1001</v>
      </c>
      <c r="P1275">
        <v>52937409</v>
      </c>
    </row>
    <row r="1276" spans="1:16" x14ac:dyDescent="0.35">
      <c r="A1276">
        <v>93827212472</v>
      </c>
      <c r="C1276" s="2" t="s">
        <v>883</v>
      </c>
      <c r="D1276">
        <v>4</v>
      </c>
      <c r="E1276">
        <v>76891213143</v>
      </c>
      <c r="F1276">
        <f t="shared" ca="1" si="38"/>
        <v>17</v>
      </c>
      <c r="G1276">
        <f ca="1">VLOOKUP(E1276,PurchItem!$A$2:$H$508,8,0)</f>
        <v>2099.5083062652393</v>
      </c>
      <c r="H1276">
        <v>0.06</v>
      </c>
      <c r="I1276" t="s">
        <v>244</v>
      </c>
      <c r="J1276" s="5">
        <v>45058.594524409724</v>
      </c>
      <c r="K1276" s="5">
        <v>45062.189048819448</v>
      </c>
      <c r="M1276">
        <f t="shared" si="39"/>
        <v>10029727702</v>
      </c>
      <c r="N1276">
        <f ca="1">IF(M1276&lt;&gt;M1275,INDEX(CustInfo!$A$2:$A$1001,RANDBETWEEN(1,1000)),N1275)</f>
        <v>11481</v>
      </c>
      <c r="O1276" t="s">
        <v>1001</v>
      </c>
      <c r="P1276">
        <v>52937410</v>
      </c>
    </row>
    <row r="1277" spans="1:16" x14ac:dyDescent="0.35">
      <c r="A1277">
        <v>93827212473</v>
      </c>
      <c r="C1277" s="2" t="s">
        <v>883</v>
      </c>
      <c r="D1277">
        <v>1</v>
      </c>
      <c r="E1277">
        <v>76891213225</v>
      </c>
      <c r="F1277">
        <f t="shared" ca="1" si="38"/>
        <v>5</v>
      </c>
      <c r="G1277">
        <f ca="1">VLOOKUP(E1277,PurchItem!$A$2:$H$508,8,0)</f>
        <v>8536.5473217392282</v>
      </c>
      <c r="H1277">
        <v>0.04</v>
      </c>
      <c r="I1277" t="s">
        <v>244</v>
      </c>
      <c r="J1277" s="5">
        <v>45542.594524409724</v>
      </c>
      <c r="K1277" s="5">
        <v>45543.189048819448</v>
      </c>
      <c r="M1277">
        <f t="shared" si="39"/>
        <v>10029727703</v>
      </c>
      <c r="N1277">
        <f ca="1">IF(M1277&lt;&gt;M1276,INDEX(CustInfo!$A$2:$A$1001,RANDBETWEEN(1,1000)),N1276)</f>
        <v>11944</v>
      </c>
      <c r="O1277" t="s">
        <v>1001</v>
      </c>
      <c r="P1277">
        <v>52937411</v>
      </c>
    </row>
    <row r="1278" spans="1:16" x14ac:dyDescent="0.35">
      <c r="A1278">
        <v>93827212473</v>
      </c>
      <c r="C1278" s="2" t="s">
        <v>883</v>
      </c>
      <c r="D1278">
        <v>2</v>
      </c>
      <c r="E1278">
        <v>76891213213</v>
      </c>
      <c r="F1278">
        <f t="shared" ca="1" si="38"/>
        <v>67</v>
      </c>
      <c r="G1278">
        <f ca="1">VLOOKUP(E1278,PurchItem!$A$2:$H$508,8,0)</f>
        <v>1235.2952885490945</v>
      </c>
      <c r="H1278">
        <v>0.06</v>
      </c>
      <c r="I1278" t="s">
        <v>244</v>
      </c>
      <c r="J1278" s="5">
        <v>45195.594524409724</v>
      </c>
      <c r="K1278" s="5">
        <v>45199.189048819448</v>
      </c>
      <c r="M1278">
        <f t="shared" si="39"/>
        <v>10029727703</v>
      </c>
      <c r="N1278">
        <f ca="1">IF(M1278&lt;&gt;M1277,INDEX(CustInfo!$A$2:$A$1001,RANDBETWEEN(1,1000)),N1277)</f>
        <v>11944</v>
      </c>
      <c r="O1278" t="s">
        <v>1001</v>
      </c>
      <c r="P1278">
        <v>52937412</v>
      </c>
    </row>
    <row r="1279" spans="1:16" x14ac:dyDescent="0.35">
      <c r="A1279">
        <v>93827212473</v>
      </c>
      <c r="C1279" s="2" t="s">
        <v>883</v>
      </c>
      <c r="D1279">
        <v>3</v>
      </c>
      <c r="E1279">
        <v>76891213283</v>
      </c>
      <c r="F1279">
        <f t="shared" ca="1" si="38"/>
        <v>87</v>
      </c>
      <c r="G1279">
        <f ca="1">VLOOKUP(E1279,PurchItem!$A$2:$H$508,8,0)</f>
        <v>871.93450976358122</v>
      </c>
      <c r="H1279">
        <v>0.06</v>
      </c>
      <c r="I1279" t="s">
        <v>244</v>
      </c>
      <c r="J1279" s="5">
        <v>45236.594524409724</v>
      </c>
      <c r="K1279" s="5">
        <v>45238.189048819448</v>
      </c>
      <c r="M1279">
        <f t="shared" si="39"/>
        <v>10029727703</v>
      </c>
      <c r="N1279">
        <f ca="1">IF(M1279&lt;&gt;M1278,INDEX(CustInfo!$A$2:$A$1001,RANDBETWEEN(1,1000)),N1278)</f>
        <v>11944</v>
      </c>
      <c r="O1279" t="s">
        <v>1001</v>
      </c>
      <c r="P1279">
        <v>52937413</v>
      </c>
    </row>
    <row r="1280" spans="1:16" x14ac:dyDescent="0.35">
      <c r="A1280">
        <v>93827212473</v>
      </c>
      <c r="C1280" s="2" t="s">
        <v>883</v>
      </c>
      <c r="D1280">
        <v>4</v>
      </c>
      <c r="E1280">
        <v>76891213326</v>
      </c>
      <c r="F1280">
        <f t="shared" ca="1" si="38"/>
        <v>89</v>
      </c>
      <c r="G1280">
        <f ca="1">VLOOKUP(E1280,PurchItem!$A$2:$H$508,8,0)</f>
        <v>8893.450961561346</v>
      </c>
      <c r="H1280">
        <v>0.05</v>
      </c>
      <c r="I1280" t="s">
        <v>244</v>
      </c>
      <c r="J1280" s="5">
        <v>44724.594524409724</v>
      </c>
      <c r="K1280" s="5">
        <v>44727.189048819448</v>
      </c>
      <c r="M1280">
        <f t="shared" si="39"/>
        <v>10029727703</v>
      </c>
      <c r="N1280">
        <f ca="1">IF(M1280&lt;&gt;M1279,INDEX(CustInfo!$A$2:$A$1001,RANDBETWEEN(1,1000)),N1279)</f>
        <v>11944</v>
      </c>
      <c r="O1280" t="s">
        <v>1001</v>
      </c>
      <c r="P1280">
        <v>52937414</v>
      </c>
    </row>
    <row r="1281" spans="1:16" x14ac:dyDescent="0.35">
      <c r="A1281">
        <v>93827212474</v>
      </c>
      <c r="C1281" s="2" t="s">
        <v>883</v>
      </c>
      <c r="D1281">
        <v>1</v>
      </c>
      <c r="E1281">
        <v>76891213586</v>
      </c>
      <c r="F1281">
        <f t="shared" ca="1" si="38"/>
        <v>32</v>
      </c>
      <c r="G1281">
        <f ca="1">VLOOKUP(E1281,PurchItem!$A$2:$H$508,8,0)</f>
        <v>8795.5935082912856</v>
      </c>
      <c r="H1281">
        <v>0.06</v>
      </c>
      <c r="I1281" t="s">
        <v>244</v>
      </c>
      <c r="J1281" s="5">
        <v>45100.594524409724</v>
      </c>
      <c r="K1281" s="5">
        <v>45102.189048819448</v>
      </c>
      <c r="M1281">
        <f t="shared" si="39"/>
        <v>10029727704</v>
      </c>
      <c r="N1281">
        <f ca="1">IF(M1281&lt;&gt;M1280,INDEX(CustInfo!$A$2:$A$1001,RANDBETWEEN(1,1000)),N1280)</f>
        <v>11331</v>
      </c>
      <c r="O1281" t="s">
        <v>1001</v>
      </c>
      <c r="P1281">
        <v>52937415</v>
      </c>
    </row>
    <row r="1282" spans="1:16" x14ac:dyDescent="0.35">
      <c r="A1282">
        <v>93827212474</v>
      </c>
      <c r="C1282" s="2" t="s">
        <v>883</v>
      </c>
      <c r="D1282">
        <v>2</v>
      </c>
      <c r="E1282">
        <v>76891213341</v>
      </c>
      <c r="F1282">
        <f t="shared" ca="1" si="38"/>
        <v>29</v>
      </c>
      <c r="G1282">
        <f ca="1">VLOOKUP(E1282,PurchItem!$A$2:$H$508,8,0)</f>
        <v>1046.3193598714477</v>
      </c>
      <c r="H1282">
        <v>0.04</v>
      </c>
      <c r="I1282" t="s">
        <v>244</v>
      </c>
      <c r="J1282" s="5">
        <v>45167.594524409724</v>
      </c>
      <c r="K1282" s="5">
        <v>45168.189048819448</v>
      </c>
      <c r="M1282">
        <f t="shared" si="39"/>
        <v>10029727704</v>
      </c>
      <c r="N1282">
        <f ca="1">IF(M1282&lt;&gt;M1281,INDEX(CustInfo!$A$2:$A$1001,RANDBETWEEN(1,1000)),N1281)</f>
        <v>11331</v>
      </c>
      <c r="O1282" t="s">
        <v>1001</v>
      </c>
      <c r="P1282">
        <v>52937416</v>
      </c>
    </row>
    <row r="1283" spans="1:16" x14ac:dyDescent="0.35">
      <c r="A1283">
        <v>93827212474</v>
      </c>
      <c r="C1283" s="2" t="s">
        <v>883</v>
      </c>
      <c r="D1283">
        <v>3</v>
      </c>
      <c r="E1283">
        <v>76891213383</v>
      </c>
      <c r="F1283">
        <f t="shared" ref="F1283:F1346" ca="1" si="40">RANDBETWEEN(1,100)</f>
        <v>17</v>
      </c>
      <c r="G1283">
        <f ca="1">VLOOKUP(E1283,PurchItem!$A$2:$H$508,8,0)</f>
        <v>7867.2325628845992</v>
      </c>
      <c r="H1283">
        <v>0.05</v>
      </c>
      <c r="I1283" t="s">
        <v>244</v>
      </c>
      <c r="J1283" s="5">
        <v>44650.594524409724</v>
      </c>
      <c r="K1283" s="5">
        <v>44654.189048819448</v>
      </c>
      <c r="M1283">
        <f t="shared" si="39"/>
        <v>10029727704</v>
      </c>
      <c r="N1283">
        <f ca="1">IF(M1283&lt;&gt;M1282,INDEX(CustInfo!$A$2:$A$1001,RANDBETWEEN(1,1000)),N1282)</f>
        <v>11331</v>
      </c>
      <c r="O1283" t="s">
        <v>1001</v>
      </c>
      <c r="P1283">
        <v>52937417</v>
      </c>
    </row>
    <row r="1284" spans="1:16" x14ac:dyDescent="0.35">
      <c r="A1284">
        <v>93827212475</v>
      </c>
      <c r="C1284" s="2" t="s">
        <v>883</v>
      </c>
      <c r="D1284">
        <v>1</v>
      </c>
      <c r="E1284">
        <v>76891213484</v>
      </c>
      <c r="F1284">
        <f t="shared" ca="1" si="40"/>
        <v>13</v>
      </c>
      <c r="G1284">
        <f ca="1">VLOOKUP(E1284,PurchItem!$A$2:$H$508,8,0)</f>
        <v>6278.4735130598492</v>
      </c>
      <c r="H1284">
        <v>0.06</v>
      </c>
      <c r="I1284" t="s">
        <v>244</v>
      </c>
      <c r="J1284" s="5">
        <v>44846.594524409724</v>
      </c>
      <c r="K1284" s="5">
        <v>44848.189048819448</v>
      </c>
      <c r="M1284">
        <f t="shared" si="39"/>
        <v>10029727705</v>
      </c>
      <c r="N1284">
        <f ca="1">IF(M1284&lt;&gt;M1283,INDEX(CustInfo!$A$2:$A$1001,RANDBETWEEN(1,1000)),N1283)</f>
        <v>11682</v>
      </c>
      <c r="O1284" t="s">
        <v>1002</v>
      </c>
      <c r="P1284">
        <v>52937418</v>
      </c>
    </row>
    <row r="1285" spans="1:16" x14ac:dyDescent="0.35">
      <c r="A1285">
        <v>93827212475</v>
      </c>
      <c r="C1285" s="2" t="s">
        <v>883</v>
      </c>
      <c r="D1285">
        <v>2</v>
      </c>
      <c r="E1285">
        <v>76891213615</v>
      </c>
      <c r="F1285">
        <f t="shared" ca="1" si="40"/>
        <v>6</v>
      </c>
      <c r="G1285">
        <f ca="1">VLOOKUP(E1285,PurchItem!$A$2:$H$508,8,0)</f>
        <v>8114.5563501764591</v>
      </c>
      <c r="H1285">
        <v>0.04</v>
      </c>
      <c r="I1285" t="s">
        <v>244</v>
      </c>
      <c r="J1285" s="5">
        <v>45408.594524409724</v>
      </c>
      <c r="K1285" s="5">
        <v>45412.189048819448</v>
      </c>
      <c r="M1285">
        <f t="shared" ref="M1285:M1348" si="41">IF(A1285&lt;&gt;A1284,M1284+1,M1284)</f>
        <v>10029727705</v>
      </c>
      <c r="N1285">
        <f ca="1">IF(M1285&lt;&gt;M1284,INDEX(CustInfo!$A$2:$A$1001,RANDBETWEEN(1,1000)),N1284)</f>
        <v>11682</v>
      </c>
      <c r="O1285" t="s">
        <v>1002</v>
      </c>
      <c r="P1285">
        <v>52937419</v>
      </c>
    </row>
    <row r="1286" spans="1:16" x14ac:dyDescent="0.35">
      <c r="A1286">
        <v>93827212476</v>
      </c>
      <c r="C1286" s="2" t="s">
        <v>883</v>
      </c>
      <c r="D1286">
        <v>1</v>
      </c>
      <c r="E1286">
        <v>76891213467</v>
      </c>
      <c r="F1286">
        <f t="shared" ca="1" si="40"/>
        <v>65</v>
      </c>
      <c r="G1286">
        <f ca="1">VLOOKUP(E1286,PurchItem!$A$2:$H$508,8,0)</f>
        <v>7836.0924304775153</v>
      </c>
      <c r="H1286">
        <v>0.06</v>
      </c>
      <c r="I1286" t="s">
        <v>244</v>
      </c>
      <c r="J1286" s="5">
        <v>45171.594524409724</v>
      </c>
      <c r="K1286" s="5">
        <v>45172.189048819448</v>
      </c>
      <c r="M1286">
        <f t="shared" si="41"/>
        <v>10029727706</v>
      </c>
      <c r="N1286">
        <f ca="1">IF(M1286&lt;&gt;M1285,INDEX(CustInfo!$A$2:$A$1001,RANDBETWEEN(1,1000)),N1285)</f>
        <v>11256</v>
      </c>
      <c r="O1286" t="s">
        <v>1002</v>
      </c>
      <c r="P1286">
        <v>52937420</v>
      </c>
    </row>
    <row r="1287" spans="1:16" x14ac:dyDescent="0.35">
      <c r="A1287">
        <v>93827212476</v>
      </c>
      <c r="C1287" s="2" t="s">
        <v>883</v>
      </c>
      <c r="D1287">
        <v>2</v>
      </c>
      <c r="E1287">
        <v>76891213430</v>
      </c>
      <c r="F1287">
        <f t="shared" ca="1" si="40"/>
        <v>13</v>
      </c>
      <c r="G1287">
        <f ca="1">VLOOKUP(E1287,PurchItem!$A$2:$H$508,8,0)</f>
        <v>6813.6085833165471</v>
      </c>
      <c r="H1287">
        <v>0.06</v>
      </c>
      <c r="I1287" t="s">
        <v>244</v>
      </c>
      <c r="J1287" s="5">
        <v>45288.594524409724</v>
      </c>
      <c r="K1287" s="5">
        <v>45292.189048819448</v>
      </c>
      <c r="M1287">
        <f t="shared" si="41"/>
        <v>10029727706</v>
      </c>
      <c r="N1287">
        <f ca="1">IF(M1287&lt;&gt;M1286,INDEX(CustInfo!$A$2:$A$1001,RANDBETWEEN(1,1000)),N1286)</f>
        <v>11256</v>
      </c>
      <c r="O1287" t="s">
        <v>1002</v>
      </c>
      <c r="P1287">
        <v>52937421</v>
      </c>
    </row>
    <row r="1288" spans="1:16" x14ac:dyDescent="0.35">
      <c r="A1288">
        <v>93827212477</v>
      </c>
      <c r="C1288" s="2" t="s">
        <v>883</v>
      </c>
      <c r="D1288">
        <v>1</v>
      </c>
      <c r="E1288">
        <v>76891213627</v>
      </c>
      <c r="F1288">
        <f t="shared" ca="1" si="40"/>
        <v>18</v>
      </c>
      <c r="G1288">
        <f ca="1">VLOOKUP(E1288,PurchItem!$A$2:$H$508,8,0)</f>
        <v>7533.0368434425118</v>
      </c>
      <c r="H1288">
        <v>0.04</v>
      </c>
      <c r="I1288" t="s">
        <v>244</v>
      </c>
      <c r="J1288" s="5">
        <v>45431.594524409724</v>
      </c>
      <c r="K1288" s="5">
        <v>45434.189048819448</v>
      </c>
      <c r="M1288">
        <f t="shared" si="41"/>
        <v>10029727707</v>
      </c>
      <c r="N1288">
        <f ca="1">IF(M1288&lt;&gt;M1287,INDEX(CustInfo!$A$2:$A$1001,RANDBETWEEN(1,1000)),N1287)</f>
        <v>11090</v>
      </c>
      <c r="O1288" t="s">
        <v>1002</v>
      </c>
      <c r="P1288">
        <v>52937422</v>
      </c>
    </row>
    <row r="1289" spans="1:16" x14ac:dyDescent="0.35">
      <c r="A1289">
        <v>93827212477</v>
      </c>
      <c r="C1289" s="2" t="s">
        <v>883</v>
      </c>
      <c r="D1289">
        <v>2</v>
      </c>
      <c r="E1289">
        <v>76891213613</v>
      </c>
      <c r="F1289">
        <f t="shared" ca="1" si="40"/>
        <v>78</v>
      </c>
      <c r="G1289">
        <f ca="1">VLOOKUP(E1289,PurchItem!$A$2:$H$508,8,0)</f>
        <v>6056.8631163138916</v>
      </c>
      <c r="H1289">
        <v>0.06</v>
      </c>
      <c r="I1289" t="s">
        <v>244</v>
      </c>
      <c r="J1289" s="5">
        <v>45409.594524409724</v>
      </c>
      <c r="K1289" s="5">
        <v>45412.189048819448</v>
      </c>
      <c r="M1289">
        <f t="shared" si="41"/>
        <v>10029727707</v>
      </c>
      <c r="N1289">
        <f ca="1">IF(M1289&lt;&gt;M1288,INDEX(CustInfo!$A$2:$A$1001,RANDBETWEEN(1,1000)),N1288)</f>
        <v>11090</v>
      </c>
      <c r="O1289" t="s">
        <v>1002</v>
      </c>
      <c r="P1289">
        <v>52937423</v>
      </c>
    </row>
    <row r="1290" spans="1:16" x14ac:dyDescent="0.35">
      <c r="A1290">
        <v>93827212477</v>
      </c>
      <c r="C1290" s="2" t="s">
        <v>883</v>
      </c>
      <c r="D1290">
        <v>3</v>
      </c>
      <c r="E1290">
        <v>76891213492</v>
      </c>
      <c r="F1290">
        <f t="shared" ca="1" si="40"/>
        <v>96</v>
      </c>
      <c r="G1290">
        <f ca="1">VLOOKUP(E1290,PurchItem!$A$2:$H$508,8,0)</f>
        <v>4212.9527121259771</v>
      </c>
      <c r="H1290">
        <v>0.04</v>
      </c>
      <c r="I1290" t="s">
        <v>244</v>
      </c>
      <c r="J1290" s="5">
        <f ca="1">RANDBETWEEN(DATE(2022,1,1),TODAY()-30)+$U$2</f>
        <v>44720</v>
      </c>
      <c r="K1290" s="5">
        <f ca="1">J1290+RANDBETWEEN(0,3)+$U$2</f>
        <v>44720</v>
      </c>
      <c r="M1290">
        <f t="shared" si="41"/>
        <v>10029727707</v>
      </c>
      <c r="N1290">
        <f ca="1">IF(M1290&lt;&gt;M1289,INDEX(CustInfo!$A$2:$A$1001,RANDBETWEEN(1,1000)),N1289)</f>
        <v>11090</v>
      </c>
      <c r="O1290" t="s">
        <v>1002</v>
      </c>
      <c r="P1290">
        <v>52937424</v>
      </c>
    </row>
    <row r="1291" spans="1:16" x14ac:dyDescent="0.35">
      <c r="A1291">
        <v>93827212477</v>
      </c>
      <c r="C1291" s="2" t="s">
        <v>883</v>
      </c>
      <c r="D1291">
        <v>4</v>
      </c>
      <c r="E1291">
        <v>76891213383</v>
      </c>
      <c r="F1291">
        <f t="shared" ca="1" si="40"/>
        <v>70</v>
      </c>
      <c r="G1291">
        <f ca="1">VLOOKUP(E1291,PurchItem!$A$2:$H$508,8,0)</f>
        <v>7867.2325628845992</v>
      </c>
      <c r="H1291">
        <v>0.06</v>
      </c>
      <c r="I1291" t="s">
        <v>244</v>
      </c>
      <c r="J1291" s="5">
        <v>44774.594524409724</v>
      </c>
      <c r="K1291" s="5">
        <v>44776.189048819448</v>
      </c>
      <c r="M1291">
        <f t="shared" si="41"/>
        <v>10029727707</v>
      </c>
      <c r="N1291">
        <f ca="1">IF(M1291&lt;&gt;M1290,INDEX(CustInfo!$A$2:$A$1001,RANDBETWEEN(1,1000)),N1290)</f>
        <v>11090</v>
      </c>
      <c r="O1291" t="s">
        <v>1002</v>
      </c>
      <c r="P1291">
        <v>52937425</v>
      </c>
    </row>
    <row r="1292" spans="1:16" x14ac:dyDescent="0.35">
      <c r="A1292">
        <v>93827212478</v>
      </c>
      <c r="C1292" s="2" t="s">
        <v>883</v>
      </c>
      <c r="D1292">
        <v>1</v>
      </c>
      <c r="E1292">
        <v>76891213333</v>
      </c>
      <c r="F1292">
        <f t="shared" ca="1" si="40"/>
        <v>9</v>
      </c>
      <c r="G1292">
        <f ca="1">VLOOKUP(E1292,PurchItem!$A$2:$H$508,8,0)</f>
        <v>8289.6692498362754</v>
      </c>
      <c r="H1292">
        <v>0.04</v>
      </c>
      <c r="I1292" t="s">
        <v>244</v>
      </c>
      <c r="J1292" s="5">
        <v>45569.594524409724</v>
      </c>
      <c r="K1292" s="5">
        <v>45571.189048819448</v>
      </c>
      <c r="M1292">
        <f t="shared" si="41"/>
        <v>10029727708</v>
      </c>
      <c r="N1292">
        <f ca="1">IF(M1292&lt;&gt;M1291,INDEX(CustInfo!$A$2:$A$1001,RANDBETWEEN(1,1000)),N1291)</f>
        <v>11340</v>
      </c>
      <c r="O1292" t="s">
        <v>1001</v>
      </c>
      <c r="P1292">
        <v>52937426</v>
      </c>
    </row>
    <row r="1293" spans="1:16" x14ac:dyDescent="0.35">
      <c r="A1293">
        <v>93827212479</v>
      </c>
      <c r="C1293" s="2" t="s">
        <v>883</v>
      </c>
      <c r="D1293">
        <v>1</v>
      </c>
      <c r="E1293">
        <v>76891213541</v>
      </c>
      <c r="F1293">
        <f t="shared" ca="1" si="40"/>
        <v>77</v>
      </c>
      <c r="G1293">
        <f ca="1">VLOOKUP(E1293,PurchItem!$A$2:$H$508,8,0)</f>
        <v>8670.1313382850785</v>
      </c>
      <c r="H1293">
        <v>0.04</v>
      </c>
      <c r="I1293" t="s">
        <v>244</v>
      </c>
      <c r="J1293" s="5">
        <v>44605.594524409724</v>
      </c>
      <c r="K1293" s="5">
        <v>44609.189048819448</v>
      </c>
      <c r="M1293">
        <f t="shared" si="41"/>
        <v>10029727709</v>
      </c>
      <c r="N1293">
        <f ca="1">IF(M1293&lt;&gt;M1292,INDEX(CustInfo!$A$2:$A$1001,RANDBETWEEN(1,1000)),N1292)</f>
        <v>11843</v>
      </c>
      <c r="O1293" t="s">
        <v>1001</v>
      </c>
      <c r="P1293">
        <v>52937427</v>
      </c>
    </row>
    <row r="1294" spans="1:16" x14ac:dyDescent="0.35">
      <c r="A1294">
        <v>93827212479</v>
      </c>
      <c r="C1294" s="2" t="s">
        <v>883</v>
      </c>
      <c r="D1294">
        <v>2</v>
      </c>
      <c r="E1294">
        <v>76891213381</v>
      </c>
      <c r="F1294">
        <f t="shared" ca="1" si="40"/>
        <v>18</v>
      </c>
      <c r="G1294">
        <f ca="1">VLOOKUP(E1294,PurchItem!$A$2:$H$508,8,0)</f>
        <v>3713.0360352334424</v>
      </c>
      <c r="H1294">
        <v>0.05</v>
      </c>
      <c r="I1294" t="s">
        <v>244</v>
      </c>
      <c r="J1294" s="5">
        <v>45491.594524409724</v>
      </c>
      <c r="K1294" s="5">
        <v>45493.189048819448</v>
      </c>
      <c r="M1294">
        <f t="shared" si="41"/>
        <v>10029727709</v>
      </c>
      <c r="N1294">
        <f ca="1">IF(M1294&lt;&gt;M1293,INDEX(CustInfo!$A$2:$A$1001,RANDBETWEEN(1,1000)),N1293)</f>
        <v>11843</v>
      </c>
      <c r="O1294" t="s">
        <v>1001</v>
      </c>
      <c r="P1294">
        <v>52937428</v>
      </c>
    </row>
    <row r="1295" spans="1:16" x14ac:dyDescent="0.35">
      <c r="A1295">
        <v>93827212479</v>
      </c>
      <c r="C1295" s="2" t="s">
        <v>883</v>
      </c>
      <c r="D1295">
        <v>3</v>
      </c>
      <c r="E1295">
        <v>76891213404</v>
      </c>
      <c r="F1295">
        <f t="shared" ca="1" si="40"/>
        <v>40</v>
      </c>
      <c r="G1295">
        <f ca="1">VLOOKUP(E1295,PurchItem!$A$2:$H$508,8,0)</f>
        <v>5161.7096589652265</v>
      </c>
      <c r="H1295">
        <v>0.05</v>
      </c>
      <c r="I1295" t="s">
        <v>244</v>
      </c>
      <c r="J1295" s="5">
        <v>45521.594524409724</v>
      </c>
      <c r="K1295" s="5">
        <v>45523.189048819448</v>
      </c>
      <c r="M1295">
        <f t="shared" si="41"/>
        <v>10029727709</v>
      </c>
      <c r="N1295">
        <f ca="1">IF(M1295&lt;&gt;M1294,INDEX(CustInfo!$A$2:$A$1001,RANDBETWEEN(1,1000)),N1294)</f>
        <v>11843</v>
      </c>
      <c r="O1295" t="s">
        <v>1001</v>
      </c>
      <c r="P1295">
        <v>52937429</v>
      </c>
    </row>
    <row r="1296" spans="1:16" x14ac:dyDescent="0.35">
      <c r="A1296">
        <v>93827212479</v>
      </c>
      <c r="C1296" s="2" t="s">
        <v>883</v>
      </c>
      <c r="D1296">
        <v>4</v>
      </c>
      <c r="E1296">
        <v>76891213279</v>
      </c>
      <c r="F1296">
        <f t="shared" ca="1" si="40"/>
        <v>85</v>
      </c>
      <c r="G1296">
        <f ca="1">VLOOKUP(E1296,PurchItem!$A$2:$H$508,8,0)</f>
        <v>4031.2930953409268</v>
      </c>
      <c r="H1296">
        <v>0.05</v>
      </c>
      <c r="I1296" t="s">
        <v>244</v>
      </c>
      <c r="J1296" s="5">
        <v>45590.594524409724</v>
      </c>
      <c r="K1296" s="5">
        <v>45593.189048819448</v>
      </c>
      <c r="M1296">
        <f t="shared" si="41"/>
        <v>10029727709</v>
      </c>
      <c r="N1296">
        <f ca="1">IF(M1296&lt;&gt;M1295,INDEX(CustInfo!$A$2:$A$1001,RANDBETWEEN(1,1000)),N1295)</f>
        <v>11843</v>
      </c>
      <c r="O1296" t="s">
        <v>1001</v>
      </c>
      <c r="P1296">
        <v>52937430</v>
      </c>
    </row>
    <row r="1297" spans="1:16" x14ac:dyDescent="0.35">
      <c r="A1297">
        <v>93827212480</v>
      </c>
      <c r="C1297" s="2" t="s">
        <v>883</v>
      </c>
      <c r="D1297">
        <v>1</v>
      </c>
      <c r="E1297">
        <v>76891213303</v>
      </c>
      <c r="F1297">
        <f t="shared" ca="1" si="40"/>
        <v>46</v>
      </c>
      <c r="G1297">
        <f ca="1">VLOOKUP(E1297,PurchItem!$A$2:$H$508,8,0)</f>
        <v>1963.1587713825188</v>
      </c>
      <c r="H1297">
        <v>0.05</v>
      </c>
      <c r="I1297" t="s">
        <v>244</v>
      </c>
      <c r="J1297" s="5">
        <v>45408.594524409724</v>
      </c>
      <c r="K1297" s="5">
        <v>45411.189048819448</v>
      </c>
      <c r="M1297">
        <f t="shared" si="41"/>
        <v>10029727710</v>
      </c>
      <c r="N1297">
        <f ca="1">IF(M1297&lt;&gt;M1296,INDEX(CustInfo!$A$2:$A$1001,RANDBETWEEN(1,1000)),N1296)</f>
        <v>11966</v>
      </c>
      <c r="O1297" t="s">
        <v>1002</v>
      </c>
      <c r="P1297">
        <v>52937431</v>
      </c>
    </row>
    <row r="1298" spans="1:16" x14ac:dyDescent="0.35">
      <c r="A1298">
        <v>93827212481</v>
      </c>
      <c r="C1298" s="2" t="s">
        <v>883</v>
      </c>
      <c r="D1298">
        <v>1</v>
      </c>
      <c r="E1298">
        <v>76891213428</v>
      </c>
      <c r="F1298">
        <f t="shared" ca="1" si="40"/>
        <v>15</v>
      </c>
      <c r="G1298">
        <f ca="1">VLOOKUP(E1298,PurchItem!$A$2:$H$508,8,0)</f>
        <v>9444.1575416140786</v>
      </c>
      <c r="H1298">
        <v>0.06</v>
      </c>
      <c r="I1298" t="s">
        <v>244</v>
      </c>
      <c r="J1298" s="5">
        <v>45202.594524409724</v>
      </c>
      <c r="K1298" s="5">
        <v>45205.189048819448</v>
      </c>
      <c r="M1298">
        <f t="shared" si="41"/>
        <v>10029727711</v>
      </c>
      <c r="N1298">
        <f ca="1">IF(M1298&lt;&gt;M1297,INDEX(CustInfo!$A$2:$A$1001,RANDBETWEEN(1,1000)),N1297)</f>
        <v>11874</v>
      </c>
      <c r="O1298" t="s">
        <v>1001</v>
      </c>
      <c r="P1298">
        <v>52937432</v>
      </c>
    </row>
    <row r="1299" spans="1:16" x14ac:dyDescent="0.35">
      <c r="A1299">
        <v>93827212482</v>
      </c>
      <c r="C1299" s="2" t="s">
        <v>883</v>
      </c>
      <c r="D1299">
        <v>1</v>
      </c>
      <c r="E1299">
        <v>76891213214</v>
      </c>
      <c r="F1299">
        <f t="shared" ca="1" si="40"/>
        <v>88</v>
      </c>
      <c r="G1299">
        <f ca="1">VLOOKUP(E1299,PurchItem!$A$2:$H$508,8,0)</f>
        <v>3862.299244354836</v>
      </c>
      <c r="H1299">
        <v>0.05</v>
      </c>
      <c r="I1299" t="s">
        <v>244</v>
      </c>
      <c r="J1299" s="5">
        <v>45002.594524409724</v>
      </c>
      <c r="K1299" s="5">
        <v>45004.189048819448</v>
      </c>
      <c r="M1299">
        <f t="shared" si="41"/>
        <v>10029727712</v>
      </c>
      <c r="N1299">
        <f ca="1">IF(M1299&lt;&gt;M1298,INDEX(CustInfo!$A$2:$A$1001,RANDBETWEEN(1,1000)),N1298)</f>
        <v>11876</v>
      </c>
      <c r="O1299" t="s">
        <v>1001</v>
      </c>
      <c r="P1299">
        <v>52937433</v>
      </c>
    </row>
    <row r="1300" spans="1:16" x14ac:dyDescent="0.35">
      <c r="A1300">
        <v>93827212482</v>
      </c>
      <c r="C1300" s="2" t="s">
        <v>883</v>
      </c>
      <c r="D1300">
        <v>2</v>
      </c>
      <c r="E1300">
        <v>76891213393</v>
      </c>
      <c r="F1300">
        <f t="shared" ca="1" si="40"/>
        <v>17</v>
      </c>
      <c r="G1300">
        <f ca="1">VLOOKUP(E1300,PurchItem!$A$2:$H$508,8,0)</f>
        <v>1578.8037302555053</v>
      </c>
      <c r="H1300">
        <v>0.04</v>
      </c>
      <c r="I1300" t="s">
        <v>244</v>
      </c>
      <c r="J1300" s="5">
        <v>45250.594524409724</v>
      </c>
      <c r="K1300" s="5">
        <v>45251.189048819448</v>
      </c>
      <c r="M1300">
        <f t="shared" si="41"/>
        <v>10029727712</v>
      </c>
      <c r="N1300">
        <f ca="1">IF(M1300&lt;&gt;M1299,INDEX(CustInfo!$A$2:$A$1001,RANDBETWEEN(1,1000)),N1299)</f>
        <v>11876</v>
      </c>
      <c r="O1300" t="s">
        <v>1001</v>
      </c>
      <c r="P1300">
        <v>52937434</v>
      </c>
    </row>
    <row r="1301" spans="1:16" x14ac:dyDescent="0.35">
      <c r="A1301">
        <v>93827212483</v>
      </c>
      <c r="C1301" s="2" t="s">
        <v>883</v>
      </c>
      <c r="D1301">
        <v>1</v>
      </c>
      <c r="E1301">
        <v>76891213176</v>
      </c>
      <c r="F1301">
        <f t="shared" ca="1" si="40"/>
        <v>54</v>
      </c>
      <c r="G1301">
        <f ca="1">VLOOKUP(E1301,PurchItem!$A$2:$H$508,8,0)</f>
        <v>7307.4100843756351</v>
      </c>
      <c r="H1301">
        <v>0.06</v>
      </c>
      <c r="I1301" t="s">
        <v>244</v>
      </c>
      <c r="J1301" s="5">
        <v>45401.594524409724</v>
      </c>
      <c r="K1301" s="5">
        <v>45403.189048819448</v>
      </c>
      <c r="M1301">
        <f t="shared" si="41"/>
        <v>10029727713</v>
      </c>
      <c r="N1301">
        <f ca="1">IF(M1301&lt;&gt;M1300,INDEX(CustInfo!$A$2:$A$1001,RANDBETWEEN(1,1000)),N1300)</f>
        <v>11150</v>
      </c>
      <c r="O1301" t="s">
        <v>1002</v>
      </c>
      <c r="P1301">
        <v>52937435</v>
      </c>
    </row>
    <row r="1302" spans="1:16" x14ac:dyDescent="0.35">
      <c r="A1302">
        <v>93827212483</v>
      </c>
      <c r="C1302" s="2" t="s">
        <v>883</v>
      </c>
      <c r="D1302">
        <v>2</v>
      </c>
      <c r="E1302">
        <v>76891213480</v>
      </c>
      <c r="F1302">
        <f t="shared" ca="1" si="40"/>
        <v>5</v>
      </c>
      <c r="G1302">
        <f ca="1">VLOOKUP(E1302,PurchItem!$A$2:$H$508,8,0)</f>
        <v>5818.9796436144088</v>
      </c>
      <c r="H1302">
        <v>0.04</v>
      </c>
      <c r="I1302" t="s">
        <v>244</v>
      </c>
      <c r="J1302" s="5">
        <v>45421.594524409724</v>
      </c>
      <c r="K1302" s="5">
        <v>45422.189048819448</v>
      </c>
      <c r="M1302">
        <f t="shared" si="41"/>
        <v>10029727713</v>
      </c>
      <c r="N1302">
        <f ca="1">IF(M1302&lt;&gt;M1301,INDEX(CustInfo!$A$2:$A$1001,RANDBETWEEN(1,1000)),N1301)</f>
        <v>11150</v>
      </c>
      <c r="O1302" t="s">
        <v>1002</v>
      </c>
      <c r="P1302">
        <v>52937436</v>
      </c>
    </row>
    <row r="1303" spans="1:16" x14ac:dyDescent="0.35">
      <c r="A1303">
        <v>93827212483</v>
      </c>
      <c r="C1303" s="2" t="s">
        <v>883</v>
      </c>
      <c r="D1303">
        <v>3</v>
      </c>
      <c r="E1303">
        <v>76891213303</v>
      </c>
      <c r="F1303">
        <f t="shared" ca="1" si="40"/>
        <v>22</v>
      </c>
      <c r="G1303">
        <f ca="1">VLOOKUP(E1303,PurchItem!$A$2:$H$508,8,0)</f>
        <v>1963.1587713825188</v>
      </c>
      <c r="H1303">
        <v>0.05</v>
      </c>
      <c r="I1303" t="s">
        <v>244</v>
      </c>
      <c r="J1303" s="5">
        <v>44696.594524409724</v>
      </c>
      <c r="K1303" s="5">
        <v>44697.189048819448</v>
      </c>
      <c r="M1303">
        <f t="shared" si="41"/>
        <v>10029727713</v>
      </c>
      <c r="N1303">
        <f ca="1">IF(M1303&lt;&gt;M1302,INDEX(CustInfo!$A$2:$A$1001,RANDBETWEEN(1,1000)),N1302)</f>
        <v>11150</v>
      </c>
      <c r="O1303" t="s">
        <v>1002</v>
      </c>
      <c r="P1303">
        <v>52937437</v>
      </c>
    </row>
    <row r="1304" spans="1:16" x14ac:dyDescent="0.35">
      <c r="A1304">
        <v>93827212483</v>
      </c>
      <c r="C1304" s="2" t="s">
        <v>883</v>
      </c>
      <c r="D1304">
        <v>4</v>
      </c>
      <c r="E1304">
        <v>76891213567</v>
      </c>
      <c r="F1304">
        <f t="shared" ca="1" si="40"/>
        <v>20</v>
      </c>
      <c r="G1304">
        <f ca="1">VLOOKUP(E1304,PurchItem!$A$2:$H$508,8,0)</f>
        <v>8161.6186808956736</v>
      </c>
      <c r="H1304">
        <v>0.05</v>
      </c>
      <c r="I1304" t="s">
        <v>244</v>
      </c>
      <c r="J1304" s="5">
        <v>45399.594524409724</v>
      </c>
      <c r="K1304" s="5">
        <v>45403.189048819448</v>
      </c>
      <c r="M1304">
        <f t="shared" si="41"/>
        <v>10029727713</v>
      </c>
      <c r="N1304">
        <f ca="1">IF(M1304&lt;&gt;M1303,INDEX(CustInfo!$A$2:$A$1001,RANDBETWEEN(1,1000)),N1303)</f>
        <v>11150</v>
      </c>
      <c r="O1304" t="s">
        <v>1002</v>
      </c>
      <c r="P1304">
        <v>52937438</v>
      </c>
    </row>
    <row r="1305" spans="1:16" x14ac:dyDescent="0.35">
      <c r="A1305">
        <v>93827212484</v>
      </c>
      <c r="C1305" s="2" t="s">
        <v>883</v>
      </c>
      <c r="D1305">
        <v>1</v>
      </c>
      <c r="E1305">
        <v>76891213331</v>
      </c>
      <c r="F1305">
        <f t="shared" ca="1" si="40"/>
        <v>99</v>
      </c>
      <c r="G1305">
        <f ca="1">VLOOKUP(E1305,PurchItem!$A$2:$H$508,8,0)</f>
        <v>1836.2125088946002</v>
      </c>
      <c r="H1305">
        <v>0.04</v>
      </c>
      <c r="I1305" t="s">
        <v>244</v>
      </c>
      <c r="J1305" s="5">
        <v>44797.594524409724</v>
      </c>
      <c r="K1305" s="5">
        <v>44798.189048819448</v>
      </c>
      <c r="M1305">
        <f t="shared" si="41"/>
        <v>10029727714</v>
      </c>
      <c r="N1305">
        <f ca="1">IF(M1305&lt;&gt;M1304,INDEX(CustInfo!$A$2:$A$1001,RANDBETWEEN(1,1000)),N1304)</f>
        <v>11538</v>
      </c>
      <c r="O1305" t="s">
        <v>1001</v>
      </c>
      <c r="P1305">
        <v>52937439</v>
      </c>
    </row>
    <row r="1306" spans="1:16" x14ac:dyDescent="0.35">
      <c r="A1306">
        <v>93827212484</v>
      </c>
      <c r="C1306" s="2" t="s">
        <v>883</v>
      </c>
      <c r="D1306">
        <v>2</v>
      </c>
      <c r="E1306">
        <v>76891213489</v>
      </c>
      <c r="F1306">
        <f t="shared" ca="1" si="40"/>
        <v>10</v>
      </c>
      <c r="G1306">
        <f ca="1">VLOOKUP(E1306,PurchItem!$A$2:$H$508,8,0)</f>
        <v>4488.0320380365865</v>
      </c>
      <c r="H1306">
        <v>0.04</v>
      </c>
      <c r="I1306" t="s">
        <v>244</v>
      </c>
      <c r="J1306" s="5">
        <v>44996.594524409724</v>
      </c>
      <c r="K1306" s="5">
        <v>44997.189048819448</v>
      </c>
      <c r="M1306">
        <f t="shared" si="41"/>
        <v>10029727714</v>
      </c>
      <c r="N1306">
        <f ca="1">IF(M1306&lt;&gt;M1305,INDEX(CustInfo!$A$2:$A$1001,RANDBETWEEN(1,1000)),N1305)</f>
        <v>11538</v>
      </c>
      <c r="O1306" t="s">
        <v>1001</v>
      </c>
      <c r="P1306">
        <v>52937440</v>
      </c>
    </row>
    <row r="1307" spans="1:16" x14ac:dyDescent="0.35">
      <c r="A1307">
        <v>93827212484</v>
      </c>
      <c r="C1307" s="2" t="s">
        <v>883</v>
      </c>
      <c r="D1307">
        <v>3</v>
      </c>
      <c r="E1307">
        <v>76891213512</v>
      </c>
      <c r="F1307">
        <f t="shared" ca="1" si="40"/>
        <v>91</v>
      </c>
      <c r="G1307">
        <f ca="1">VLOOKUP(E1307,PurchItem!$A$2:$H$508,8,0)</f>
        <v>9875.6826871447392</v>
      </c>
      <c r="H1307">
        <v>0.06</v>
      </c>
      <c r="I1307" t="s">
        <v>244</v>
      </c>
      <c r="J1307" s="5">
        <v>45566.594524409724</v>
      </c>
      <c r="K1307" s="5">
        <v>45568.189048819448</v>
      </c>
      <c r="M1307">
        <f t="shared" si="41"/>
        <v>10029727714</v>
      </c>
      <c r="N1307">
        <f ca="1">IF(M1307&lt;&gt;M1306,INDEX(CustInfo!$A$2:$A$1001,RANDBETWEEN(1,1000)),N1306)</f>
        <v>11538</v>
      </c>
      <c r="O1307" t="s">
        <v>1001</v>
      </c>
      <c r="P1307">
        <v>52937441</v>
      </c>
    </row>
    <row r="1308" spans="1:16" x14ac:dyDescent="0.35">
      <c r="A1308">
        <v>93827212485</v>
      </c>
      <c r="C1308" s="2" t="s">
        <v>883</v>
      </c>
      <c r="D1308">
        <v>1</v>
      </c>
      <c r="E1308">
        <v>76891213490</v>
      </c>
      <c r="F1308">
        <f t="shared" ca="1" si="40"/>
        <v>6</v>
      </c>
      <c r="G1308">
        <f ca="1">VLOOKUP(E1308,PurchItem!$A$2:$H$508,8,0)</f>
        <v>140.78264380891454</v>
      </c>
      <c r="H1308">
        <v>0.05</v>
      </c>
      <c r="I1308" t="s">
        <v>244</v>
      </c>
      <c r="J1308" s="5">
        <v>44870.594524409724</v>
      </c>
      <c r="K1308" s="5">
        <v>44872.189048819448</v>
      </c>
      <c r="M1308">
        <f t="shared" si="41"/>
        <v>10029727715</v>
      </c>
      <c r="N1308">
        <f ca="1">IF(M1308&lt;&gt;M1307,INDEX(CustInfo!$A$2:$A$1001,RANDBETWEEN(1,1000)),N1307)</f>
        <v>11938</v>
      </c>
      <c r="O1308" t="s">
        <v>1001</v>
      </c>
      <c r="P1308">
        <v>52937442</v>
      </c>
    </row>
    <row r="1309" spans="1:16" x14ac:dyDescent="0.35">
      <c r="A1309">
        <v>93827212485</v>
      </c>
      <c r="C1309" s="2" t="s">
        <v>883</v>
      </c>
      <c r="D1309">
        <v>2</v>
      </c>
      <c r="E1309">
        <v>76891213539</v>
      </c>
      <c r="F1309">
        <f t="shared" ca="1" si="40"/>
        <v>19</v>
      </c>
      <c r="G1309">
        <f ca="1">VLOOKUP(E1309,PurchItem!$A$2:$H$508,8,0)</f>
        <v>2018.0212140707813</v>
      </c>
      <c r="H1309">
        <v>0.05</v>
      </c>
      <c r="I1309" t="s">
        <v>244</v>
      </c>
      <c r="J1309" s="5">
        <v>45483.594524409724</v>
      </c>
      <c r="K1309" s="5">
        <v>45486.189048819448</v>
      </c>
      <c r="M1309">
        <f t="shared" si="41"/>
        <v>10029727715</v>
      </c>
      <c r="N1309">
        <f ca="1">IF(M1309&lt;&gt;M1308,INDEX(CustInfo!$A$2:$A$1001,RANDBETWEEN(1,1000)),N1308)</f>
        <v>11938</v>
      </c>
      <c r="O1309" t="s">
        <v>1001</v>
      </c>
      <c r="P1309">
        <v>52937443</v>
      </c>
    </row>
    <row r="1310" spans="1:16" x14ac:dyDescent="0.35">
      <c r="A1310">
        <v>93827212486</v>
      </c>
      <c r="C1310" s="2" t="s">
        <v>883</v>
      </c>
      <c r="D1310">
        <v>1</v>
      </c>
      <c r="E1310">
        <v>76891213590</v>
      </c>
      <c r="F1310">
        <f t="shared" ca="1" si="40"/>
        <v>61</v>
      </c>
      <c r="G1310">
        <f ca="1">VLOOKUP(E1310,PurchItem!$A$2:$H$508,8,0)</f>
        <v>7917.0484239555426</v>
      </c>
      <c r="H1310">
        <v>0.05</v>
      </c>
      <c r="I1310" t="s">
        <v>244</v>
      </c>
      <c r="J1310" s="5">
        <v>44572.594524409724</v>
      </c>
      <c r="K1310" s="5">
        <v>44573.189048819448</v>
      </c>
      <c r="M1310">
        <f t="shared" si="41"/>
        <v>10029727716</v>
      </c>
      <c r="N1310">
        <f ca="1">IF(M1310&lt;&gt;M1309,INDEX(CustInfo!$A$2:$A$1001,RANDBETWEEN(1,1000)),N1309)</f>
        <v>11989</v>
      </c>
      <c r="O1310" t="s">
        <v>1001</v>
      </c>
      <c r="P1310">
        <v>52937444</v>
      </c>
    </row>
    <row r="1311" spans="1:16" x14ac:dyDescent="0.35">
      <c r="A1311">
        <v>93827212487</v>
      </c>
      <c r="C1311" s="2" t="s">
        <v>883</v>
      </c>
      <c r="D1311">
        <v>1</v>
      </c>
      <c r="E1311">
        <v>76891213605</v>
      </c>
      <c r="F1311">
        <f t="shared" ca="1" si="40"/>
        <v>86</v>
      </c>
      <c r="G1311">
        <f ca="1">VLOOKUP(E1311,PurchItem!$A$2:$H$508,8,0)</f>
        <v>4769.9072072228973</v>
      </c>
      <c r="H1311">
        <v>0.04</v>
      </c>
      <c r="I1311" t="s">
        <v>244</v>
      </c>
      <c r="J1311" s="5">
        <v>44801.594524409724</v>
      </c>
      <c r="K1311" s="5">
        <v>44805.189048819448</v>
      </c>
      <c r="M1311">
        <f t="shared" si="41"/>
        <v>10029727717</v>
      </c>
      <c r="N1311">
        <f ca="1">IF(M1311&lt;&gt;M1310,INDEX(CustInfo!$A$2:$A$1001,RANDBETWEEN(1,1000)),N1310)</f>
        <v>11659</v>
      </c>
      <c r="O1311" t="s">
        <v>1001</v>
      </c>
      <c r="P1311">
        <v>52937445</v>
      </c>
    </row>
    <row r="1312" spans="1:16" x14ac:dyDescent="0.35">
      <c r="A1312">
        <v>93827212487</v>
      </c>
      <c r="C1312" s="2" t="s">
        <v>883</v>
      </c>
      <c r="D1312">
        <v>2</v>
      </c>
      <c r="E1312">
        <v>76891213556</v>
      </c>
      <c r="F1312">
        <f t="shared" ca="1" si="40"/>
        <v>72</v>
      </c>
      <c r="G1312">
        <f ca="1">VLOOKUP(E1312,PurchItem!$A$2:$H$508,8,0)</f>
        <v>8388.3334614270243</v>
      </c>
      <c r="H1312">
        <v>0.06</v>
      </c>
      <c r="I1312" t="s">
        <v>244</v>
      </c>
      <c r="J1312" s="5">
        <v>44747.594524409724</v>
      </c>
      <c r="K1312" s="5">
        <v>44749.189048819448</v>
      </c>
      <c r="M1312">
        <f t="shared" si="41"/>
        <v>10029727717</v>
      </c>
      <c r="N1312">
        <f ca="1">IF(M1312&lt;&gt;M1311,INDEX(CustInfo!$A$2:$A$1001,RANDBETWEEN(1,1000)),N1311)</f>
        <v>11659</v>
      </c>
      <c r="O1312" t="s">
        <v>1001</v>
      </c>
      <c r="P1312">
        <v>52937446</v>
      </c>
    </row>
    <row r="1313" spans="1:16" x14ac:dyDescent="0.35">
      <c r="A1313">
        <v>93827212487</v>
      </c>
      <c r="C1313" s="2" t="s">
        <v>883</v>
      </c>
      <c r="D1313">
        <v>3</v>
      </c>
      <c r="E1313">
        <v>76891213247</v>
      </c>
      <c r="F1313">
        <f t="shared" ca="1" si="40"/>
        <v>42</v>
      </c>
      <c r="G1313">
        <f ca="1">VLOOKUP(E1313,PurchItem!$A$2:$H$508,8,0)</f>
        <v>6755.835133399748</v>
      </c>
      <c r="H1313">
        <v>0.06</v>
      </c>
      <c r="I1313" t="s">
        <v>244</v>
      </c>
      <c r="J1313" s="5">
        <v>44717.594524409724</v>
      </c>
      <c r="K1313" s="5">
        <v>44719.189048819448</v>
      </c>
      <c r="M1313">
        <f t="shared" si="41"/>
        <v>10029727717</v>
      </c>
      <c r="N1313">
        <f ca="1">IF(M1313&lt;&gt;M1312,INDEX(CustInfo!$A$2:$A$1001,RANDBETWEEN(1,1000)),N1312)</f>
        <v>11659</v>
      </c>
      <c r="O1313" t="s">
        <v>1001</v>
      </c>
      <c r="P1313">
        <v>52937447</v>
      </c>
    </row>
    <row r="1314" spans="1:16" x14ac:dyDescent="0.35">
      <c r="A1314">
        <v>93827212488</v>
      </c>
      <c r="C1314" s="2" t="s">
        <v>883</v>
      </c>
      <c r="D1314">
        <v>1</v>
      </c>
      <c r="E1314">
        <v>76891213413</v>
      </c>
      <c r="F1314">
        <f t="shared" ca="1" si="40"/>
        <v>70</v>
      </c>
      <c r="G1314">
        <f ca="1">VLOOKUP(E1314,PurchItem!$A$2:$H$508,8,0)</f>
        <v>5860.803601844581</v>
      </c>
      <c r="H1314">
        <v>0.06</v>
      </c>
      <c r="I1314" t="s">
        <v>244</v>
      </c>
      <c r="J1314" s="5">
        <v>45397.594524409724</v>
      </c>
      <c r="K1314" s="5">
        <v>45399.189048819448</v>
      </c>
      <c r="M1314">
        <f t="shared" si="41"/>
        <v>10029727718</v>
      </c>
      <c r="N1314">
        <f ca="1">IF(M1314&lt;&gt;M1313,INDEX(CustInfo!$A$2:$A$1001,RANDBETWEEN(1,1000)),N1313)</f>
        <v>11948</v>
      </c>
      <c r="O1314" t="s">
        <v>1001</v>
      </c>
      <c r="P1314">
        <v>52937448</v>
      </c>
    </row>
    <row r="1315" spans="1:16" x14ac:dyDescent="0.35">
      <c r="A1315">
        <v>93827212488</v>
      </c>
      <c r="C1315" s="2" t="s">
        <v>883</v>
      </c>
      <c r="D1315">
        <v>2</v>
      </c>
      <c r="E1315">
        <v>76891213484</v>
      </c>
      <c r="F1315">
        <f t="shared" ca="1" si="40"/>
        <v>79</v>
      </c>
      <c r="G1315">
        <f ca="1">VLOOKUP(E1315,PurchItem!$A$2:$H$508,8,0)</f>
        <v>6278.4735130598492</v>
      </c>
      <c r="H1315">
        <v>0.06</v>
      </c>
      <c r="I1315" t="s">
        <v>244</v>
      </c>
      <c r="J1315" s="5">
        <v>45307.594524409724</v>
      </c>
      <c r="K1315" s="5">
        <v>45311.189048819448</v>
      </c>
      <c r="M1315">
        <f t="shared" si="41"/>
        <v>10029727718</v>
      </c>
      <c r="N1315">
        <f ca="1">IF(M1315&lt;&gt;M1314,INDEX(CustInfo!$A$2:$A$1001,RANDBETWEEN(1,1000)),N1314)</f>
        <v>11948</v>
      </c>
      <c r="O1315" t="s">
        <v>1001</v>
      </c>
      <c r="P1315">
        <v>52937449</v>
      </c>
    </row>
    <row r="1316" spans="1:16" x14ac:dyDescent="0.35">
      <c r="A1316">
        <v>93827212489</v>
      </c>
      <c r="C1316" s="2" t="s">
        <v>883</v>
      </c>
      <c r="D1316">
        <v>1</v>
      </c>
      <c r="E1316">
        <v>76891213435</v>
      </c>
      <c r="F1316">
        <f t="shared" ca="1" si="40"/>
        <v>53</v>
      </c>
      <c r="G1316">
        <f ca="1">VLOOKUP(E1316,PurchItem!$A$2:$H$508,8,0)</f>
        <v>1716.0407979817521</v>
      </c>
      <c r="H1316">
        <v>0.05</v>
      </c>
      <c r="I1316" t="s">
        <v>244</v>
      </c>
      <c r="J1316" s="5">
        <v>45305.594524409724</v>
      </c>
      <c r="K1316" s="5">
        <v>45309.189048819448</v>
      </c>
      <c r="M1316">
        <f t="shared" si="41"/>
        <v>10029727719</v>
      </c>
      <c r="N1316">
        <f ca="1">IF(M1316&lt;&gt;M1315,INDEX(CustInfo!$A$2:$A$1001,RANDBETWEEN(1,1000)),N1315)</f>
        <v>11742</v>
      </c>
      <c r="O1316" t="s">
        <v>1001</v>
      </c>
      <c r="P1316">
        <v>52937450</v>
      </c>
    </row>
    <row r="1317" spans="1:16" x14ac:dyDescent="0.35">
      <c r="A1317">
        <v>93827212489</v>
      </c>
      <c r="C1317" s="2" t="s">
        <v>883</v>
      </c>
      <c r="D1317">
        <v>2</v>
      </c>
      <c r="E1317">
        <v>76891213535</v>
      </c>
      <c r="F1317">
        <f t="shared" ca="1" si="40"/>
        <v>46</v>
      </c>
      <c r="G1317">
        <f ca="1">VLOOKUP(E1317,PurchItem!$A$2:$H$508,8,0)</f>
        <v>468.81906553927877</v>
      </c>
      <c r="H1317">
        <v>0.06</v>
      </c>
      <c r="I1317" t="s">
        <v>244</v>
      </c>
      <c r="J1317" s="5">
        <v>45132.594524409724</v>
      </c>
      <c r="K1317" s="5">
        <v>45134.189048819448</v>
      </c>
      <c r="M1317">
        <f t="shared" si="41"/>
        <v>10029727719</v>
      </c>
      <c r="N1317">
        <f ca="1">IF(M1317&lt;&gt;M1316,INDEX(CustInfo!$A$2:$A$1001,RANDBETWEEN(1,1000)),N1316)</f>
        <v>11742</v>
      </c>
      <c r="O1317" t="s">
        <v>1001</v>
      </c>
      <c r="P1317">
        <v>52937451</v>
      </c>
    </row>
    <row r="1318" spans="1:16" x14ac:dyDescent="0.35">
      <c r="A1318">
        <v>93827212490</v>
      </c>
      <c r="C1318" s="2" t="s">
        <v>883</v>
      </c>
      <c r="D1318">
        <v>1</v>
      </c>
      <c r="E1318">
        <v>76891213594</v>
      </c>
      <c r="F1318">
        <f t="shared" ca="1" si="40"/>
        <v>77</v>
      </c>
      <c r="G1318">
        <f ca="1">VLOOKUP(E1318,PurchItem!$A$2:$H$508,8,0)</f>
        <v>2771.4029436005667</v>
      </c>
      <c r="H1318">
        <v>0.04</v>
      </c>
      <c r="I1318" t="s">
        <v>244</v>
      </c>
      <c r="J1318" s="5">
        <v>45428.594524409724</v>
      </c>
      <c r="K1318" s="5">
        <v>45431.189048819448</v>
      </c>
      <c r="M1318">
        <f t="shared" si="41"/>
        <v>10029727720</v>
      </c>
      <c r="N1318">
        <f ca="1">IF(M1318&lt;&gt;M1317,INDEX(CustInfo!$A$2:$A$1001,RANDBETWEEN(1,1000)),N1317)</f>
        <v>11956</v>
      </c>
      <c r="O1318" t="s">
        <v>1003</v>
      </c>
      <c r="P1318">
        <v>52937452</v>
      </c>
    </row>
    <row r="1319" spans="1:16" x14ac:dyDescent="0.35">
      <c r="A1319">
        <v>93827212491</v>
      </c>
      <c r="C1319" s="2" t="s">
        <v>883</v>
      </c>
      <c r="D1319">
        <v>1</v>
      </c>
      <c r="E1319">
        <v>76891213511</v>
      </c>
      <c r="F1319">
        <f t="shared" ca="1" si="40"/>
        <v>16</v>
      </c>
      <c r="G1319">
        <f ca="1">VLOOKUP(E1319,PurchItem!$A$2:$H$508,8,0)</f>
        <v>6497.3010263499036</v>
      </c>
      <c r="H1319">
        <v>0.06</v>
      </c>
      <c r="I1319" t="s">
        <v>244</v>
      </c>
      <c r="J1319" s="5">
        <v>44831.594524409724</v>
      </c>
      <c r="K1319" s="5">
        <v>44833.189048819448</v>
      </c>
      <c r="M1319">
        <f t="shared" si="41"/>
        <v>10029727721</v>
      </c>
      <c r="N1319">
        <f ca="1">IF(M1319&lt;&gt;M1318,INDEX(CustInfo!$A$2:$A$1001,RANDBETWEEN(1,1000)),N1318)</f>
        <v>11117</v>
      </c>
      <c r="O1319" t="s">
        <v>1003</v>
      </c>
      <c r="P1319">
        <v>52937453</v>
      </c>
    </row>
    <row r="1320" spans="1:16" x14ac:dyDescent="0.35">
      <c r="A1320">
        <v>93827212491</v>
      </c>
      <c r="C1320" s="2" t="s">
        <v>883</v>
      </c>
      <c r="D1320">
        <v>2</v>
      </c>
      <c r="E1320">
        <v>76891213184</v>
      </c>
      <c r="F1320">
        <f t="shared" ca="1" si="40"/>
        <v>87</v>
      </c>
      <c r="G1320">
        <f ca="1">VLOOKUP(E1320,PurchItem!$A$2:$H$508,8,0)</f>
        <v>5805.1190284202921</v>
      </c>
      <c r="H1320">
        <v>0.04</v>
      </c>
      <c r="I1320" t="s">
        <v>244</v>
      </c>
      <c r="J1320" s="5">
        <v>44859.594524409724</v>
      </c>
      <c r="K1320" s="5">
        <v>44862.189048819448</v>
      </c>
      <c r="M1320">
        <f t="shared" si="41"/>
        <v>10029727721</v>
      </c>
      <c r="N1320">
        <f ca="1">IF(M1320&lt;&gt;M1319,INDEX(CustInfo!$A$2:$A$1001,RANDBETWEEN(1,1000)),N1319)</f>
        <v>11117</v>
      </c>
      <c r="O1320" t="s">
        <v>1003</v>
      </c>
      <c r="P1320">
        <v>52937454</v>
      </c>
    </row>
    <row r="1321" spans="1:16" x14ac:dyDescent="0.35">
      <c r="A1321">
        <v>93827212492</v>
      </c>
      <c r="C1321" s="2" t="s">
        <v>883</v>
      </c>
      <c r="D1321">
        <v>1</v>
      </c>
      <c r="E1321">
        <v>76891213493</v>
      </c>
      <c r="F1321">
        <f t="shared" ca="1" si="40"/>
        <v>78</v>
      </c>
      <c r="G1321">
        <f ca="1">VLOOKUP(E1321,PurchItem!$A$2:$H$508,8,0)</f>
        <v>1962.5465648313532</v>
      </c>
      <c r="H1321">
        <v>0.06</v>
      </c>
      <c r="I1321" t="s">
        <v>244</v>
      </c>
      <c r="J1321" s="5">
        <v>45579.594524409724</v>
      </c>
      <c r="K1321" s="5">
        <v>45581.189048819448</v>
      </c>
      <c r="M1321">
        <f t="shared" si="41"/>
        <v>10029727722</v>
      </c>
      <c r="N1321">
        <f ca="1">IF(M1321&lt;&gt;M1320,INDEX(CustInfo!$A$2:$A$1001,RANDBETWEEN(1,1000)),N1320)</f>
        <v>11841</v>
      </c>
      <c r="O1321" t="s">
        <v>1001</v>
      </c>
      <c r="P1321">
        <v>52937455</v>
      </c>
    </row>
    <row r="1322" spans="1:16" x14ac:dyDescent="0.35">
      <c r="A1322">
        <v>93827212492</v>
      </c>
      <c r="C1322" s="2" t="s">
        <v>883</v>
      </c>
      <c r="D1322">
        <v>2</v>
      </c>
      <c r="E1322">
        <v>76891213181</v>
      </c>
      <c r="F1322">
        <f t="shared" ca="1" si="40"/>
        <v>88</v>
      </c>
      <c r="G1322">
        <f ca="1">VLOOKUP(E1322,PurchItem!$A$2:$H$508,8,0)</f>
        <v>9557.507025574856</v>
      </c>
      <c r="H1322">
        <v>0.05</v>
      </c>
      <c r="I1322" t="s">
        <v>244</v>
      </c>
      <c r="J1322" s="5">
        <v>45572.594524409724</v>
      </c>
      <c r="K1322" s="5">
        <v>45576.189048819448</v>
      </c>
      <c r="M1322">
        <f t="shared" si="41"/>
        <v>10029727722</v>
      </c>
      <c r="N1322">
        <f ca="1">IF(M1322&lt;&gt;M1321,INDEX(CustInfo!$A$2:$A$1001,RANDBETWEEN(1,1000)),N1321)</f>
        <v>11841</v>
      </c>
      <c r="O1322" t="s">
        <v>1001</v>
      </c>
      <c r="P1322">
        <v>52937456</v>
      </c>
    </row>
    <row r="1323" spans="1:16" x14ac:dyDescent="0.35">
      <c r="A1323">
        <v>93827212493</v>
      </c>
      <c r="C1323" s="2" t="s">
        <v>883</v>
      </c>
      <c r="D1323">
        <v>1</v>
      </c>
      <c r="E1323">
        <v>76891213300</v>
      </c>
      <c r="F1323">
        <f t="shared" ca="1" si="40"/>
        <v>50</v>
      </c>
      <c r="G1323">
        <f ca="1">VLOOKUP(E1323,PurchItem!$A$2:$H$508,8,0)</f>
        <v>7933.1351105062431</v>
      </c>
      <c r="H1323">
        <v>0.05</v>
      </c>
      <c r="I1323" t="s">
        <v>244</v>
      </c>
      <c r="J1323" s="5">
        <v>44912.594524409724</v>
      </c>
      <c r="K1323" s="5">
        <v>44913.189048819448</v>
      </c>
      <c r="M1323">
        <f t="shared" si="41"/>
        <v>10029727723</v>
      </c>
      <c r="N1323">
        <f ca="1">IF(M1323&lt;&gt;M1322,INDEX(CustInfo!$A$2:$A$1001,RANDBETWEEN(1,1000)),N1322)</f>
        <v>11897</v>
      </c>
      <c r="O1323" t="s">
        <v>1002</v>
      </c>
      <c r="P1323">
        <v>52937457</v>
      </c>
    </row>
    <row r="1324" spans="1:16" x14ac:dyDescent="0.35">
      <c r="A1324">
        <v>93827212494</v>
      </c>
      <c r="C1324" s="2" t="s">
        <v>883</v>
      </c>
      <c r="D1324">
        <v>1</v>
      </c>
      <c r="E1324">
        <v>76891213159</v>
      </c>
      <c r="F1324">
        <f t="shared" ca="1" si="40"/>
        <v>70</v>
      </c>
      <c r="G1324">
        <f ca="1">VLOOKUP(E1324,PurchItem!$A$2:$H$508,8,0)</f>
        <v>1020.1296091286805</v>
      </c>
      <c r="H1324">
        <v>0.05</v>
      </c>
      <c r="I1324" t="s">
        <v>244</v>
      </c>
      <c r="J1324" s="5">
        <v>44717.594524409724</v>
      </c>
      <c r="K1324" s="5">
        <v>44719.189048819448</v>
      </c>
      <c r="M1324">
        <f t="shared" si="41"/>
        <v>10029727724</v>
      </c>
      <c r="N1324">
        <f ca="1">IF(M1324&lt;&gt;M1323,INDEX(CustInfo!$A$2:$A$1001,RANDBETWEEN(1,1000)),N1323)</f>
        <v>11052</v>
      </c>
      <c r="O1324" t="s">
        <v>1002</v>
      </c>
      <c r="P1324">
        <v>52937458</v>
      </c>
    </row>
    <row r="1325" spans="1:16" x14ac:dyDescent="0.35">
      <c r="A1325">
        <v>93827212495</v>
      </c>
      <c r="C1325" s="2" t="s">
        <v>883</v>
      </c>
      <c r="D1325">
        <v>1</v>
      </c>
      <c r="E1325">
        <v>76891213254</v>
      </c>
      <c r="F1325">
        <f t="shared" ca="1" si="40"/>
        <v>70</v>
      </c>
      <c r="G1325">
        <f ca="1">VLOOKUP(E1325,PurchItem!$A$2:$H$508,8,0)</f>
        <v>8238.8569065705833</v>
      </c>
      <c r="H1325">
        <v>0.04</v>
      </c>
      <c r="I1325" t="s">
        <v>244</v>
      </c>
      <c r="J1325" s="5">
        <v>45150.594524409724</v>
      </c>
      <c r="K1325" s="5">
        <v>45152.189048819448</v>
      </c>
      <c r="M1325">
        <f t="shared" si="41"/>
        <v>10029727725</v>
      </c>
      <c r="N1325">
        <f ca="1">IF(M1325&lt;&gt;M1324,INDEX(CustInfo!$A$2:$A$1001,RANDBETWEEN(1,1000)),N1324)</f>
        <v>11022</v>
      </c>
      <c r="O1325" t="s">
        <v>1001</v>
      </c>
      <c r="P1325">
        <v>52937459</v>
      </c>
    </row>
    <row r="1326" spans="1:16" x14ac:dyDescent="0.35">
      <c r="A1326">
        <v>93827212495</v>
      </c>
      <c r="C1326" s="2" t="s">
        <v>883</v>
      </c>
      <c r="D1326">
        <v>2</v>
      </c>
      <c r="E1326">
        <v>76891213300</v>
      </c>
      <c r="F1326">
        <f t="shared" ca="1" si="40"/>
        <v>41</v>
      </c>
      <c r="G1326">
        <f ca="1">VLOOKUP(E1326,PurchItem!$A$2:$H$508,8,0)</f>
        <v>7933.1351105062431</v>
      </c>
      <c r="H1326">
        <v>0.06</v>
      </c>
      <c r="I1326" t="s">
        <v>244</v>
      </c>
      <c r="J1326" s="5">
        <v>45470.594524409724</v>
      </c>
      <c r="K1326" s="5">
        <v>45473.189048819448</v>
      </c>
      <c r="M1326">
        <f t="shared" si="41"/>
        <v>10029727725</v>
      </c>
      <c r="N1326">
        <f ca="1">IF(M1326&lt;&gt;M1325,INDEX(CustInfo!$A$2:$A$1001,RANDBETWEEN(1,1000)),N1325)</f>
        <v>11022</v>
      </c>
      <c r="O1326" t="s">
        <v>1001</v>
      </c>
      <c r="P1326">
        <v>52937460</v>
      </c>
    </row>
    <row r="1327" spans="1:16" x14ac:dyDescent="0.35">
      <c r="A1327">
        <v>93827212495</v>
      </c>
      <c r="C1327" s="2" t="s">
        <v>883</v>
      </c>
      <c r="D1327">
        <v>3</v>
      </c>
      <c r="E1327">
        <v>76891213374</v>
      </c>
      <c r="F1327">
        <f t="shared" ca="1" si="40"/>
        <v>17</v>
      </c>
      <c r="G1327">
        <f ca="1">VLOOKUP(E1327,PurchItem!$A$2:$H$508,8,0)</f>
        <v>3382.3788439006389</v>
      </c>
      <c r="H1327">
        <v>0.04</v>
      </c>
      <c r="I1327" t="s">
        <v>244</v>
      </c>
      <c r="J1327" s="5">
        <v>45098.594524409724</v>
      </c>
      <c r="K1327" s="5">
        <v>45099.189048819448</v>
      </c>
      <c r="M1327">
        <f t="shared" si="41"/>
        <v>10029727725</v>
      </c>
      <c r="N1327">
        <f ca="1">IF(M1327&lt;&gt;M1326,INDEX(CustInfo!$A$2:$A$1001,RANDBETWEEN(1,1000)),N1326)</f>
        <v>11022</v>
      </c>
      <c r="O1327" t="s">
        <v>1001</v>
      </c>
      <c r="P1327">
        <v>52937461</v>
      </c>
    </row>
    <row r="1328" spans="1:16" x14ac:dyDescent="0.35">
      <c r="A1328">
        <v>93827212496</v>
      </c>
      <c r="C1328" s="2" t="s">
        <v>883</v>
      </c>
      <c r="D1328">
        <v>1</v>
      </c>
      <c r="E1328">
        <v>76891213495</v>
      </c>
      <c r="F1328">
        <f t="shared" ca="1" si="40"/>
        <v>95</v>
      </c>
      <c r="G1328">
        <f ca="1">VLOOKUP(E1328,PurchItem!$A$2:$H$508,8,0)</f>
        <v>585.8593523174676</v>
      </c>
      <c r="H1328">
        <v>0.06</v>
      </c>
      <c r="I1328" t="s">
        <v>244</v>
      </c>
      <c r="J1328" s="5">
        <v>44589.594524409724</v>
      </c>
      <c r="K1328" s="5">
        <v>44590.189048819448</v>
      </c>
      <c r="M1328">
        <f t="shared" si="41"/>
        <v>10029727726</v>
      </c>
      <c r="N1328">
        <f ca="1">IF(M1328&lt;&gt;M1327,INDEX(CustInfo!$A$2:$A$1001,RANDBETWEEN(1,1000)),N1327)</f>
        <v>11175</v>
      </c>
      <c r="O1328" t="s">
        <v>1001</v>
      </c>
      <c r="P1328">
        <v>52937462</v>
      </c>
    </row>
    <row r="1329" spans="1:16" x14ac:dyDescent="0.35">
      <c r="A1329">
        <v>93827212496</v>
      </c>
      <c r="C1329" s="2" t="s">
        <v>883</v>
      </c>
      <c r="D1329">
        <v>2</v>
      </c>
      <c r="E1329">
        <v>76891213252</v>
      </c>
      <c r="F1329">
        <f t="shared" ca="1" si="40"/>
        <v>91</v>
      </c>
      <c r="G1329">
        <f ca="1">VLOOKUP(E1329,PurchItem!$A$2:$H$508,8,0)</f>
        <v>6293.3933446140873</v>
      </c>
      <c r="H1329">
        <v>0.06</v>
      </c>
      <c r="I1329" t="s">
        <v>244</v>
      </c>
      <c r="J1329" s="5">
        <v>45258.594524409724</v>
      </c>
      <c r="K1329" s="5">
        <v>45262.189048819448</v>
      </c>
      <c r="M1329">
        <f t="shared" si="41"/>
        <v>10029727726</v>
      </c>
      <c r="N1329">
        <f ca="1">IF(M1329&lt;&gt;M1328,INDEX(CustInfo!$A$2:$A$1001,RANDBETWEEN(1,1000)),N1328)</f>
        <v>11175</v>
      </c>
      <c r="O1329" t="s">
        <v>1001</v>
      </c>
      <c r="P1329">
        <v>52937463</v>
      </c>
    </row>
    <row r="1330" spans="1:16" x14ac:dyDescent="0.35">
      <c r="A1330">
        <v>93827212496</v>
      </c>
      <c r="C1330" s="2" t="s">
        <v>883</v>
      </c>
      <c r="D1330">
        <v>3</v>
      </c>
      <c r="E1330">
        <v>76891213433</v>
      </c>
      <c r="F1330">
        <f t="shared" ca="1" si="40"/>
        <v>44</v>
      </c>
      <c r="G1330">
        <f ca="1">VLOOKUP(E1330,PurchItem!$A$2:$H$508,8,0)</f>
        <v>8137.8051344838841</v>
      </c>
      <c r="H1330">
        <v>0.05</v>
      </c>
      <c r="I1330" t="s">
        <v>244</v>
      </c>
      <c r="J1330" s="5">
        <v>44592.594524409724</v>
      </c>
      <c r="K1330" s="5">
        <v>44594.189048819448</v>
      </c>
      <c r="M1330">
        <f t="shared" si="41"/>
        <v>10029727726</v>
      </c>
      <c r="N1330">
        <f ca="1">IF(M1330&lt;&gt;M1329,INDEX(CustInfo!$A$2:$A$1001,RANDBETWEEN(1,1000)),N1329)</f>
        <v>11175</v>
      </c>
      <c r="O1330" t="s">
        <v>1001</v>
      </c>
      <c r="P1330">
        <v>52937464</v>
      </c>
    </row>
    <row r="1331" spans="1:16" x14ac:dyDescent="0.35">
      <c r="A1331">
        <v>93827212497</v>
      </c>
      <c r="C1331" s="2" t="s">
        <v>883</v>
      </c>
      <c r="D1331">
        <v>1</v>
      </c>
      <c r="E1331">
        <v>76891213387</v>
      </c>
      <c r="F1331">
        <f t="shared" ca="1" si="40"/>
        <v>57</v>
      </c>
      <c r="G1331">
        <f ca="1">VLOOKUP(E1331,PurchItem!$A$2:$H$508,8,0)</f>
        <v>3103.5029175008126</v>
      </c>
      <c r="H1331">
        <v>0.06</v>
      </c>
      <c r="I1331" t="s">
        <v>244</v>
      </c>
      <c r="J1331" s="5">
        <v>44667.594524409724</v>
      </c>
      <c r="K1331" s="5">
        <v>44668.189048819448</v>
      </c>
      <c r="M1331">
        <f t="shared" si="41"/>
        <v>10029727727</v>
      </c>
      <c r="N1331">
        <f ca="1">IF(M1331&lt;&gt;M1330,INDEX(CustInfo!$A$2:$A$1001,RANDBETWEEN(1,1000)),N1330)</f>
        <v>11729</v>
      </c>
      <c r="O1331" t="s">
        <v>1003</v>
      </c>
      <c r="P1331">
        <v>52937465</v>
      </c>
    </row>
    <row r="1332" spans="1:16" x14ac:dyDescent="0.35">
      <c r="A1332">
        <v>93827212497</v>
      </c>
      <c r="C1332" s="2" t="s">
        <v>883</v>
      </c>
      <c r="D1332">
        <v>2</v>
      </c>
      <c r="E1332">
        <v>76891213158</v>
      </c>
      <c r="F1332">
        <f t="shared" ca="1" si="40"/>
        <v>1</v>
      </c>
      <c r="G1332">
        <f ca="1">VLOOKUP(E1332,PurchItem!$A$2:$H$508,8,0)</f>
        <v>7429.0948943964459</v>
      </c>
      <c r="H1332">
        <v>0.05</v>
      </c>
      <c r="I1332" t="s">
        <v>244</v>
      </c>
      <c r="J1332" s="5">
        <v>44652.594524409724</v>
      </c>
      <c r="K1332" s="5">
        <v>44653.189048819448</v>
      </c>
      <c r="M1332">
        <f t="shared" si="41"/>
        <v>10029727727</v>
      </c>
      <c r="N1332">
        <f ca="1">IF(M1332&lt;&gt;M1331,INDEX(CustInfo!$A$2:$A$1001,RANDBETWEEN(1,1000)),N1331)</f>
        <v>11729</v>
      </c>
      <c r="O1332" t="s">
        <v>1003</v>
      </c>
      <c r="P1332">
        <v>52937466</v>
      </c>
    </row>
    <row r="1333" spans="1:16" x14ac:dyDescent="0.35">
      <c r="A1333">
        <v>93827212498</v>
      </c>
      <c r="C1333" s="2" t="s">
        <v>883</v>
      </c>
      <c r="D1333">
        <v>1</v>
      </c>
      <c r="E1333">
        <v>76891213550</v>
      </c>
      <c r="F1333">
        <f t="shared" ca="1" si="40"/>
        <v>71</v>
      </c>
      <c r="G1333">
        <f ca="1">VLOOKUP(E1333,PurchItem!$A$2:$H$508,8,0)</f>
        <v>8587.4277127599253</v>
      </c>
      <c r="H1333">
        <v>0.05</v>
      </c>
      <c r="I1333" t="s">
        <v>244</v>
      </c>
      <c r="J1333" s="5">
        <v>45293.594524409724</v>
      </c>
      <c r="K1333" s="5">
        <v>45295.189048819448</v>
      </c>
      <c r="M1333">
        <f t="shared" si="41"/>
        <v>10029727728</v>
      </c>
      <c r="N1333">
        <f ca="1">IF(M1333&lt;&gt;M1332,INDEX(CustInfo!$A$2:$A$1001,RANDBETWEEN(1,1000)),N1332)</f>
        <v>11488</v>
      </c>
      <c r="O1333" t="s">
        <v>1001</v>
      </c>
      <c r="P1333">
        <v>52937467</v>
      </c>
    </row>
    <row r="1334" spans="1:16" x14ac:dyDescent="0.35">
      <c r="A1334">
        <v>93827212498</v>
      </c>
      <c r="C1334" s="2" t="s">
        <v>883</v>
      </c>
      <c r="D1334">
        <v>2</v>
      </c>
      <c r="E1334">
        <v>76891213176</v>
      </c>
      <c r="F1334">
        <f t="shared" ca="1" si="40"/>
        <v>49</v>
      </c>
      <c r="G1334">
        <f ca="1">VLOOKUP(E1334,PurchItem!$A$2:$H$508,8,0)</f>
        <v>7307.4100843756351</v>
      </c>
      <c r="H1334">
        <v>0.05</v>
      </c>
      <c r="I1334" t="s">
        <v>244</v>
      </c>
      <c r="J1334" s="5">
        <v>45191.594524409724</v>
      </c>
      <c r="K1334" s="5">
        <v>45192.189048819448</v>
      </c>
      <c r="M1334">
        <f t="shared" si="41"/>
        <v>10029727728</v>
      </c>
      <c r="N1334">
        <f ca="1">IF(M1334&lt;&gt;M1333,INDEX(CustInfo!$A$2:$A$1001,RANDBETWEEN(1,1000)),N1333)</f>
        <v>11488</v>
      </c>
      <c r="O1334" t="s">
        <v>1001</v>
      </c>
      <c r="P1334">
        <v>52937468</v>
      </c>
    </row>
    <row r="1335" spans="1:16" x14ac:dyDescent="0.35">
      <c r="A1335">
        <v>93827212498</v>
      </c>
      <c r="C1335" s="2" t="s">
        <v>883</v>
      </c>
      <c r="D1335">
        <v>3</v>
      </c>
      <c r="E1335">
        <v>76891213543</v>
      </c>
      <c r="F1335">
        <f t="shared" ca="1" si="40"/>
        <v>2</v>
      </c>
      <c r="G1335">
        <f ca="1">VLOOKUP(E1335,PurchItem!$A$2:$H$508,8,0)</f>
        <v>645.98032194518066</v>
      </c>
      <c r="H1335">
        <v>0.04</v>
      </c>
      <c r="I1335" t="s">
        <v>244</v>
      </c>
      <c r="J1335" s="5">
        <v>44673.594524409724</v>
      </c>
      <c r="K1335" s="5">
        <v>44677.189048819448</v>
      </c>
      <c r="M1335">
        <f t="shared" si="41"/>
        <v>10029727728</v>
      </c>
      <c r="N1335">
        <f ca="1">IF(M1335&lt;&gt;M1334,INDEX(CustInfo!$A$2:$A$1001,RANDBETWEEN(1,1000)),N1334)</f>
        <v>11488</v>
      </c>
      <c r="O1335" t="s">
        <v>1001</v>
      </c>
      <c r="P1335">
        <v>52937469</v>
      </c>
    </row>
    <row r="1336" spans="1:16" x14ac:dyDescent="0.35">
      <c r="A1336">
        <v>93827212499</v>
      </c>
      <c r="C1336" s="2" t="s">
        <v>883</v>
      </c>
      <c r="D1336">
        <v>1</v>
      </c>
      <c r="E1336">
        <v>76891213490</v>
      </c>
      <c r="F1336">
        <f t="shared" ca="1" si="40"/>
        <v>14</v>
      </c>
      <c r="G1336">
        <f ca="1">VLOOKUP(E1336,PurchItem!$A$2:$H$508,8,0)</f>
        <v>140.78264380891454</v>
      </c>
      <c r="H1336">
        <v>0.06</v>
      </c>
      <c r="I1336" t="s">
        <v>244</v>
      </c>
      <c r="J1336" s="5">
        <v>45351.594524409724</v>
      </c>
      <c r="K1336" s="5">
        <v>45352.189048819448</v>
      </c>
      <c r="M1336">
        <f t="shared" si="41"/>
        <v>10029727729</v>
      </c>
      <c r="N1336">
        <f ca="1">IF(M1336&lt;&gt;M1335,INDEX(CustInfo!$A$2:$A$1001,RANDBETWEEN(1,1000)),N1335)</f>
        <v>11308</v>
      </c>
      <c r="O1336" t="s">
        <v>1003</v>
      </c>
      <c r="P1336">
        <v>52937470</v>
      </c>
    </row>
    <row r="1337" spans="1:16" x14ac:dyDescent="0.35">
      <c r="A1337">
        <v>93827212499</v>
      </c>
      <c r="C1337" s="2" t="s">
        <v>883</v>
      </c>
      <c r="D1337">
        <v>2</v>
      </c>
      <c r="E1337">
        <v>76891213274</v>
      </c>
      <c r="F1337">
        <f t="shared" ca="1" si="40"/>
        <v>3</v>
      </c>
      <c r="G1337">
        <f ca="1">VLOOKUP(E1337,PurchItem!$A$2:$H$508,8,0)</f>
        <v>6244.602607519897</v>
      </c>
      <c r="H1337">
        <v>0.06</v>
      </c>
      <c r="I1337" t="s">
        <v>244</v>
      </c>
      <c r="J1337" s="5">
        <v>45267.594524409724</v>
      </c>
      <c r="K1337" s="5">
        <v>45268.189048819448</v>
      </c>
      <c r="M1337">
        <f t="shared" si="41"/>
        <v>10029727729</v>
      </c>
      <c r="N1337">
        <f ca="1">IF(M1337&lt;&gt;M1336,INDEX(CustInfo!$A$2:$A$1001,RANDBETWEEN(1,1000)),N1336)</f>
        <v>11308</v>
      </c>
      <c r="O1337" t="s">
        <v>1003</v>
      </c>
      <c r="P1337">
        <v>52937471</v>
      </c>
    </row>
    <row r="1338" spans="1:16" x14ac:dyDescent="0.35">
      <c r="A1338">
        <v>93827212500</v>
      </c>
      <c r="C1338" s="2" t="s">
        <v>883</v>
      </c>
      <c r="D1338">
        <v>1</v>
      </c>
      <c r="E1338">
        <v>76891213152</v>
      </c>
      <c r="F1338">
        <f t="shared" ca="1" si="40"/>
        <v>53</v>
      </c>
      <c r="G1338">
        <f ca="1">VLOOKUP(E1338,PurchItem!$A$2:$H$508,8,0)</f>
        <v>169.38211785270536</v>
      </c>
      <c r="H1338">
        <v>0.04</v>
      </c>
      <c r="I1338" t="s">
        <v>244</v>
      </c>
      <c r="J1338" s="5">
        <v>45077.594524409724</v>
      </c>
      <c r="K1338" s="5">
        <v>45078.189048819448</v>
      </c>
      <c r="M1338">
        <f t="shared" si="41"/>
        <v>10029727730</v>
      </c>
      <c r="N1338">
        <f ca="1">IF(M1338&lt;&gt;M1337,INDEX(CustInfo!$A$2:$A$1001,RANDBETWEEN(1,1000)),N1337)</f>
        <v>11654</v>
      </c>
      <c r="O1338" t="s">
        <v>1001</v>
      </c>
      <c r="P1338">
        <v>52937472</v>
      </c>
    </row>
    <row r="1339" spans="1:16" x14ac:dyDescent="0.35">
      <c r="A1339">
        <v>93827212500</v>
      </c>
      <c r="C1339" s="2" t="s">
        <v>883</v>
      </c>
      <c r="D1339">
        <v>2</v>
      </c>
      <c r="E1339">
        <v>76891213146</v>
      </c>
      <c r="F1339">
        <f t="shared" ca="1" si="40"/>
        <v>43</v>
      </c>
      <c r="G1339">
        <f ca="1">VLOOKUP(E1339,PurchItem!$A$2:$H$508,8,0)</f>
        <v>5461.8260857472496</v>
      </c>
      <c r="H1339">
        <v>0.06</v>
      </c>
      <c r="I1339" t="s">
        <v>244</v>
      </c>
      <c r="J1339" s="5">
        <v>45367.594524409724</v>
      </c>
      <c r="K1339" s="5">
        <v>45368.189048819448</v>
      </c>
      <c r="M1339">
        <f t="shared" si="41"/>
        <v>10029727730</v>
      </c>
      <c r="N1339">
        <f ca="1">IF(M1339&lt;&gt;M1338,INDEX(CustInfo!$A$2:$A$1001,RANDBETWEEN(1,1000)),N1338)</f>
        <v>11654</v>
      </c>
      <c r="O1339" t="s">
        <v>1001</v>
      </c>
      <c r="P1339">
        <v>52937473</v>
      </c>
    </row>
    <row r="1340" spans="1:16" x14ac:dyDescent="0.35">
      <c r="A1340">
        <v>93827212500</v>
      </c>
      <c r="C1340" s="2" t="s">
        <v>883</v>
      </c>
      <c r="D1340">
        <v>3</v>
      </c>
      <c r="E1340">
        <v>76891213609</v>
      </c>
      <c r="F1340">
        <f t="shared" ca="1" si="40"/>
        <v>59</v>
      </c>
      <c r="G1340">
        <f ca="1">VLOOKUP(E1340,PurchItem!$A$2:$H$508,8,0)</f>
        <v>9297.028903944276</v>
      </c>
      <c r="H1340">
        <v>0.04</v>
      </c>
      <c r="I1340" t="s">
        <v>244</v>
      </c>
      <c r="J1340" s="5">
        <v>45234.594524409724</v>
      </c>
      <c r="K1340" s="5">
        <v>45237.189048819448</v>
      </c>
      <c r="M1340">
        <f t="shared" si="41"/>
        <v>10029727730</v>
      </c>
      <c r="N1340">
        <f ca="1">IF(M1340&lt;&gt;M1339,INDEX(CustInfo!$A$2:$A$1001,RANDBETWEEN(1,1000)),N1339)</f>
        <v>11654</v>
      </c>
      <c r="O1340" t="s">
        <v>1001</v>
      </c>
      <c r="P1340">
        <v>52937474</v>
      </c>
    </row>
    <row r="1341" spans="1:16" x14ac:dyDescent="0.35">
      <c r="A1341">
        <v>93827212501</v>
      </c>
      <c r="C1341" s="2" t="s">
        <v>883</v>
      </c>
      <c r="D1341">
        <v>1</v>
      </c>
      <c r="E1341">
        <v>76891213385</v>
      </c>
      <c r="F1341">
        <f t="shared" ca="1" si="40"/>
        <v>50</v>
      </c>
      <c r="G1341">
        <f ca="1">VLOOKUP(E1341,PurchItem!$A$2:$H$508,8,0)</f>
        <v>6325.6133263002412</v>
      </c>
      <c r="H1341">
        <v>0.04</v>
      </c>
      <c r="I1341" t="s">
        <v>244</v>
      </c>
      <c r="J1341" s="5">
        <v>45225.594524409724</v>
      </c>
      <c r="K1341" s="5">
        <v>45227.189048819448</v>
      </c>
      <c r="M1341">
        <f t="shared" si="41"/>
        <v>10029727731</v>
      </c>
      <c r="N1341">
        <f ca="1">IF(M1341&lt;&gt;M1340,INDEX(CustInfo!$A$2:$A$1001,RANDBETWEEN(1,1000)),N1340)</f>
        <v>11788</v>
      </c>
      <c r="O1341" t="s">
        <v>1002</v>
      </c>
      <c r="P1341">
        <v>52937475</v>
      </c>
    </row>
    <row r="1342" spans="1:16" x14ac:dyDescent="0.35">
      <c r="A1342">
        <v>93827212501</v>
      </c>
      <c r="C1342" s="2" t="s">
        <v>883</v>
      </c>
      <c r="D1342">
        <v>2</v>
      </c>
      <c r="E1342">
        <v>76891213316</v>
      </c>
      <c r="F1342">
        <f t="shared" ca="1" si="40"/>
        <v>59</v>
      </c>
      <c r="G1342">
        <f ca="1">VLOOKUP(E1342,PurchItem!$A$2:$H$508,8,0)</f>
        <v>1710.7168304779898</v>
      </c>
      <c r="H1342">
        <v>0.06</v>
      </c>
      <c r="I1342" t="s">
        <v>244</v>
      </c>
      <c r="J1342" s="5">
        <v>44569.594524409724</v>
      </c>
      <c r="K1342" s="5">
        <v>44570.189048819448</v>
      </c>
      <c r="M1342">
        <f t="shared" si="41"/>
        <v>10029727731</v>
      </c>
      <c r="N1342">
        <f ca="1">IF(M1342&lt;&gt;M1341,INDEX(CustInfo!$A$2:$A$1001,RANDBETWEEN(1,1000)),N1341)</f>
        <v>11788</v>
      </c>
      <c r="O1342" t="s">
        <v>1002</v>
      </c>
      <c r="P1342">
        <v>52937476</v>
      </c>
    </row>
    <row r="1343" spans="1:16" x14ac:dyDescent="0.35">
      <c r="A1343">
        <v>93827212502</v>
      </c>
      <c r="C1343" s="2" t="s">
        <v>883</v>
      </c>
      <c r="D1343">
        <v>1</v>
      </c>
      <c r="E1343">
        <v>76891213518</v>
      </c>
      <c r="F1343">
        <f t="shared" ca="1" si="40"/>
        <v>75</v>
      </c>
      <c r="G1343">
        <f ca="1">VLOOKUP(E1343,PurchItem!$A$2:$H$508,8,0)</f>
        <v>898.7544784261562</v>
      </c>
      <c r="H1343">
        <v>0.04</v>
      </c>
      <c r="I1343" t="s">
        <v>244</v>
      </c>
      <c r="J1343" s="5">
        <v>45334.594524409724</v>
      </c>
      <c r="K1343" s="5">
        <v>45335.189048819448</v>
      </c>
      <c r="M1343">
        <f t="shared" si="41"/>
        <v>10029727732</v>
      </c>
      <c r="N1343">
        <f ca="1">IF(M1343&lt;&gt;M1342,INDEX(CustInfo!$A$2:$A$1001,RANDBETWEEN(1,1000)),N1342)</f>
        <v>11757</v>
      </c>
      <c r="O1343" t="s">
        <v>1001</v>
      </c>
      <c r="P1343">
        <v>52937477</v>
      </c>
    </row>
    <row r="1344" spans="1:16" x14ac:dyDescent="0.35">
      <c r="A1344">
        <v>93827212503</v>
      </c>
      <c r="C1344" s="2" t="s">
        <v>883</v>
      </c>
      <c r="D1344">
        <v>1</v>
      </c>
      <c r="E1344">
        <v>76891213535</v>
      </c>
      <c r="F1344">
        <f t="shared" ca="1" si="40"/>
        <v>12</v>
      </c>
      <c r="G1344">
        <f ca="1">VLOOKUP(E1344,PurchItem!$A$2:$H$508,8,0)</f>
        <v>468.81906553927877</v>
      </c>
      <c r="H1344">
        <v>0.05</v>
      </c>
      <c r="I1344" t="s">
        <v>244</v>
      </c>
      <c r="J1344" s="5">
        <v>44631.594524409724</v>
      </c>
      <c r="K1344" s="5">
        <v>44632.189048819448</v>
      </c>
      <c r="M1344">
        <f t="shared" si="41"/>
        <v>10029727733</v>
      </c>
      <c r="N1344">
        <f ca="1">IF(M1344&lt;&gt;M1343,INDEX(CustInfo!$A$2:$A$1001,RANDBETWEEN(1,1000)),N1343)</f>
        <v>11764</v>
      </c>
      <c r="O1344" t="s">
        <v>1001</v>
      </c>
      <c r="P1344">
        <v>52937478</v>
      </c>
    </row>
    <row r="1345" spans="1:16" x14ac:dyDescent="0.35">
      <c r="A1345">
        <v>93827212503</v>
      </c>
      <c r="C1345" s="2" t="s">
        <v>883</v>
      </c>
      <c r="D1345">
        <v>2</v>
      </c>
      <c r="E1345">
        <v>76891213221</v>
      </c>
      <c r="F1345">
        <f t="shared" ca="1" si="40"/>
        <v>44</v>
      </c>
      <c r="G1345">
        <f ca="1">VLOOKUP(E1345,PurchItem!$A$2:$H$508,8,0)</f>
        <v>5240.774053510655</v>
      </c>
      <c r="H1345">
        <v>0.06</v>
      </c>
      <c r="I1345" t="s">
        <v>244</v>
      </c>
      <c r="J1345" s="5">
        <v>45575.594524409724</v>
      </c>
      <c r="K1345" s="5">
        <v>45578.189048819448</v>
      </c>
      <c r="M1345">
        <f t="shared" si="41"/>
        <v>10029727733</v>
      </c>
      <c r="N1345">
        <f ca="1">IF(M1345&lt;&gt;M1344,INDEX(CustInfo!$A$2:$A$1001,RANDBETWEEN(1,1000)),N1344)</f>
        <v>11764</v>
      </c>
      <c r="O1345" t="s">
        <v>1001</v>
      </c>
      <c r="P1345">
        <v>52937479</v>
      </c>
    </row>
    <row r="1346" spans="1:16" x14ac:dyDescent="0.35">
      <c r="A1346">
        <v>93827212504</v>
      </c>
      <c r="C1346" s="2" t="s">
        <v>883</v>
      </c>
      <c r="D1346">
        <v>1</v>
      </c>
      <c r="E1346">
        <v>76891213429</v>
      </c>
      <c r="F1346">
        <f t="shared" ca="1" si="40"/>
        <v>57</v>
      </c>
      <c r="G1346">
        <f ca="1">VLOOKUP(E1346,PurchItem!$A$2:$H$508,8,0)</f>
        <v>8406.1091392579347</v>
      </c>
      <c r="H1346">
        <v>0.05</v>
      </c>
      <c r="I1346" t="s">
        <v>244</v>
      </c>
      <c r="J1346" s="5">
        <v>44984.594524409724</v>
      </c>
      <c r="K1346" s="5">
        <v>44986.189048819448</v>
      </c>
      <c r="M1346">
        <f t="shared" si="41"/>
        <v>10029727734</v>
      </c>
      <c r="N1346">
        <f ca="1">IF(M1346&lt;&gt;M1345,INDEX(CustInfo!$A$2:$A$1001,RANDBETWEEN(1,1000)),N1345)</f>
        <v>11158</v>
      </c>
      <c r="O1346" t="s">
        <v>1002</v>
      </c>
      <c r="P1346">
        <v>52937480</v>
      </c>
    </row>
    <row r="1347" spans="1:16" x14ac:dyDescent="0.35">
      <c r="A1347">
        <v>93827212504</v>
      </c>
      <c r="C1347" s="2" t="s">
        <v>883</v>
      </c>
      <c r="D1347">
        <v>2</v>
      </c>
      <c r="E1347">
        <v>76891213408</v>
      </c>
      <c r="F1347">
        <f t="shared" ref="F1347:F1410" ca="1" si="42">RANDBETWEEN(1,100)</f>
        <v>97</v>
      </c>
      <c r="G1347">
        <f ca="1">VLOOKUP(E1347,PurchItem!$A$2:$H$508,8,0)</f>
        <v>2585.6504497826659</v>
      </c>
      <c r="H1347">
        <v>0.05</v>
      </c>
      <c r="I1347" t="s">
        <v>244</v>
      </c>
      <c r="J1347" s="5">
        <v>45056.594524409724</v>
      </c>
      <c r="K1347" s="5">
        <v>45058.189048819448</v>
      </c>
      <c r="M1347">
        <f t="shared" si="41"/>
        <v>10029727734</v>
      </c>
      <c r="N1347">
        <f ca="1">IF(M1347&lt;&gt;M1346,INDEX(CustInfo!$A$2:$A$1001,RANDBETWEEN(1,1000)),N1346)</f>
        <v>11158</v>
      </c>
      <c r="O1347" t="s">
        <v>1002</v>
      </c>
      <c r="P1347">
        <v>52937481</v>
      </c>
    </row>
    <row r="1348" spans="1:16" x14ac:dyDescent="0.35">
      <c r="A1348">
        <v>93827212504</v>
      </c>
      <c r="C1348" s="2" t="s">
        <v>883</v>
      </c>
      <c r="D1348">
        <v>3</v>
      </c>
      <c r="E1348">
        <v>76891213428</v>
      </c>
      <c r="F1348">
        <f t="shared" ca="1" si="42"/>
        <v>27</v>
      </c>
      <c r="G1348">
        <f ca="1">VLOOKUP(E1348,PurchItem!$A$2:$H$508,8,0)</f>
        <v>9444.1575416140786</v>
      </c>
      <c r="H1348">
        <v>0.06</v>
      </c>
      <c r="I1348" t="s">
        <v>244</v>
      </c>
      <c r="J1348" s="5">
        <v>44807.594524409724</v>
      </c>
      <c r="K1348" s="5">
        <v>44808.189048819448</v>
      </c>
      <c r="M1348">
        <f t="shared" si="41"/>
        <v>10029727734</v>
      </c>
      <c r="N1348">
        <f ca="1">IF(M1348&lt;&gt;M1347,INDEX(CustInfo!$A$2:$A$1001,RANDBETWEEN(1,1000)),N1347)</f>
        <v>11158</v>
      </c>
      <c r="O1348" t="s">
        <v>1002</v>
      </c>
      <c r="P1348">
        <v>52937482</v>
      </c>
    </row>
    <row r="1349" spans="1:16" x14ac:dyDescent="0.35">
      <c r="A1349">
        <v>93827212504</v>
      </c>
      <c r="C1349" s="2" t="s">
        <v>883</v>
      </c>
      <c r="D1349">
        <v>4</v>
      </c>
      <c r="E1349">
        <v>76891213174</v>
      </c>
      <c r="F1349">
        <f t="shared" ca="1" si="42"/>
        <v>6</v>
      </c>
      <c r="G1349">
        <f ca="1">VLOOKUP(E1349,PurchItem!$A$2:$H$508,8,0)</f>
        <v>3971.755790241577</v>
      </c>
      <c r="H1349">
        <v>0.04</v>
      </c>
      <c r="I1349" t="s">
        <v>244</v>
      </c>
      <c r="J1349" s="5">
        <v>44624.594524409724</v>
      </c>
      <c r="K1349" s="5">
        <v>44628.189048819448</v>
      </c>
      <c r="M1349">
        <f t="shared" ref="M1349:M1412" si="43">IF(A1349&lt;&gt;A1348,M1348+1,M1348)</f>
        <v>10029727734</v>
      </c>
      <c r="N1349">
        <f ca="1">IF(M1349&lt;&gt;M1348,INDEX(CustInfo!$A$2:$A$1001,RANDBETWEEN(1,1000)),N1348)</f>
        <v>11158</v>
      </c>
      <c r="O1349" t="s">
        <v>1002</v>
      </c>
      <c r="P1349">
        <v>52937483</v>
      </c>
    </row>
    <row r="1350" spans="1:16" x14ac:dyDescent="0.35">
      <c r="A1350">
        <v>93827212505</v>
      </c>
      <c r="C1350" s="2" t="s">
        <v>883</v>
      </c>
      <c r="D1350">
        <v>1</v>
      </c>
      <c r="E1350">
        <v>76891213515</v>
      </c>
      <c r="F1350">
        <f t="shared" ca="1" si="42"/>
        <v>14</v>
      </c>
      <c r="G1350">
        <f ca="1">VLOOKUP(E1350,PurchItem!$A$2:$H$508,8,0)</f>
        <v>7272.1358530679272</v>
      </c>
      <c r="H1350">
        <v>0.05</v>
      </c>
      <c r="I1350" t="s">
        <v>244</v>
      </c>
      <c r="J1350" s="5">
        <v>44562.594524409724</v>
      </c>
      <c r="K1350" s="5">
        <v>44565.189048819448</v>
      </c>
      <c r="M1350">
        <f t="shared" si="43"/>
        <v>10029727735</v>
      </c>
      <c r="N1350">
        <f ca="1">IF(M1350&lt;&gt;M1349,INDEX(CustInfo!$A$2:$A$1001,RANDBETWEEN(1,1000)),N1349)</f>
        <v>11348</v>
      </c>
      <c r="O1350" t="s">
        <v>1002</v>
      </c>
      <c r="P1350">
        <v>52937484</v>
      </c>
    </row>
    <row r="1351" spans="1:16" x14ac:dyDescent="0.35">
      <c r="A1351">
        <v>93827212505</v>
      </c>
      <c r="C1351" s="2" t="s">
        <v>883</v>
      </c>
      <c r="D1351">
        <v>2</v>
      </c>
      <c r="E1351">
        <v>76891213397</v>
      </c>
      <c r="F1351">
        <f t="shared" ca="1" si="42"/>
        <v>66</v>
      </c>
      <c r="G1351">
        <f ca="1">VLOOKUP(E1351,PurchItem!$A$2:$H$508,8,0)</f>
        <v>4664.724071929576</v>
      </c>
      <c r="H1351">
        <v>0.06</v>
      </c>
      <c r="I1351" t="s">
        <v>244</v>
      </c>
      <c r="J1351" s="5">
        <v>45285.594524409724</v>
      </c>
      <c r="K1351" s="5">
        <v>45289.189048819448</v>
      </c>
      <c r="M1351">
        <f t="shared" si="43"/>
        <v>10029727735</v>
      </c>
      <c r="N1351">
        <f ca="1">IF(M1351&lt;&gt;M1350,INDEX(CustInfo!$A$2:$A$1001,RANDBETWEEN(1,1000)),N1350)</f>
        <v>11348</v>
      </c>
      <c r="O1351" t="s">
        <v>1002</v>
      </c>
      <c r="P1351">
        <v>52937485</v>
      </c>
    </row>
    <row r="1352" spans="1:16" x14ac:dyDescent="0.35">
      <c r="A1352">
        <v>93827212506</v>
      </c>
      <c r="C1352" s="2" t="s">
        <v>883</v>
      </c>
      <c r="D1352">
        <v>1</v>
      </c>
      <c r="E1352">
        <v>76891213584</v>
      </c>
      <c r="F1352">
        <f t="shared" ca="1" si="42"/>
        <v>73</v>
      </c>
      <c r="G1352">
        <f ca="1">VLOOKUP(E1352,PurchItem!$A$2:$H$508,8,0)</f>
        <v>6945.1848902307947</v>
      </c>
      <c r="H1352">
        <v>0.05</v>
      </c>
      <c r="I1352" t="s">
        <v>244</v>
      </c>
      <c r="J1352" s="5">
        <v>44810.594524409724</v>
      </c>
      <c r="K1352" s="5">
        <v>44813.189048819448</v>
      </c>
      <c r="M1352">
        <f t="shared" si="43"/>
        <v>10029727736</v>
      </c>
      <c r="N1352">
        <f ca="1">IF(M1352&lt;&gt;M1351,INDEX(CustInfo!$A$2:$A$1001,RANDBETWEEN(1,1000)),N1351)</f>
        <v>11660</v>
      </c>
      <c r="O1352" t="s">
        <v>1001</v>
      </c>
      <c r="P1352">
        <v>52937486</v>
      </c>
    </row>
    <row r="1353" spans="1:16" x14ac:dyDescent="0.35">
      <c r="A1353">
        <v>93827212507</v>
      </c>
      <c r="C1353" s="2" t="s">
        <v>883</v>
      </c>
      <c r="D1353">
        <v>1</v>
      </c>
      <c r="E1353">
        <v>76891213438</v>
      </c>
      <c r="F1353">
        <f t="shared" ca="1" si="42"/>
        <v>30</v>
      </c>
      <c r="G1353">
        <f ca="1">VLOOKUP(E1353,PurchItem!$A$2:$H$508,8,0)</f>
        <v>9563.5855628970003</v>
      </c>
      <c r="H1353">
        <v>0.05</v>
      </c>
      <c r="I1353" t="s">
        <v>244</v>
      </c>
      <c r="J1353" s="5">
        <v>45538.594524409724</v>
      </c>
      <c r="K1353" s="5">
        <v>45541.189048819448</v>
      </c>
      <c r="M1353">
        <f t="shared" si="43"/>
        <v>10029727737</v>
      </c>
      <c r="N1353">
        <f ca="1">IF(M1353&lt;&gt;M1352,INDEX(CustInfo!$A$2:$A$1001,RANDBETWEEN(1,1000)),N1352)</f>
        <v>11248</v>
      </c>
      <c r="O1353" t="s">
        <v>1003</v>
      </c>
      <c r="P1353">
        <v>52937487</v>
      </c>
    </row>
    <row r="1354" spans="1:16" x14ac:dyDescent="0.35">
      <c r="A1354">
        <v>93827212508</v>
      </c>
      <c r="C1354" s="2" t="s">
        <v>883</v>
      </c>
      <c r="D1354">
        <v>1</v>
      </c>
      <c r="E1354">
        <v>76891213420</v>
      </c>
      <c r="F1354">
        <f t="shared" ca="1" si="42"/>
        <v>18</v>
      </c>
      <c r="G1354">
        <f ca="1">VLOOKUP(E1354,PurchItem!$A$2:$H$508,8,0)</f>
        <v>705.92088426041653</v>
      </c>
      <c r="H1354">
        <v>0.05</v>
      </c>
      <c r="I1354" t="s">
        <v>244</v>
      </c>
      <c r="J1354" s="5">
        <v>44634.594524409724</v>
      </c>
      <c r="K1354" s="5">
        <v>44638.189048819448</v>
      </c>
      <c r="M1354">
        <f t="shared" si="43"/>
        <v>10029727738</v>
      </c>
      <c r="N1354">
        <f ca="1">IF(M1354&lt;&gt;M1353,INDEX(CustInfo!$A$2:$A$1001,RANDBETWEEN(1,1000)),N1353)</f>
        <v>11414</v>
      </c>
      <c r="O1354" t="s">
        <v>1003</v>
      </c>
      <c r="P1354">
        <v>52937488</v>
      </c>
    </row>
    <row r="1355" spans="1:16" x14ac:dyDescent="0.35">
      <c r="A1355">
        <v>93827212508</v>
      </c>
      <c r="C1355" s="2" t="s">
        <v>883</v>
      </c>
      <c r="D1355">
        <v>2</v>
      </c>
      <c r="E1355">
        <v>76891213519</v>
      </c>
      <c r="F1355">
        <f t="shared" ca="1" si="42"/>
        <v>56</v>
      </c>
      <c r="G1355">
        <f ca="1">VLOOKUP(E1355,PurchItem!$A$2:$H$508,8,0)</f>
        <v>1938.636158170156</v>
      </c>
      <c r="H1355">
        <v>0.06</v>
      </c>
      <c r="I1355" t="s">
        <v>244</v>
      </c>
      <c r="J1355" s="5">
        <v>44593.594524409724</v>
      </c>
      <c r="K1355" s="5">
        <v>44594.189048819448</v>
      </c>
      <c r="M1355">
        <f t="shared" si="43"/>
        <v>10029727738</v>
      </c>
      <c r="N1355">
        <f ca="1">IF(M1355&lt;&gt;M1354,INDEX(CustInfo!$A$2:$A$1001,RANDBETWEEN(1,1000)),N1354)</f>
        <v>11414</v>
      </c>
      <c r="O1355" t="s">
        <v>1003</v>
      </c>
      <c r="P1355">
        <v>52937489</v>
      </c>
    </row>
    <row r="1356" spans="1:16" x14ac:dyDescent="0.35">
      <c r="A1356">
        <v>93827212508</v>
      </c>
      <c r="C1356" s="2" t="s">
        <v>883</v>
      </c>
      <c r="D1356">
        <v>3</v>
      </c>
      <c r="E1356">
        <v>76891213261</v>
      </c>
      <c r="F1356">
        <f t="shared" ca="1" si="42"/>
        <v>88</v>
      </c>
      <c r="G1356">
        <f ca="1">VLOOKUP(E1356,PurchItem!$A$2:$H$508,8,0)</f>
        <v>5282.7591288903441</v>
      </c>
      <c r="H1356">
        <v>0.06</v>
      </c>
      <c r="I1356" t="s">
        <v>244</v>
      </c>
      <c r="J1356" s="5">
        <v>44619.594524409724</v>
      </c>
      <c r="K1356" s="5">
        <v>44621.189048819448</v>
      </c>
      <c r="M1356">
        <f t="shared" si="43"/>
        <v>10029727738</v>
      </c>
      <c r="N1356">
        <f ca="1">IF(M1356&lt;&gt;M1355,INDEX(CustInfo!$A$2:$A$1001,RANDBETWEEN(1,1000)),N1355)</f>
        <v>11414</v>
      </c>
      <c r="O1356" t="s">
        <v>1003</v>
      </c>
      <c r="P1356">
        <v>52937490</v>
      </c>
    </row>
    <row r="1357" spans="1:16" x14ac:dyDescent="0.35">
      <c r="A1357">
        <v>93827212508</v>
      </c>
      <c r="C1357" s="2" t="s">
        <v>883</v>
      </c>
      <c r="D1357">
        <v>4</v>
      </c>
      <c r="E1357">
        <v>76891213601</v>
      </c>
      <c r="F1357">
        <f t="shared" ca="1" si="42"/>
        <v>9</v>
      </c>
      <c r="G1357">
        <f ca="1">VLOOKUP(E1357,PurchItem!$A$2:$H$508,8,0)</f>
        <v>3260.9614068008614</v>
      </c>
      <c r="H1357">
        <v>0.04</v>
      </c>
      <c r="I1357" t="s">
        <v>244</v>
      </c>
      <c r="J1357" s="5">
        <v>45030.594524409724</v>
      </c>
      <c r="K1357" s="5">
        <v>45034.189048819448</v>
      </c>
      <c r="M1357">
        <f t="shared" si="43"/>
        <v>10029727738</v>
      </c>
      <c r="N1357">
        <f ca="1">IF(M1357&lt;&gt;M1356,INDEX(CustInfo!$A$2:$A$1001,RANDBETWEEN(1,1000)),N1356)</f>
        <v>11414</v>
      </c>
      <c r="O1357" t="s">
        <v>1003</v>
      </c>
      <c r="P1357">
        <v>52937491</v>
      </c>
    </row>
    <row r="1358" spans="1:16" x14ac:dyDescent="0.35">
      <c r="A1358">
        <v>93827212509</v>
      </c>
      <c r="C1358" s="2" t="s">
        <v>883</v>
      </c>
      <c r="D1358">
        <v>1</v>
      </c>
      <c r="E1358">
        <v>76891213506</v>
      </c>
      <c r="F1358">
        <f t="shared" ca="1" si="42"/>
        <v>88</v>
      </c>
      <c r="G1358">
        <f ca="1">VLOOKUP(E1358,PurchItem!$A$2:$H$508,8,0)</f>
        <v>6924.1684247755047</v>
      </c>
      <c r="H1358">
        <v>0.06</v>
      </c>
      <c r="I1358" t="s">
        <v>244</v>
      </c>
      <c r="J1358" s="5">
        <v>45115.594524409724</v>
      </c>
      <c r="K1358" s="5">
        <v>45118.189048819448</v>
      </c>
      <c r="M1358">
        <f t="shared" si="43"/>
        <v>10029727739</v>
      </c>
      <c r="N1358">
        <f ca="1">IF(M1358&lt;&gt;M1357,INDEX(CustInfo!$A$2:$A$1001,RANDBETWEEN(1,1000)),N1357)</f>
        <v>11495</v>
      </c>
      <c r="O1358" t="s">
        <v>1003</v>
      </c>
      <c r="P1358">
        <v>52937492</v>
      </c>
    </row>
    <row r="1359" spans="1:16" x14ac:dyDescent="0.35">
      <c r="A1359">
        <v>93827212510</v>
      </c>
      <c r="C1359" s="2" t="s">
        <v>883</v>
      </c>
      <c r="D1359">
        <v>1</v>
      </c>
      <c r="E1359">
        <v>76891213291</v>
      </c>
      <c r="F1359">
        <f t="shared" ca="1" si="42"/>
        <v>43</v>
      </c>
      <c r="G1359">
        <f ca="1">VLOOKUP(E1359,PurchItem!$A$2:$H$508,8,0)</f>
        <v>8661.3541584480317</v>
      </c>
      <c r="H1359">
        <v>0.05</v>
      </c>
      <c r="I1359" t="s">
        <v>244</v>
      </c>
      <c r="J1359" s="5">
        <v>44870.594524409724</v>
      </c>
      <c r="K1359" s="5">
        <v>44873.189048819448</v>
      </c>
      <c r="M1359">
        <f t="shared" si="43"/>
        <v>10029727740</v>
      </c>
      <c r="N1359">
        <f ca="1">IF(M1359&lt;&gt;M1358,INDEX(CustInfo!$A$2:$A$1001,RANDBETWEEN(1,1000)),N1358)</f>
        <v>11120</v>
      </c>
      <c r="O1359" t="s">
        <v>1001</v>
      </c>
      <c r="P1359">
        <v>52937493</v>
      </c>
    </row>
    <row r="1360" spans="1:16" x14ac:dyDescent="0.35">
      <c r="A1360">
        <v>93827212510</v>
      </c>
      <c r="C1360" s="2" t="s">
        <v>883</v>
      </c>
      <c r="D1360">
        <v>2</v>
      </c>
      <c r="E1360">
        <v>76891213549</v>
      </c>
      <c r="F1360">
        <f t="shared" ca="1" si="42"/>
        <v>90</v>
      </c>
      <c r="G1360">
        <f ca="1">VLOOKUP(E1360,PurchItem!$A$2:$H$508,8,0)</f>
        <v>5727.7008118950862</v>
      </c>
      <c r="H1360">
        <v>0.06</v>
      </c>
      <c r="I1360" t="s">
        <v>244</v>
      </c>
      <c r="J1360" s="5">
        <v>44601.594524409724</v>
      </c>
      <c r="K1360" s="5">
        <v>44602.189048819448</v>
      </c>
      <c r="M1360">
        <f t="shared" si="43"/>
        <v>10029727740</v>
      </c>
      <c r="N1360">
        <f ca="1">IF(M1360&lt;&gt;M1359,INDEX(CustInfo!$A$2:$A$1001,RANDBETWEEN(1,1000)),N1359)</f>
        <v>11120</v>
      </c>
      <c r="O1360" t="s">
        <v>1001</v>
      </c>
      <c r="P1360">
        <v>52937494</v>
      </c>
    </row>
    <row r="1361" spans="1:16" x14ac:dyDescent="0.35">
      <c r="A1361">
        <v>93827212510</v>
      </c>
      <c r="C1361" s="2" t="s">
        <v>883</v>
      </c>
      <c r="D1361">
        <v>3</v>
      </c>
      <c r="E1361">
        <v>76891213276</v>
      </c>
      <c r="F1361">
        <f t="shared" ca="1" si="42"/>
        <v>38</v>
      </c>
      <c r="G1361">
        <f ca="1">VLOOKUP(E1361,PurchItem!$A$2:$H$508,8,0)</f>
        <v>1231.4185671508574</v>
      </c>
      <c r="H1361">
        <v>0.05</v>
      </c>
      <c r="I1361" t="s">
        <v>244</v>
      </c>
      <c r="J1361" s="5">
        <v>44933.594524409724</v>
      </c>
      <c r="K1361" s="5">
        <v>44935.189048819448</v>
      </c>
      <c r="M1361">
        <f t="shared" si="43"/>
        <v>10029727740</v>
      </c>
      <c r="N1361">
        <f ca="1">IF(M1361&lt;&gt;M1360,INDEX(CustInfo!$A$2:$A$1001,RANDBETWEEN(1,1000)),N1360)</f>
        <v>11120</v>
      </c>
      <c r="O1361" t="s">
        <v>1001</v>
      </c>
      <c r="P1361">
        <v>52937495</v>
      </c>
    </row>
    <row r="1362" spans="1:16" x14ac:dyDescent="0.35">
      <c r="A1362">
        <v>93827212510</v>
      </c>
      <c r="C1362" s="2" t="s">
        <v>883</v>
      </c>
      <c r="D1362">
        <v>4</v>
      </c>
      <c r="E1362">
        <v>76891213514</v>
      </c>
      <c r="F1362">
        <f t="shared" ca="1" si="42"/>
        <v>15</v>
      </c>
      <c r="G1362">
        <f ca="1">VLOOKUP(E1362,PurchItem!$A$2:$H$508,8,0)</f>
        <v>5315.5344122127744</v>
      </c>
      <c r="H1362">
        <v>0.04</v>
      </c>
      <c r="I1362" t="s">
        <v>244</v>
      </c>
      <c r="J1362" s="5">
        <v>45524.594524409724</v>
      </c>
      <c r="K1362" s="5">
        <v>45525.189048819448</v>
      </c>
      <c r="M1362">
        <f t="shared" si="43"/>
        <v>10029727740</v>
      </c>
      <c r="N1362">
        <f ca="1">IF(M1362&lt;&gt;M1361,INDEX(CustInfo!$A$2:$A$1001,RANDBETWEEN(1,1000)),N1361)</f>
        <v>11120</v>
      </c>
      <c r="O1362" t="s">
        <v>1001</v>
      </c>
      <c r="P1362">
        <v>52937496</v>
      </c>
    </row>
    <row r="1363" spans="1:16" x14ac:dyDescent="0.35">
      <c r="A1363">
        <v>93827212511</v>
      </c>
      <c r="C1363" s="2" t="s">
        <v>883</v>
      </c>
      <c r="D1363">
        <v>1</v>
      </c>
      <c r="E1363">
        <v>76891213457</v>
      </c>
      <c r="F1363">
        <f t="shared" ca="1" si="42"/>
        <v>53</v>
      </c>
      <c r="G1363">
        <f ca="1">VLOOKUP(E1363,PurchItem!$A$2:$H$508,8,0)</f>
        <v>6617.5399033341891</v>
      </c>
      <c r="H1363">
        <v>0.05</v>
      </c>
      <c r="I1363" t="s">
        <v>244</v>
      </c>
      <c r="J1363" s="5">
        <v>45282.594524409724</v>
      </c>
      <c r="K1363" s="5">
        <v>45283.189048819448</v>
      </c>
      <c r="M1363">
        <f t="shared" si="43"/>
        <v>10029727741</v>
      </c>
      <c r="N1363">
        <f ca="1">IF(M1363&lt;&gt;M1362,INDEX(CustInfo!$A$2:$A$1001,RANDBETWEEN(1,1000)),N1362)</f>
        <v>11988</v>
      </c>
      <c r="O1363" t="s">
        <v>1001</v>
      </c>
      <c r="P1363">
        <v>52937497</v>
      </c>
    </row>
    <row r="1364" spans="1:16" x14ac:dyDescent="0.35">
      <c r="A1364">
        <v>93827212511</v>
      </c>
      <c r="C1364" s="2" t="s">
        <v>883</v>
      </c>
      <c r="D1364">
        <v>2</v>
      </c>
      <c r="E1364">
        <v>76891213278</v>
      </c>
      <c r="F1364">
        <f t="shared" ca="1" si="42"/>
        <v>44</v>
      </c>
      <c r="G1364">
        <f ca="1">VLOOKUP(E1364,PurchItem!$A$2:$H$508,8,0)</f>
        <v>5013.6146298172789</v>
      </c>
      <c r="H1364">
        <v>0.05</v>
      </c>
      <c r="I1364" t="s">
        <v>244</v>
      </c>
      <c r="J1364" s="5">
        <v>44715.594524409724</v>
      </c>
      <c r="K1364" s="5">
        <v>44719.189048819448</v>
      </c>
      <c r="M1364">
        <f t="shared" si="43"/>
        <v>10029727741</v>
      </c>
      <c r="N1364">
        <f ca="1">IF(M1364&lt;&gt;M1363,INDEX(CustInfo!$A$2:$A$1001,RANDBETWEEN(1,1000)),N1363)</f>
        <v>11988</v>
      </c>
      <c r="O1364" t="s">
        <v>1001</v>
      </c>
      <c r="P1364">
        <v>52937498</v>
      </c>
    </row>
    <row r="1365" spans="1:16" x14ac:dyDescent="0.35">
      <c r="A1365">
        <v>93827212511</v>
      </c>
      <c r="C1365" s="2" t="s">
        <v>883</v>
      </c>
      <c r="D1365">
        <v>3</v>
      </c>
      <c r="E1365">
        <v>76891213514</v>
      </c>
      <c r="F1365">
        <f t="shared" ca="1" si="42"/>
        <v>100</v>
      </c>
      <c r="G1365">
        <f ca="1">VLOOKUP(E1365,PurchItem!$A$2:$H$508,8,0)</f>
        <v>5315.5344122127744</v>
      </c>
      <c r="H1365">
        <v>0.06</v>
      </c>
      <c r="I1365" t="s">
        <v>244</v>
      </c>
      <c r="J1365" s="5">
        <v>44983.594524409724</v>
      </c>
      <c r="K1365" s="5">
        <v>44986.189048819448</v>
      </c>
      <c r="M1365">
        <f t="shared" si="43"/>
        <v>10029727741</v>
      </c>
      <c r="N1365">
        <f ca="1">IF(M1365&lt;&gt;M1364,INDEX(CustInfo!$A$2:$A$1001,RANDBETWEEN(1,1000)),N1364)</f>
        <v>11988</v>
      </c>
      <c r="O1365" t="s">
        <v>1001</v>
      </c>
      <c r="P1365">
        <v>52937499</v>
      </c>
    </row>
    <row r="1366" spans="1:16" x14ac:dyDescent="0.35">
      <c r="A1366">
        <v>93827212512</v>
      </c>
      <c r="C1366" s="2" t="s">
        <v>883</v>
      </c>
      <c r="D1366">
        <v>1</v>
      </c>
      <c r="E1366">
        <v>76891213519</v>
      </c>
      <c r="F1366">
        <f t="shared" ca="1" si="42"/>
        <v>70</v>
      </c>
      <c r="G1366">
        <f ca="1">VLOOKUP(E1366,PurchItem!$A$2:$H$508,8,0)</f>
        <v>1938.636158170156</v>
      </c>
      <c r="H1366">
        <v>0.05</v>
      </c>
      <c r="I1366" t="s">
        <v>244</v>
      </c>
      <c r="J1366" s="5">
        <v>45193.594524409724</v>
      </c>
      <c r="K1366" s="5">
        <v>45195.189048819448</v>
      </c>
      <c r="M1366">
        <f t="shared" si="43"/>
        <v>10029727742</v>
      </c>
      <c r="N1366">
        <f ca="1">IF(M1366&lt;&gt;M1365,INDEX(CustInfo!$A$2:$A$1001,RANDBETWEEN(1,1000)),N1365)</f>
        <v>11487</v>
      </c>
      <c r="O1366" t="s">
        <v>1002</v>
      </c>
      <c r="P1366">
        <v>52937500</v>
      </c>
    </row>
    <row r="1367" spans="1:16" x14ac:dyDescent="0.35">
      <c r="A1367">
        <v>93827212512</v>
      </c>
      <c r="C1367" s="2" t="s">
        <v>883</v>
      </c>
      <c r="D1367">
        <v>2</v>
      </c>
      <c r="E1367">
        <v>76891213291</v>
      </c>
      <c r="F1367">
        <f t="shared" ca="1" si="42"/>
        <v>81</v>
      </c>
      <c r="G1367">
        <f ca="1">VLOOKUP(E1367,PurchItem!$A$2:$H$508,8,0)</f>
        <v>8661.3541584480317</v>
      </c>
      <c r="H1367">
        <v>0.05</v>
      </c>
      <c r="I1367" t="s">
        <v>244</v>
      </c>
      <c r="J1367" s="5">
        <v>44916.594524409724</v>
      </c>
      <c r="K1367" s="5">
        <v>44920.189048819448</v>
      </c>
      <c r="M1367">
        <f t="shared" si="43"/>
        <v>10029727742</v>
      </c>
      <c r="N1367">
        <f ca="1">IF(M1367&lt;&gt;M1366,INDEX(CustInfo!$A$2:$A$1001,RANDBETWEEN(1,1000)),N1366)</f>
        <v>11487</v>
      </c>
      <c r="O1367" t="s">
        <v>1002</v>
      </c>
      <c r="P1367">
        <v>52937501</v>
      </c>
    </row>
    <row r="1368" spans="1:16" x14ac:dyDescent="0.35">
      <c r="A1368">
        <v>93827212513</v>
      </c>
      <c r="C1368" s="2" t="s">
        <v>883</v>
      </c>
      <c r="D1368">
        <v>1</v>
      </c>
      <c r="E1368">
        <v>76891213265</v>
      </c>
      <c r="F1368">
        <f t="shared" ca="1" si="42"/>
        <v>47</v>
      </c>
      <c r="G1368">
        <f ca="1">VLOOKUP(E1368,PurchItem!$A$2:$H$508,8,0)</f>
        <v>9730.9255508959868</v>
      </c>
      <c r="H1368">
        <v>0.06</v>
      </c>
      <c r="I1368" t="s">
        <v>244</v>
      </c>
      <c r="J1368" s="5">
        <v>44860.594524409724</v>
      </c>
      <c r="K1368" s="5">
        <v>44863.189048819448</v>
      </c>
      <c r="M1368">
        <f t="shared" si="43"/>
        <v>10029727743</v>
      </c>
      <c r="N1368">
        <f ca="1">IF(M1368&lt;&gt;M1367,INDEX(CustInfo!$A$2:$A$1001,RANDBETWEEN(1,1000)),N1367)</f>
        <v>11425</v>
      </c>
      <c r="O1368" t="s">
        <v>1001</v>
      </c>
      <c r="P1368">
        <v>52937502</v>
      </c>
    </row>
    <row r="1369" spans="1:16" x14ac:dyDescent="0.35">
      <c r="A1369">
        <v>93827212513</v>
      </c>
      <c r="C1369" s="2" t="s">
        <v>883</v>
      </c>
      <c r="D1369">
        <v>2</v>
      </c>
      <c r="E1369">
        <v>76891213346</v>
      </c>
      <c r="F1369">
        <f t="shared" ca="1" si="42"/>
        <v>51</v>
      </c>
      <c r="G1369">
        <f ca="1">VLOOKUP(E1369,PurchItem!$A$2:$H$508,8,0)</f>
        <v>7319.6019842468886</v>
      </c>
      <c r="H1369">
        <v>0.04</v>
      </c>
      <c r="I1369" t="s">
        <v>244</v>
      </c>
      <c r="J1369" s="5">
        <v>45302.594524409724</v>
      </c>
      <c r="K1369" s="5">
        <v>45304.189048819448</v>
      </c>
      <c r="M1369">
        <f t="shared" si="43"/>
        <v>10029727743</v>
      </c>
      <c r="N1369">
        <f ca="1">IF(M1369&lt;&gt;M1368,INDEX(CustInfo!$A$2:$A$1001,RANDBETWEEN(1,1000)),N1368)</f>
        <v>11425</v>
      </c>
      <c r="O1369" t="s">
        <v>1001</v>
      </c>
      <c r="P1369">
        <v>52937503</v>
      </c>
    </row>
    <row r="1370" spans="1:16" x14ac:dyDescent="0.35">
      <c r="A1370">
        <v>93827212513</v>
      </c>
      <c r="C1370" s="2" t="s">
        <v>883</v>
      </c>
      <c r="D1370">
        <v>3</v>
      </c>
      <c r="E1370">
        <v>76891213270</v>
      </c>
      <c r="F1370">
        <f t="shared" ca="1" si="42"/>
        <v>22</v>
      </c>
      <c r="G1370">
        <f ca="1">VLOOKUP(E1370,PurchItem!$A$2:$H$508,8,0)</f>
        <v>990.28757034259388</v>
      </c>
      <c r="H1370">
        <v>0.05</v>
      </c>
      <c r="I1370" t="s">
        <v>244</v>
      </c>
      <c r="J1370" s="5">
        <v>44900.594524409724</v>
      </c>
      <c r="K1370" s="5">
        <v>44903.189048819448</v>
      </c>
      <c r="M1370">
        <f t="shared" si="43"/>
        <v>10029727743</v>
      </c>
      <c r="N1370">
        <f ca="1">IF(M1370&lt;&gt;M1369,INDEX(CustInfo!$A$2:$A$1001,RANDBETWEEN(1,1000)),N1369)</f>
        <v>11425</v>
      </c>
      <c r="O1370" t="s">
        <v>1001</v>
      </c>
      <c r="P1370">
        <v>52937504</v>
      </c>
    </row>
    <row r="1371" spans="1:16" x14ac:dyDescent="0.35">
      <c r="A1371">
        <v>93827212514</v>
      </c>
      <c r="C1371" s="2" t="s">
        <v>883</v>
      </c>
      <c r="D1371">
        <v>1</v>
      </c>
      <c r="E1371">
        <v>76891213429</v>
      </c>
      <c r="F1371">
        <f t="shared" ca="1" si="42"/>
        <v>10</v>
      </c>
      <c r="G1371">
        <f ca="1">VLOOKUP(E1371,PurchItem!$A$2:$H$508,8,0)</f>
        <v>8406.1091392579347</v>
      </c>
      <c r="H1371">
        <v>0.05</v>
      </c>
      <c r="I1371" t="s">
        <v>244</v>
      </c>
      <c r="J1371" s="5">
        <v>44643.594524409724</v>
      </c>
      <c r="K1371" s="5">
        <v>44646.189048819448</v>
      </c>
      <c r="M1371">
        <f t="shared" si="43"/>
        <v>10029727744</v>
      </c>
      <c r="N1371">
        <f ca="1">IF(M1371&lt;&gt;M1370,INDEX(CustInfo!$A$2:$A$1001,RANDBETWEEN(1,1000)),N1370)</f>
        <v>11068</v>
      </c>
      <c r="O1371" t="s">
        <v>1001</v>
      </c>
      <c r="P1371">
        <v>52937505</v>
      </c>
    </row>
    <row r="1372" spans="1:16" x14ac:dyDescent="0.35">
      <c r="A1372">
        <v>93827212514</v>
      </c>
      <c r="C1372" s="2" t="s">
        <v>883</v>
      </c>
      <c r="D1372">
        <v>2</v>
      </c>
      <c r="E1372">
        <v>76891213152</v>
      </c>
      <c r="F1372">
        <f t="shared" ca="1" si="42"/>
        <v>12</v>
      </c>
      <c r="G1372">
        <f ca="1">VLOOKUP(E1372,PurchItem!$A$2:$H$508,8,0)</f>
        <v>169.38211785270536</v>
      </c>
      <c r="H1372">
        <v>0.06</v>
      </c>
      <c r="I1372" t="s">
        <v>244</v>
      </c>
      <c r="J1372" s="5">
        <v>45037.594524409724</v>
      </c>
      <c r="K1372" s="5">
        <v>45041.189048819448</v>
      </c>
      <c r="M1372">
        <f t="shared" si="43"/>
        <v>10029727744</v>
      </c>
      <c r="N1372">
        <f ca="1">IF(M1372&lt;&gt;M1371,INDEX(CustInfo!$A$2:$A$1001,RANDBETWEEN(1,1000)),N1371)</f>
        <v>11068</v>
      </c>
      <c r="O1372" t="s">
        <v>1001</v>
      </c>
      <c r="P1372">
        <v>52937506</v>
      </c>
    </row>
    <row r="1373" spans="1:16" x14ac:dyDescent="0.35">
      <c r="A1373">
        <v>93827212514</v>
      </c>
      <c r="C1373" s="2" t="s">
        <v>883</v>
      </c>
      <c r="D1373">
        <v>3</v>
      </c>
      <c r="E1373">
        <v>76891213577</v>
      </c>
      <c r="F1373">
        <f t="shared" ca="1" si="42"/>
        <v>13</v>
      </c>
      <c r="G1373">
        <f ca="1">VLOOKUP(E1373,PurchItem!$A$2:$H$508,8,0)</f>
        <v>1637.7481636374323</v>
      </c>
      <c r="H1373">
        <v>0.04</v>
      </c>
      <c r="I1373" t="s">
        <v>244</v>
      </c>
      <c r="J1373" s="5">
        <v>44675.594524409724</v>
      </c>
      <c r="K1373" s="5">
        <v>44678.189048819448</v>
      </c>
      <c r="M1373">
        <f t="shared" si="43"/>
        <v>10029727744</v>
      </c>
      <c r="N1373">
        <f ca="1">IF(M1373&lt;&gt;M1372,INDEX(CustInfo!$A$2:$A$1001,RANDBETWEEN(1,1000)),N1372)</f>
        <v>11068</v>
      </c>
      <c r="O1373" t="s">
        <v>1001</v>
      </c>
      <c r="P1373">
        <v>52937507</v>
      </c>
    </row>
    <row r="1374" spans="1:16" x14ac:dyDescent="0.35">
      <c r="A1374">
        <v>93827212515</v>
      </c>
      <c r="C1374" s="2" t="s">
        <v>883</v>
      </c>
      <c r="D1374">
        <v>1</v>
      </c>
      <c r="E1374">
        <v>76891213345</v>
      </c>
      <c r="F1374">
        <f t="shared" ca="1" si="42"/>
        <v>10</v>
      </c>
      <c r="G1374">
        <f ca="1">VLOOKUP(E1374,PurchItem!$A$2:$H$508,8,0)</f>
        <v>3652.5312345375505</v>
      </c>
      <c r="H1374">
        <v>0.05</v>
      </c>
      <c r="I1374" t="s">
        <v>244</v>
      </c>
      <c r="J1374" s="5">
        <v>45258.594524409724</v>
      </c>
      <c r="K1374" s="5">
        <v>45260.189048819448</v>
      </c>
      <c r="M1374">
        <f t="shared" si="43"/>
        <v>10029727745</v>
      </c>
      <c r="N1374">
        <f ca="1">IF(M1374&lt;&gt;M1373,INDEX(CustInfo!$A$2:$A$1001,RANDBETWEEN(1,1000)),N1373)</f>
        <v>11373</v>
      </c>
      <c r="O1374" t="s">
        <v>1001</v>
      </c>
      <c r="P1374">
        <v>52937508</v>
      </c>
    </row>
    <row r="1375" spans="1:16" x14ac:dyDescent="0.35">
      <c r="A1375">
        <v>93827212516</v>
      </c>
      <c r="C1375" s="2" t="s">
        <v>883</v>
      </c>
      <c r="D1375">
        <v>1</v>
      </c>
      <c r="E1375">
        <v>76891213543</v>
      </c>
      <c r="F1375">
        <f t="shared" ca="1" si="42"/>
        <v>74</v>
      </c>
      <c r="G1375">
        <f ca="1">VLOOKUP(E1375,PurchItem!$A$2:$H$508,8,0)</f>
        <v>645.98032194518066</v>
      </c>
      <c r="H1375">
        <v>0.05</v>
      </c>
      <c r="I1375" t="s">
        <v>244</v>
      </c>
      <c r="J1375" s="5">
        <v>44574.594524409724</v>
      </c>
      <c r="K1375" s="5">
        <v>44578.189048819448</v>
      </c>
      <c r="M1375">
        <f t="shared" si="43"/>
        <v>10029727746</v>
      </c>
      <c r="N1375">
        <f ca="1">IF(M1375&lt;&gt;M1374,INDEX(CustInfo!$A$2:$A$1001,RANDBETWEEN(1,1000)),N1374)</f>
        <v>11528</v>
      </c>
      <c r="O1375" t="s">
        <v>1002</v>
      </c>
      <c r="P1375">
        <v>52937509</v>
      </c>
    </row>
    <row r="1376" spans="1:16" x14ac:dyDescent="0.35">
      <c r="A1376">
        <v>93827212516</v>
      </c>
      <c r="C1376" s="2" t="s">
        <v>883</v>
      </c>
      <c r="D1376">
        <v>2</v>
      </c>
      <c r="E1376">
        <v>76891213438</v>
      </c>
      <c r="F1376">
        <f t="shared" ca="1" si="42"/>
        <v>49</v>
      </c>
      <c r="G1376">
        <f ca="1">VLOOKUP(E1376,PurchItem!$A$2:$H$508,8,0)</f>
        <v>9563.5855628970003</v>
      </c>
      <c r="H1376">
        <v>0.04</v>
      </c>
      <c r="I1376" t="s">
        <v>244</v>
      </c>
      <c r="J1376" s="5">
        <v>44983.594524409724</v>
      </c>
      <c r="K1376" s="5">
        <v>44987.189048819448</v>
      </c>
      <c r="M1376">
        <f t="shared" si="43"/>
        <v>10029727746</v>
      </c>
      <c r="N1376">
        <f ca="1">IF(M1376&lt;&gt;M1375,INDEX(CustInfo!$A$2:$A$1001,RANDBETWEEN(1,1000)),N1375)</f>
        <v>11528</v>
      </c>
      <c r="O1376" t="s">
        <v>1002</v>
      </c>
      <c r="P1376">
        <v>52937510</v>
      </c>
    </row>
    <row r="1377" spans="1:16" x14ac:dyDescent="0.35">
      <c r="A1377">
        <v>93827212516</v>
      </c>
      <c r="C1377" s="2" t="s">
        <v>883</v>
      </c>
      <c r="D1377">
        <v>3</v>
      </c>
      <c r="E1377">
        <v>76891213147</v>
      </c>
      <c r="F1377">
        <f t="shared" ca="1" si="42"/>
        <v>92</v>
      </c>
      <c r="G1377">
        <f ca="1">VLOOKUP(E1377,PurchItem!$A$2:$H$508,8,0)</f>
        <v>2264.3353543042599</v>
      </c>
      <c r="H1377">
        <v>0.05</v>
      </c>
      <c r="I1377" t="s">
        <v>244</v>
      </c>
      <c r="J1377" s="5">
        <v>45473.594524409724</v>
      </c>
      <c r="K1377" s="5">
        <v>45477.189048819448</v>
      </c>
      <c r="M1377">
        <f t="shared" si="43"/>
        <v>10029727746</v>
      </c>
      <c r="N1377">
        <f ca="1">IF(M1377&lt;&gt;M1376,INDEX(CustInfo!$A$2:$A$1001,RANDBETWEEN(1,1000)),N1376)</f>
        <v>11528</v>
      </c>
      <c r="O1377" t="s">
        <v>1002</v>
      </c>
      <c r="P1377">
        <v>52937511</v>
      </c>
    </row>
    <row r="1378" spans="1:16" x14ac:dyDescent="0.35">
      <c r="A1378">
        <v>93827212516</v>
      </c>
      <c r="C1378" s="2" t="s">
        <v>883</v>
      </c>
      <c r="D1378">
        <v>4</v>
      </c>
      <c r="E1378">
        <v>76891213570</v>
      </c>
      <c r="F1378">
        <f t="shared" ca="1" si="42"/>
        <v>12</v>
      </c>
      <c r="G1378">
        <f ca="1">VLOOKUP(E1378,PurchItem!$A$2:$H$508,8,0)</f>
        <v>9788.963236721278</v>
      </c>
      <c r="H1378">
        <v>0.05</v>
      </c>
      <c r="I1378" t="s">
        <v>244</v>
      </c>
      <c r="J1378" s="5">
        <v>44581.594524409724</v>
      </c>
      <c r="K1378" s="5">
        <v>44583.189048819448</v>
      </c>
      <c r="M1378">
        <f t="shared" si="43"/>
        <v>10029727746</v>
      </c>
      <c r="N1378">
        <f ca="1">IF(M1378&lt;&gt;M1377,INDEX(CustInfo!$A$2:$A$1001,RANDBETWEEN(1,1000)),N1377)</f>
        <v>11528</v>
      </c>
      <c r="O1378" t="s">
        <v>1002</v>
      </c>
      <c r="P1378">
        <v>52937512</v>
      </c>
    </row>
    <row r="1379" spans="1:16" x14ac:dyDescent="0.35">
      <c r="A1379">
        <v>93827212517</v>
      </c>
      <c r="C1379" s="2" t="s">
        <v>883</v>
      </c>
      <c r="D1379">
        <v>1</v>
      </c>
      <c r="E1379">
        <v>76891213572</v>
      </c>
      <c r="F1379">
        <f t="shared" ca="1" si="42"/>
        <v>4</v>
      </c>
      <c r="G1379">
        <f ca="1">VLOOKUP(E1379,PurchItem!$A$2:$H$508,8,0)</f>
        <v>8369.1775258535399</v>
      </c>
      <c r="H1379">
        <v>0.05</v>
      </c>
      <c r="I1379" t="s">
        <v>244</v>
      </c>
      <c r="J1379" s="5">
        <v>45270.594524409724</v>
      </c>
      <c r="K1379" s="5">
        <v>45273.189048819448</v>
      </c>
      <c r="M1379">
        <f t="shared" si="43"/>
        <v>10029727747</v>
      </c>
      <c r="N1379">
        <f ca="1">IF(M1379&lt;&gt;M1378,INDEX(CustInfo!$A$2:$A$1001,RANDBETWEEN(1,1000)),N1378)</f>
        <v>11429</v>
      </c>
      <c r="O1379" t="s">
        <v>1001</v>
      </c>
      <c r="P1379">
        <v>52937513</v>
      </c>
    </row>
    <row r="1380" spans="1:16" x14ac:dyDescent="0.35">
      <c r="A1380">
        <v>93827212517</v>
      </c>
      <c r="C1380" s="2" t="s">
        <v>883</v>
      </c>
      <c r="D1380">
        <v>2</v>
      </c>
      <c r="E1380">
        <v>76891213298</v>
      </c>
      <c r="F1380">
        <f t="shared" ca="1" si="42"/>
        <v>60</v>
      </c>
      <c r="G1380">
        <f ca="1">VLOOKUP(E1380,PurchItem!$A$2:$H$508,8,0)</f>
        <v>8806.9548730318475</v>
      </c>
      <c r="H1380">
        <v>0.05</v>
      </c>
      <c r="I1380" t="s">
        <v>244</v>
      </c>
      <c r="J1380" s="5">
        <v>45021.594524409724</v>
      </c>
      <c r="K1380" s="5">
        <v>45024.189048819448</v>
      </c>
      <c r="M1380">
        <f t="shared" si="43"/>
        <v>10029727747</v>
      </c>
      <c r="N1380">
        <f ca="1">IF(M1380&lt;&gt;M1379,INDEX(CustInfo!$A$2:$A$1001,RANDBETWEEN(1,1000)),N1379)</f>
        <v>11429</v>
      </c>
      <c r="O1380" t="s">
        <v>1001</v>
      </c>
      <c r="P1380">
        <v>52937514</v>
      </c>
    </row>
    <row r="1381" spans="1:16" x14ac:dyDescent="0.35">
      <c r="A1381">
        <v>93827212517</v>
      </c>
      <c r="C1381" s="2" t="s">
        <v>883</v>
      </c>
      <c r="D1381">
        <v>3</v>
      </c>
      <c r="E1381">
        <v>76891213163</v>
      </c>
      <c r="F1381">
        <f t="shared" ca="1" si="42"/>
        <v>42</v>
      </c>
      <c r="G1381">
        <f ca="1">VLOOKUP(E1381,PurchItem!$A$2:$H$508,8,0)</f>
        <v>8353.8076232434159</v>
      </c>
      <c r="H1381">
        <v>0.04</v>
      </c>
      <c r="I1381" t="s">
        <v>244</v>
      </c>
      <c r="J1381" s="5">
        <v>45272.594524409724</v>
      </c>
      <c r="K1381" s="5">
        <v>45276.189048819448</v>
      </c>
      <c r="M1381">
        <f t="shared" si="43"/>
        <v>10029727747</v>
      </c>
      <c r="N1381">
        <f ca="1">IF(M1381&lt;&gt;M1380,INDEX(CustInfo!$A$2:$A$1001,RANDBETWEEN(1,1000)),N1380)</f>
        <v>11429</v>
      </c>
      <c r="O1381" t="s">
        <v>1001</v>
      </c>
      <c r="P1381">
        <v>52937515</v>
      </c>
    </row>
    <row r="1382" spans="1:16" x14ac:dyDescent="0.35">
      <c r="A1382">
        <v>93827212517</v>
      </c>
      <c r="C1382" s="2" t="s">
        <v>883</v>
      </c>
      <c r="D1382">
        <v>4</v>
      </c>
      <c r="E1382">
        <v>76891213223</v>
      </c>
      <c r="F1382">
        <f t="shared" ca="1" si="42"/>
        <v>93</v>
      </c>
      <c r="G1382">
        <f ca="1">VLOOKUP(E1382,PurchItem!$A$2:$H$508,8,0)</f>
        <v>9143.6020748149404</v>
      </c>
      <c r="H1382">
        <v>0.05</v>
      </c>
      <c r="I1382" t="s">
        <v>244</v>
      </c>
      <c r="J1382" s="5">
        <v>45588.594524409724</v>
      </c>
      <c r="K1382" s="5">
        <v>45589.189048819448</v>
      </c>
      <c r="M1382">
        <f t="shared" si="43"/>
        <v>10029727747</v>
      </c>
      <c r="N1382">
        <f ca="1">IF(M1382&lt;&gt;M1381,INDEX(CustInfo!$A$2:$A$1001,RANDBETWEEN(1,1000)),N1381)</f>
        <v>11429</v>
      </c>
      <c r="O1382" t="s">
        <v>1001</v>
      </c>
      <c r="P1382">
        <v>52937516</v>
      </c>
    </row>
    <row r="1383" spans="1:16" x14ac:dyDescent="0.35">
      <c r="A1383">
        <v>93827212518</v>
      </c>
      <c r="C1383" s="2" t="s">
        <v>883</v>
      </c>
      <c r="D1383">
        <v>1</v>
      </c>
      <c r="E1383">
        <v>76891213414</v>
      </c>
      <c r="F1383">
        <f t="shared" ca="1" si="42"/>
        <v>11</v>
      </c>
      <c r="G1383">
        <f ca="1">VLOOKUP(E1383,PurchItem!$A$2:$H$508,8,0)</f>
        <v>9766.7832998304748</v>
      </c>
      <c r="H1383">
        <v>0.04</v>
      </c>
      <c r="I1383" t="s">
        <v>244</v>
      </c>
      <c r="J1383" s="5">
        <v>45390.594524409724</v>
      </c>
      <c r="K1383" s="5">
        <v>45392.189048819448</v>
      </c>
      <c r="M1383">
        <f t="shared" si="43"/>
        <v>10029727748</v>
      </c>
      <c r="N1383">
        <f ca="1">IF(M1383&lt;&gt;M1382,INDEX(CustInfo!$A$2:$A$1001,RANDBETWEEN(1,1000)),N1382)</f>
        <v>11714</v>
      </c>
      <c r="O1383" t="s">
        <v>1001</v>
      </c>
      <c r="P1383">
        <v>52937517</v>
      </c>
    </row>
    <row r="1384" spans="1:16" x14ac:dyDescent="0.35">
      <c r="A1384">
        <v>93827212518</v>
      </c>
      <c r="C1384" s="2" t="s">
        <v>883</v>
      </c>
      <c r="D1384">
        <v>2</v>
      </c>
      <c r="E1384">
        <v>76891213616</v>
      </c>
      <c r="F1384">
        <f t="shared" ca="1" si="42"/>
        <v>55</v>
      </c>
      <c r="G1384">
        <f ca="1">VLOOKUP(E1384,PurchItem!$A$2:$H$508,8,0)</f>
        <v>4776.4116895077213</v>
      </c>
      <c r="H1384">
        <v>0.06</v>
      </c>
      <c r="I1384" t="s">
        <v>244</v>
      </c>
      <c r="J1384" s="5">
        <v>44750.594524409724</v>
      </c>
      <c r="K1384" s="5">
        <v>44751.189048819448</v>
      </c>
      <c r="M1384">
        <f t="shared" si="43"/>
        <v>10029727748</v>
      </c>
      <c r="N1384">
        <f ca="1">IF(M1384&lt;&gt;M1383,INDEX(CustInfo!$A$2:$A$1001,RANDBETWEEN(1,1000)),N1383)</f>
        <v>11714</v>
      </c>
      <c r="O1384" t="s">
        <v>1001</v>
      </c>
      <c r="P1384">
        <v>52937518</v>
      </c>
    </row>
    <row r="1385" spans="1:16" x14ac:dyDescent="0.35">
      <c r="A1385">
        <v>93827212518</v>
      </c>
      <c r="C1385" s="2" t="s">
        <v>883</v>
      </c>
      <c r="D1385">
        <v>3</v>
      </c>
      <c r="E1385">
        <v>76891213324</v>
      </c>
      <c r="F1385">
        <f t="shared" ca="1" si="42"/>
        <v>94</v>
      </c>
      <c r="G1385">
        <f ca="1">VLOOKUP(E1385,PurchItem!$A$2:$H$508,8,0)</f>
        <v>5167.9016211713106</v>
      </c>
      <c r="H1385">
        <v>0.04</v>
      </c>
      <c r="I1385" t="s">
        <v>244</v>
      </c>
      <c r="J1385" s="5">
        <v>44693.594524409724</v>
      </c>
      <c r="K1385" s="5">
        <v>44694.189048819448</v>
      </c>
      <c r="M1385">
        <f t="shared" si="43"/>
        <v>10029727748</v>
      </c>
      <c r="N1385">
        <f ca="1">IF(M1385&lt;&gt;M1384,INDEX(CustInfo!$A$2:$A$1001,RANDBETWEEN(1,1000)),N1384)</f>
        <v>11714</v>
      </c>
      <c r="O1385" t="s">
        <v>1001</v>
      </c>
      <c r="P1385">
        <v>52937519</v>
      </c>
    </row>
    <row r="1386" spans="1:16" x14ac:dyDescent="0.35">
      <c r="A1386">
        <v>93827212518</v>
      </c>
      <c r="C1386" s="2" t="s">
        <v>883</v>
      </c>
      <c r="D1386">
        <v>4</v>
      </c>
      <c r="E1386">
        <v>76891213494</v>
      </c>
      <c r="F1386">
        <f t="shared" ca="1" si="42"/>
        <v>53</v>
      </c>
      <c r="G1386">
        <f ca="1">VLOOKUP(E1386,PurchItem!$A$2:$H$508,8,0)</f>
        <v>4466.6672855124061</v>
      </c>
      <c r="H1386">
        <v>0.04</v>
      </c>
      <c r="I1386" t="s">
        <v>244</v>
      </c>
      <c r="J1386" s="5">
        <v>44659.594524409724</v>
      </c>
      <c r="K1386" s="5">
        <v>44663.189048819448</v>
      </c>
      <c r="M1386">
        <f t="shared" si="43"/>
        <v>10029727748</v>
      </c>
      <c r="N1386">
        <f ca="1">IF(M1386&lt;&gt;M1385,INDEX(CustInfo!$A$2:$A$1001,RANDBETWEEN(1,1000)),N1385)</f>
        <v>11714</v>
      </c>
      <c r="O1386" t="s">
        <v>1001</v>
      </c>
      <c r="P1386">
        <v>52937520</v>
      </c>
    </row>
    <row r="1387" spans="1:16" x14ac:dyDescent="0.35">
      <c r="A1387">
        <v>93827212519</v>
      </c>
      <c r="C1387" s="2" t="s">
        <v>883</v>
      </c>
      <c r="D1387">
        <v>1</v>
      </c>
      <c r="E1387">
        <v>76891213535</v>
      </c>
      <c r="F1387">
        <f t="shared" ca="1" si="42"/>
        <v>43</v>
      </c>
      <c r="G1387">
        <f ca="1">VLOOKUP(E1387,PurchItem!$A$2:$H$508,8,0)</f>
        <v>468.81906553927877</v>
      </c>
      <c r="H1387">
        <v>0.05</v>
      </c>
      <c r="I1387" t="s">
        <v>244</v>
      </c>
      <c r="J1387" s="5">
        <v>44668.594524409724</v>
      </c>
      <c r="K1387" s="5">
        <v>44670.189048819448</v>
      </c>
      <c r="M1387">
        <f t="shared" si="43"/>
        <v>10029727749</v>
      </c>
      <c r="N1387">
        <f ca="1">IF(M1387&lt;&gt;M1386,INDEX(CustInfo!$A$2:$A$1001,RANDBETWEEN(1,1000)),N1386)</f>
        <v>11470</v>
      </c>
      <c r="O1387" t="s">
        <v>1002</v>
      </c>
      <c r="P1387">
        <v>52937521</v>
      </c>
    </row>
    <row r="1388" spans="1:16" x14ac:dyDescent="0.35">
      <c r="A1388">
        <v>93827212519</v>
      </c>
      <c r="C1388" s="2" t="s">
        <v>883</v>
      </c>
      <c r="D1388">
        <v>2</v>
      </c>
      <c r="E1388">
        <v>76891213567</v>
      </c>
      <c r="F1388">
        <f t="shared" ca="1" si="42"/>
        <v>91</v>
      </c>
      <c r="G1388">
        <f ca="1">VLOOKUP(E1388,PurchItem!$A$2:$H$508,8,0)</f>
        <v>8161.6186808956736</v>
      </c>
      <c r="H1388">
        <v>0.05</v>
      </c>
      <c r="I1388" t="s">
        <v>244</v>
      </c>
      <c r="J1388" s="5">
        <v>44841.594524409724</v>
      </c>
      <c r="K1388" s="5">
        <v>44844.189048819448</v>
      </c>
      <c r="M1388">
        <f t="shared" si="43"/>
        <v>10029727749</v>
      </c>
      <c r="N1388">
        <f ca="1">IF(M1388&lt;&gt;M1387,INDEX(CustInfo!$A$2:$A$1001,RANDBETWEEN(1,1000)),N1387)</f>
        <v>11470</v>
      </c>
      <c r="O1388" t="s">
        <v>1002</v>
      </c>
      <c r="P1388">
        <v>52937522</v>
      </c>
    </row>
    <row r="1389" spans="1:16" x14ac:dyDescent="0.35">
      <c r="A1389">
        <v>93827212520</v>
      </c>
      <c r="C1389" s="2" t="s">
        <v>883</v>
      </c>
      <c r="D1389">
        <v>1</v>
      </c>
      <c r="E1389">
        <v>76891213442</v>
      </c>
      <c r="F1389">
        <f t="shared" ca="1" si="42"/>
        <v>15</v>
      </c>
      <c r="G1389">
        <f ca="1">VLOOKUP(E1389,PurchItem!$A$2:$H$508,8,0)</f>
        <v>3996.4553378666742</v>
      </c>
      <c r="H1389">
        <v>0.04</v>
      </c>
      <c r="I1389" t="s">
        <v>244</v>
      </c>
      <c r="J1389" s="5">
        <v>45301.594524409724</v>
      </c>
      <c r="K1389" s="5">
        <v>45302.189048819448</v>
      </c>
      <c r="M1389">
        <f t="shared" si="43"/>
        <v>10029727750</v>
      </c>
      <c r="N1389">
        <f ca="1">IF(M1389&lt;&gt;M1388,INDEX(CustInfo!$A$2:$A$1001,RANDBETWEEN(1,1000)),N1388)</f>
        <v>11234</v>
      </c>
      <c r="O1389" t="s">
        <v>1002</v>
      </c>
      <c r="P1389">
        <v>52937523</v>
      </c>
    </row>
    <row r="1390" spans="1:16" x14ac:dyDescent="0.35">
      <c r="A1390">
        <v>93827212520</v>
      </c>
      <c r="C1390" s="2" t="s">
        <v>883</v>
      </c>
      <c r="D1390">
        <v>2</v>
      </c>
      <c r="E1390">
        <v>76891213568</v>
      </c>
      <c r="F1390">
        <f t="shared" ca="1" si="42"/>
        <v>4</v>
      </c>
      <c r="G1390">
        <f ca="1">VLOOKUP(E1390,PurchItem!$A$2:$H$508,8,0)</f>
        <v>7832.221940741756</v>
      </c>
      <c r="H1390">
        <v>0.06</v>
      </c>
      <c r="I1390" t="s">
        <v>244</v>
      </c>
      <c r="J1390" s="5">
        <v>45255.594524409724</v>
      </c>
      <c r="K1390" s="5">
        <v>45258.189048819448</v>
      </c>
      <c r="M1390">
        <f t="shared" si="43"/>
        <v>10029727750</v>
      </c>
      <c r="N1390">
        <f ca="1">IF(M1390&lt;&gt;M1389,INDEX(CustInfo!$A$2:$A$1001,RANDBETWEEN(1,1000)),N1389)</f>
        <v>11234</v>
      </c>
      <c r="O1390" t="s">
        <v>1002</v>
      </c>
      <c r="P1390">
        <v>52937524</v>
      </c>
    </row>
    <row r="1391" spans="1:16" x14ac:dyDescent="0.35">
      <c r="A1391">
        <v>93827212520</v>
      </c>
      <c r="C1391" s="2" t="s">
        <v>883</v>
      </c>
      <c r="D1391">
        <v>3</v>
      </c>
      <c r="E1391">
        <v>76891213460</v>
      </c>
      <c r="F1391">
        <f t="shared" ca="1" si="42"/>
        <v>43</v>
      </c>
      <c r="G1391">
        <f ca="1">VLOOKUP(E1391,PurchItem!$A$2:$H$508,8,0)</f>
        <v>6992.4051616071765</v>
      </c>
      <c r="H1391">
        <v>0.06</v>
      </c>
      <c r="I1391" t="s">
        <v>244</v>
      </c>
      <c r="J1391" s="5">
        <v>44785.594524409724</v>
      </c>
      <c r="K1391" s="5">
        <v>44789.189048819448</v>
      </c>
      <c r="M1391">
        <f t="shared" si="43"/>
        <v>10029727750</v>
      </c>
      <c r="N1391">
        <f ca="1">IF(M1391&lt;&gt;M1390,INDEX(CustInfo!$A$2:$A$1001,RANDBETWEEN(1,1000)),N1390)</f>
        <v>11234</v>
      </c>
      <c r="O1391" t="s">
        <v>1002</v>
      </c>
      <c r="P1391">
        <v>52937525</v>
      </c>
    </row>
    <row r="1392" spans="1:16" x14ac:dyDescent="0.35">
      <c r="A1392">
        <v>93827212520</v>
      </c>
      <c r="C1392" s="2" t="s">
        <v>883</v>
      </c>
      <c r="D1392">
        <v>4</v>
      </c>
      <c r="E1392">
        <v>76891213482</v>
      </c>
      <c r="F1392">
        <f t="shared" ca="1" si="42"/>
        <v>57</v>
      </c>
      <c r="G1392">
        <f ca="1">VLOOKUP(E1392,PurchItem!$A$2:$H$508,8,0)</f>
        <v>1942.5852998534569</v>
      </c>
      <c r="H1392">
        <v>0.04</v>
      </c>
      <c r="I1392" t="s">
        <v>244</v>
      </c>
      <c r="J1392" s="5">
        <v>44653.594524409724</v>
      </c>
      <c r="K1392" s="5">
        <v>44654.189048819448</v>
      </c>
      <c r="M1392">
        <f t="shared" si="43"/>
        <v>10029727750</v>
      </c>
      <c r="N1392">
        <f ca="1">IF(M1392&lt;&gt;M1391,INDEX(CustInfo!$A$2:$A$1001,RANDBETWEEN(1,1000)),N1391)</f>
        <v>11234</v>
      </c>
      <c r="O1392" t="s">
        <v>1002</v>
      </c>
      <c r="P1392">
        <v>52937526</v>
      </c>
    </row>
    <row r="1393" spans="1:16" x14ac:dyDescent="0.35">
      <c r="A1393">
        <v>93827212521</v>
      </c>
      <c r="C1393" s="2" t="s">
        <v>883</v>
      </c>
      <c r="D1393">
        <v>1</v>
      </c>
      <c r="E1393">
        <v>76891213420</v>
      </c>
      <c r="F1393">
        <f t="shared" ca="1" si="42"/>
        <v>83</v>
      </c>
      <c r="G1393">
        <f ca="1">VLOOKUP(E1393,PurchItem!$A$2:$H$508,8,0)</f>
        <v>705.92088426041653</v>
      </c>
      <c r="H1393">
        <v>0.05</v>
      </c>
      <c r="I1393" t="s">
        <v>244</v>
      </c>
      <c r="J1393" s="5">
        <v>45370.594524409724</v>
      </c>
      <c r="K1393" s="5">
        <v>45374.189048819448</v>
      </c>
      <c r="M1393">
        <f t="shared" si="43"/>
        <v>10029727751</v>
      </c>
      <c r="N1393">
        <f ca="1">IF(M1393&lt;&gt;M1392,INDEX(CustInfo!$A$2:$A$1001,RANDBETWEEN(1,1000)),N1392)</f>
        <v>11521</v>
      </c>
      <c r="O1393" t="s">
        <v>1001</v>
      </c>
      <c r="P1393">
        <v>52937527</v>
      </c>
    </row>
    <row r="1394" spans="1:16" x14ac:dyDescent="0.35">
      <c r="A1394">
        <v>93827212522</v>
      </c>
      <c r="C1394" s="2" t="s">
        <v>883</v>
      </c>
      <c r="D1394">
        <v>1</v>
      </c>
      <c r="E1394">
        <v>76891213550</v>
      </c>
      <c r="F1394">
        <f t="shared" ca="1" si="42"/>
        <v>99</v>
      </c>
      <c r="G1394">
        <f ca="1">VLOOKUP(E1394,PurchItem!$A$2:$H$508,8,0)</f>
        <v>8587.4277127599253</v>
      </c>
      <c r="H1394">
        <v>0.05</v>
      </c>
      <c r="I1394" t="s">
        <v>244</v>
      </c>
      <c r="J1394" s="5">
        <v>45340.594524409724</v>
      </c>
      <c r="K1394" s="5">
        <v>45344.189048819448</v>
      </c>
      <c r="M1394">
        <f t="shared" si="43"/>
        <v>10029727752</v>
      </c>
      <c r="N1394">
        <f ca="1">IF(M1394&lt;&gt;M1393,INDEX(CustInfo!$A$2:$A$1001,RANDBETWEEN(1,1000)),N1393)</f>
        <v>11122</v>
      </c>
      <c r="O1394" t="s">
        <v>1001</v>
      </c>
      <c r="P1394">
        <v>52937528</v>
      </c>
    </row>
    <row r="1395" spans="1:16" x14ac:dyDescent="0.35">
      <c r="A1395">
        <v>93827212522</v>
      </c>
      <c r="C1395" s="2" t="s">
        <v>883</v>
      </c>
      <c r="D1395">
        <v>2</v>
      </c>
      <c r="E1395">
        <v>76891213596</v>
      </c>
      <c r="F1395">
        <f t="shared" ca="1" si="42"/>
        <v>8</v>
      </c>
      <c r="G1395">
        <f ca="1">VLOOKUP(E1395,PurchItem!$A$2:$H$508,8,0)</f>
        <v>4771.1199477066812</v>
      </c>
      <c r="H1395">
        <v>0.05</v>
      </c>
      <c r="I1395" t="s">
        <v>244</v>
      </c>
      <c r="J1395" s="5">
        <v>45280.594524409724</v>
      </c>
      <c r="K1395" s="5">
        <v>45284.189048819448</v>
      </c>
      <c r="M1395">
        <f t="shared" si="43"/>
        <v>10029727752</v>
      </c>
      <c r="N1395">
        <f ca="1">IF(M1395&lt;&gt;M1394,INDEX(CustInfo!$A$2:$A$1001,RANDBETWEEN(1,1000)),N1394)</f>
        <v>11122</v>
      </c>
      <c r="O1395" t="s">
        <v>1001</v>
      </c>
      <c r="P1395">
        <v>52937529</v>
      </c>
    </row>
    <row r="1396" spans="1:16" x14ac:dyDescent="0.35">
      <c r="A1396">
        <v>93827212523</v>
      </c>
      <c r="C1396" s="2" t="s">
        <v>883</v>
      </c>
      <c r="D1396">
        <v>1</v>
      </c>
      <c r="E1396">
        <v>76891213551</v>
      </c>
      <c r="F1396">
        <f t="shared" ca="1" si="42"/>
        <v>32</v>
      </c>
      <c r="G1396">
        <f ca="1">VLOOKUP(E1396,PurchItem!$A$2:$H$508,8,0)</f>
        <v>8257.6439178880792</v>
      </c>
      <c r="H1396">
        <v>0.05</v>
      </c>
      <c r="I1396" t="s">
        <v>244</v>
      </c>
      <c r="J1396" s="5">
        <v>44817.594524409724</v>
      </c>
      <c r="K1396" s="5">
        <v>44820.189048819448</v>
      </c>
      <c r="M1396">
        <f t="shared" si="43"/>
        <v>10029727753</v>
      </c>
      <c r="N1396">
        <f ca="1">IF(M1396&lt;&gt;M1395,INDEX(CustInfo!$A$2:$A$1001,RANDBETWEEN(1,1000)),N1395)</f>
        <v>11273</v>
      </c>
      <c r="O1396" t="s">
        <v>1003</v>
      </c>
      <c r="P1396">
        <v>52937530</v>
      </c>
    </row>
    <row r="1397" spans="1:16" x14ac:dyDescent="0.35">
      <c r="A1397">
        <v>93827212523</v>
      </c>
      <c r="C1397" s="2" t="s">
        <v>883</v>
      </c>
      <c r="D1397">
        <v>2</v>
      </c>
      <c r="E1397">
        <v>76891213613</v>
      </c>
      <c r="F1397">
        <f t="shared" ca="1" si="42"/>
        <v>88</v>
      </c>
      <c r="G1397">
        <f ca="1">VLOOKUP(E1397,PurchItem!$A$2:$H$508,8,0)</f>
        <v>6056.8631163138916</v>
      </c>
      <c r="H1397">
        <v>0.06</v>
      </c>
      <c r="I1397" t="s">
        <v>244</v>
      </c>
      <c r="J1397" s="5">
        <v>45231.594524409724</v>
      </c>
      <c r="K1397" s="5">
        <v>45235.189048819448</v>
      </c>
      <c r="M1397">
        <f t="shared" si="43"/>
        <v>10029727753</v>
      </c>
      <c r="N1397">
        <f ca="1">IF(M1397&lt;&gt;M1396,INDEX(CustInfo!$A$2:$A$1001,RANDBETWEEN(1,1000)),N1396)</f>
        <v>11273</v>
      </c>
      <c r="O1397" t="s">
        <v>1003</v>
      </c>
      <c r="P1397">
        <v>52937531</v>
      </c>
    </row>
    <row r="1398" spans="1:16" x14ac:dyDescent="0.35">
      <c r="A1398">
        <v>93827212523</v>
      </c>
      <c r="C1398" s="2" t="s">
        <v>883</v>
      </c>
      <c r="D1398">
        <v>3</v>
      </c>
      <c r="E1398">
        <v>76891213351</v>
      </c>
      <c r="F1398">
        <f t="shared" ca="1" si="42"/>
        <v>98</v>
      </c>
      <c r="G1398">
        <f ca="1">VLOOKUP(E1398,PurchItem!$A$2:$H$508,8,0)</f>
        <v>9428.1968109971458</v>
      </c>
      <c r="H1398">
        <v>0.06</v>
      </c>
      <c r="I1398" t="s">
        <v>244</v>
      </c>
      <c r="J1398" s="5">
        <v>44587.594524409724</v>
      </c>
      <c r="K1398" s="5">
        <v>44588.189048819448</v>
      </c>
      <c r="M1398">
        <f t="shared" si="43"/>
        <v>10029727753</v>
      </c>
      <c r="N1398">
        <f ca="1">IF(M1398&lt;&gt;M1397,INDEX(CustInfo!$A$2:$A$1001,RANDBETWEEN(1,1000)),N1397)</f>
        <v>11273</v>
      </c>
      <c r="O1398" t="s">
        <v>1003</v>
      </c>
      <c r="P1398">
        <v>52937532</v>
      </c>
    </row>
    <row r="1399" spans="1:16" x14ac:dyDescent="0.35">
      <c r="A1399">
        <v>93827212523</v>
      </c>
      <c r="C1399" s="2" t="s">
        <v>883</v>
      </c>
      <c r="D1399">
        <v>4</v>
      </c>
      <c r="E1399">
        <v>76891213618</v>
      </c>
      <c r="F1399">
        <f t="shared" ca="1" si="42"/>
        <v>68</v>
      </c>
      <c r="G1399">
        <f ca="1">VLOOKUP(E1399,PurchItem!$A$2:$H$508,8,0)</f>
        <v>3216.4328612514669</v>
      </c>
      <c r="H1399">
        <v>0.05</v>
      </c>
      <c r="I1399" t="s">
        <v>244</v>
      </c>
      <c r="J1399" s="5">
        <v>44989.594524409724</v>
      </c>
      <c r="K1399" s="5">
        <v>44991.189048819448</v>
      </c>
      <c r="M1399">
        <f t="shared" si="43"/>
        <v>10029727753</v>
      </c>
      <c r="N1399">
        <f ca="1">IF(M1399&lt;&gt;M1398,INDEX(CustInfo!$A$2:$A$1001,RANDBETWEEN(1,1000)),N1398)</f>
        <v>11273</v>
      </c>
      <c r="O1399" t="s">
        <v>1003</v>
      </c>
      <c r="P1399">
        <v>52937533</v>
      </c>
    </row>
    <row r="1400" spans="1:16" x14ac:dyDescent="0.35">
      <c r="A1400">
        <v>93827212524</v>
      </c>
      <c r="C1400" s="2" t="s">
        <v>883</v>
      </c>
      <c r="D1400">
        <v>1</v>
      </c>
      <c r="E1400">
        <v>76891213485</v>
      </c>
      <c r="F1400">
        <f t="shared" ca="1" si="42"/>
        <v>64</v>
      </c>
      <c r="G1400">
        <f ca="1">VLOOKUP(E1400,PurchItem!$A$2:$H$508,8,0)</f>
        <v>2807.3759282410369</v>
      </c>
      <c r="H1400">
        <v>0.06</v>
      </c>
      <c r="I1400" t="s">
        <v>244</v>
      </c>
      <c r="J1400" s="5">
        <v>45507.594524409724</v>
      </c>
      <c r="K1400" s="5">
        <v>45509.189048819448</v>
      </c>
      <c r="M1400">
        <f t="shared" si="43"/>
        <v>10029727754</v>
      </c>
      <c r="N1400">
        <f ca="1">IF(M1400&lt;&gt;M1399,INDEX(CustInfo!$A$2:$A$1001,RANDBETWEEN(1,1000)),N1399)</f>
        <v>11707</v>
      </c>
      <c r="O1400" t="s">
        <v>1003</v>
      </c>
      <c r="P1400">
        <v>52937534</v>
      </c>
    </row>
    <row r="1401" spans="1:16" x14ac:dyDescent="0.35">
      <c r="A1401">
        <v>93827212524</v>
      </c>
      <c r="C1401" s="2" t="s">
        <v>883</v>
      </c>
      <c r="D1401">
        <v>2</v>
      </c>
      <c r="E1401">
        <v>76891213145</v>
      </c>
      <c r="F1401">
        <f t="shared" ca="1" si="42"/>
        <v>63</v>
      </c>
      <c r="G1401">
        <f ca="1">VLOOKUP(E1401,PurchItem!$A$2:$H$508,8,0)</f>
        <v>9273.3061751805526</v>
      </c>
      <c r="H1401">
        <v>0.04</v>
      </c>
      <c r="I1401" t="s">
        <v>244</v>
      </c>
      <c r="J1401" s="5">
        <v>44649.594524409724</v>
      </c>
      <c r="K1401" s="5">
        <v>44652.189048819448</v>
      </c>
      <c r="M1401">
        <f t="shared" si="43"/>
        <v>10029727754</v>
      </c>
      <c r="N1401">
        <f ca="1">IF(M1401&lt;&gt;M1400,INDEX(CustInfo!$A$2:$A$1001,RANDBETWEEN(1,1000)),N1400)</f>
        <v>11707</v>
      </c>
      <c r="O1401" t="s">
        <v>1003</v>
      </c>
      <c r="P1401">
        <v>52937535</v>
      </c>
    </row>
    <row r="1402" spans="1:16" x14ac:dyDescent="0.35">
      <c r="A1402">
        <v>93827212525</v>
      </c>
      <c r="C1402" s="2" t="s">
        <v>883</v>
      </c>
      <c r="D1402">
        <v>1</v>
      </c>
      <c r="E1402">
        <v>76891213524</v>
      </c>
      <c r="F1402">
        <f t="shared" ca="1" si="42"/>
        <v>58</v>
      </c>
      <c r="G1402">
        <f ca="1">VLOOKUP(E1402,PurchItem!$A$2:$H$508,8,0)</f>
        <v>2987.1429372726939</v>
      </c>
      <c r="H1402">
        <v>0.06</v>
      </c>
      <c r="I1402" t="s">
        <v>244</v>
      </c>
      <c r="J1402" s="5">
        <v>44960.594524409724</v>
      </c>
      <c r="K1402" s="5">
        <v>44964.189048819448</v>
      </c>
      <c r="M1402">
        <f t="shared" si="43"/>
        <v>10029727755</v>
      </c>
      <c r="N1402">
        <f ca="1">IF(M1402&lt;&gt;M1401,INDEX(CustInfo!$A$2:$A$1001,RANDBETWEEN(1,1000)),N1401)</f>
        <v>11709</v>
      </c>
      <c r="O1402" t="s">
        <v>1001</v>
      </c>
      <c r="P1402">
        <v>52937536</v>
      </c>
    </row>
    <row r="1403" spans="1:16" x14ac:dyDescent="0.35">
      <c r="A1403">
        <v>93827212525</v>
      </c>
      <c r="C1403" s="2" t="s">
        <v>883</v>
      </c>
      <c r="D1403">
        <v>2</v>
      </c>
      <c r="E1403">
        <v>76891213271</v>
      </c>
      <c r="F1403">
        <f t="shared" ca="1" si="42"/>
        <v>64</v>
      </c>
      <c r="G1403">
        <f ca="1">VLOOKUP(E1403,PurchItem!$A$2:$H$508,8,0)</f>
        <v>2763.8336375941471</v>
      </c>
      <c r="H1403">
        <v>0.06</v>
      </c>
      <c r="I1403" t="s">
        <v>244</v>
      </c>
      <c r="J1403" s="5">
        <v>45236.594524409724</v>
      </c>
      <c r="K1403" s="5">
        <v>45240.189048819448</v>
      </c>
      <c r="M1403">
        <f t="shared" si="43"/>
        <v>10029727755</v>
      </c>
      <c r="N1403">
        <f ca="1">IF(M1403&lt;&gt;M1402,INDEX(CustInfo!$A$2:$A$1001,RANDBETWEEN(1,1000)),N1402)</f>
        <v>11709</v>
      </c>
      <c r="O1403" t="s">
        <v>1001</v>
      </c>
      <c r="P1403">
        <v>52937537</v>
      </c>
    </row>
    <row r="1404" spans="1:16" x14ac:dyDescent="0.35">
      <c r="A1404">
        <v>93827212525</v>
      </c>
      <c r="C1404" s="2" t="s">
        <v>883</v>
      </c>
      <c r="D1404">
        <v>3</v>
      </c>
      <c r="E1404">
        <v>76891213236</v>
      </c>
      <c r="F1404">
        <f t="shared" ca="1" si="42"/>
        <v>71</v>
      </c>
      <c r="G1404">
        <f ca="1">VLOOKUP(E1404,PurchItem!$A$2:$H$508,8,0)</f>
        <v>7957.9636559697883</v>
      </c>
      <c r="H1404">
        <v>0.04</v>
      </c>
      <c r="I1404" t="s">
        <v>244</v>
      </c>
      <c r="J1404" s="5">
        <v>44867.594524409724</v>
      </c>
      <c r="K1404" s="5">
        <v>44870.189048819448</v>
      </c>
      <c r="M1404">
        <f t="shared" si="43"/>
        <v>10029727755</v>
      </c>
      <c r="N1404">
        <f ca="1">IF(M1404&lt;&gt;M1403,INDEX(CustInfo!$A$2:$A$1001,RANDBETWEEN(1,1000)),N1403)</f>
        <v>11709</v>
      </c>
      <c r="O1404" t="s">
        <v>1001</v>
      </c>
      <c r="P1404">
        <v>52937538</v>
      </c>
    </row>
    <row r="1405" spans="1:16" x14ac:dyDescent="0.35">
      <c r="A1405">
        <v>93827212525</v>
      </c>
      <c r="C1405" s="2" t="s">
        <v>883</v>
      </c>
      <c r="D1405">
        <v>4</v>
      </c>
      <c r="E1405">
        <v>76891213535</v>
      </c>
      <c r="F1405">
        <f t="shared" ca="1" si="42"/>
        <v>84</v>
      </c>
      <c r="G1405">
        <f ca="1">VLOOKUP(E1405,PurchItem!$A$2:$H$508,8,0)</f>
        <v>468.81906553927877</v>
      </c>
      <c r="H1405">
        <v>0.04</v>
      </c>
      <c r="I1405" t="s">
        <v>244</v>
      </c>
      <c r="J1405" s="5">
        <v>45233.594524409724</v>
      </c>
      <c r="K1405" s="5">
        <v>45237.189048819448</v>
      </c>
      <c r="M1405">
        <f t="shared" si="43"/>
        <v>10029727755</v>
      </c>
      <c r="N1405">
        <f ca="1">IF(M1405&lt;&gt;M1404,INDEX(CustInfo!$A$2:$A$1001,RANDBETWEEN(1,1000)),N1404)</f>
        <v>11709</v>
      </c>
      <c r="O1405" t="s">
        <v>1001</v>
      </c>
      <c r="P1405">
        <v>52937539</v>
      </c>
    </row>
    <row r="1406" spans="1:16" x14ac:dyDescent="0.35">
      <c r="A1406">
        <v>93827212526</v>
      </c>
      <c r="C1406" s="2" t="s">
        <v>883</v>
      </c>
      <c r="D1406">
        <v>1</v>
      </c>
      <c r="E1406">
        <v>76891213404</v>
      </c>
      <c r="F1406">
        <f t="shared" ca="1" si="42"/>
        <v>43</v>
      </c>
      <c r="G1406">
        <f ca="1">VLOOKUP(E1406,PurchItem!$A$2:$H$508,8,0)</f>
        <v>5161.7096589652265</v>
      </c>
      <c r="H1406">
        <v>0.06</v>
      </c>
      <c r="I1406" t="s">
        <v>244</v>
      </c>
      <c r="J1406" s="5">
        <v>44626.594524409724</v>
      </c>
      <c r="K1406" s="5">
        <v>44627.189048819448</v>
      </c>
      <c r="M1406">
        <f t="shared" si="43"/>
        <v>10029727756</v>
      </c>
      <c r="N1406">
        <f ca="1">IF(M1406&lt;&gt;M1405,INDEX(CustInfo!$A$2:$A$1001,RANDBETWEEN(1,1000)),N1405)</f>
        <v>11446</v>
      </c>
      <c r="O1406" t="s">
        <v>1003</v>
      </c>
      <c r="P1406">
        <v>52937540</v>
      </c>
    </row>
    <row r="1407" spans="1:16" x14ac:dyDescent="0.35">
      <c r="A1407">
        <v>93827212526</v>
      </c>
      <c r="C1407" s="2" t="s">
        <v>883</v>
      </c>
      <c r="D1407">
        <v>2</v>
      </c>
      <c r="E1407">
        <v>76891213346</v>
      </c>
      <c r="F1407">
        <f t="shared" ca="1" si="42"/>
        <v>48</v>
      </c>
      <c r="G1407">
        <f ca="1">VLOOKUP(E1407,PurchItem!$A$2:$H$508,8,0)</f>
        <v>7319.6019842468886</v>
      </c>
      <c r="H1407">
        <v>0.04</v>
      </c>
      <c r="I1407" t="s">
        <v>244</v>
      </c>
      <c r="J1407" s="5">
        <v>44718.594524409724</v>
      </c>
      <c r="K1407" s="5">
        <v>44722.189048819448</v>
      </c>
      <c r="M1407">
        <f t="shared" si="43"/>
        <v>10029727756</v>
      </c>
      <c r="N1407">
        <f ca="1">IF(M1407&lt;&gt;M1406,INDEX(CustInfo!$A$2:$A$1001,RANDBETWEEN(1,1000)),N1406)</f>
        <v>11446</v>
      </c>
      <c r="O1407" t="s">
        <v>1003</v>
      </c>
      <c r="P1407">
        <v>52937541</v>
      </c>
    </row>
    <row r="1408" spans="1:16" x14ac:dyDescent="0.35">
      <c r="A1408">
        <v>93827212527</v>
      </c>
      <c r="C1408" s="2" t="s">
        <v>883</v>
      </c>
      <c r="D1408">
        <v>1</v>
      </c>
      <c r="E1408">
        <v>76891213254</v>
      </c>
      <c r="F1408">
        <f t="shared" ca="1" si="42"/>
        <v>9</v>
      </c>
      <c r="G1408">
        <f ca="1">VLOOKUP(E1408,PurchItem!$A$2:$H$508,8,0)</f>
        <v>8238.8569065705833</v>
      </c>
      <c r="H1408">
        <v>0.06</v>
      </c>
      <c r="I1408" t="s">
        <v>244</v>
      </c>
      <c r="J1408" s="5">
        <v>45352.594524409724</v>
      </c>
      <c r="K1408" s="5">
        <v>45356.189048819448</v>
      </c>
      <c r="M1408">
        <f t="shared" si="43"/>
        <v>10029727757</v>
      </c>
      <c r="N1408">
        <f ca="1">IF(M1408&lt;&gt;M1407,INDEX(CustInfo!$A$2:$A$1001,RANDBETWEEN(1,1000)),N1407)</f>
        <v>11761</v>
      </c>
      <c r="O1408" t="s">
        <v>1001</v>
      </c>
      <c r="P1408">
        <v>52937542</v>
      </c>
    </row>
    <row r="1409" spans="1:16" x14ac:dyDescent="0.35">
      <c r="A1409">
        <v>93827212527</v>
      </c>
      <c r="C1409" s="2" t="s">
        <v>883</v>
      </c>
      <c r="D1409">
        <v>2</v>
      </c>
      <c r="E1409">
        <v>76891213245</v>
      </c>
      <c r="F1409">
        <f t="shared" ca="1" si="42"/>
        <v>51</v>
      </c>
      <c r="G1409">
        <f ca="1">VLOOKUP(E1409,PurchItem!$A$2:$H$508,8,0)</f>
        <v>4529.342003374114</v>
      </c>
      <c r="H1409">
        <v>0.04</v>
      </c>
      <c r="I1409" t="s">
        <v>244</v>
      </c>
      <c r="J1409" s="5">
        <v>44737.594524409724</v>
      </c>
      <c r="K1409" s="5">
        <v>44741.189048819448</v>
      </c>
      <c r="M1409">
        <f t="shared" si="43"/>
        <v>10029727757</v>
      </c>
      <c r="N1409">
        <f ca="1">IF(M1409&lt;&gt;M1408,INDEX(CustInfo!$A$2:$A$1001,RANDBETWEEN(1,1000)),N1408)</f>
        <v>11761</v>
      </c>
      <c r="O1409" t="s">
        <v>1001</v>
      </c>
      <c r="P1409">
        <v>52937543</v>
      </c>
    </row>
    <row r="1410" spans="1:16" x14ac:dyDescent="0.35">
      <c r="A1410">
        <v>93827212527</v>
      </c>
      <c r="C1410" s="2" t="s">
        <v>883</v>
      </c>
      <c r="D1410">
        <v>3</v>
      </c>
      <c r="E1410">
        <v>76891213488</v>
      </c>
      <c r="F1410">
        <f t="shared" ca="1" si="42"/>
        <v>39</v>
      </c>
      <c r="G1410">
        <f ca="1">VLOOKUP(E1410,PurchItem!$A$2:$H$508,8,0)</f>
        <v>5393.4804222875409</v>
      </c>
      <c r="H1410">
        <v>0.04</v>
      </c>
      <c r="I1410" t="s">
        <v>244</v>
      </c>
      <c r="J1410" s="5">
        <v>45169.594524409724</v>
      </c>
      <c r="K1410" s="5">
        <v>45172.189048819448</v>
      </c>
      <c r="M1410">
        <f t="shared" si="43"/>
        <v>10029727757</v>
      </c>
      <c r="N1410">
        <f ca="1">IF(M1410&lt;&gt;M1409,INDEX(CustInfo!$A$2:$A$1001,RANDBETWEEN(1,1000)),N1409)</f>
        <v>11761</v>
      </c>
      <c r="O1410" t="s">
        <v>1001</v>
      </c>
      <c r="P1410">
        <v>52937544</v>
      </c>
    </row>
    <row r="1411" spans="1:16" x14ac:dyDescent="0.35">
      <c r="A1411">
        <v>93827212528</v>
      </c>
      <c r="C1411" s="2" t="s">
        <v>883</v>
      </c>
      <c r="D1411">
        <v>1</v>
      </c>
      <c r="E1411">
        <v>76891213248</v>
      </c>
      <c r="F1411">
        <f t="shared" ref="F1411:F1474" ca="1" si="44">RANDBETWEEN(1,100)</f>
        <v>48</v>
      </c>
      <c r="G1411">
        <f ca="1">VLOOKUP(E1411,PurchItem!$A$2:$H$508,8,0)</f>
        <v>7373.7414077764288</v>
      </c>
      <c r="H1411">
        <v>0.04</v>
      </c>
      <c r="I1411" t="s">
        <v>244</v>
      </c>
      <c r="J1411" s="5">
        <v>44634.594524409724</v>
      </c>
      <c r="K1411" s="5">
        <v>44637.189048819448</v>
      </c>
      <c r="M1411">
        <f t="shared" si="43"/>
        <v>10029727758</v>
      </c>
      <c r="N1411">
        <f ca="1">IF(M1411&lt;&gt;M1410,INDEX(CustInfo!$A$2:$A$1001,RANDBETWEEN(1,1000)),N1410)</f>
        <v>11176</v>
      </c>
      <c r="O1411" t="s">
        <v>1002</v>
      </c>
      <c r="P1411">
        <v>52937545</v>
      </c>
    </row>
    <row r="1412" spans="1:16" x14ac:dyDescent="0.35">
      <c r="A1412">
        <v>93827212529</v>
      </c>
      <c r="C1412" s="2" t="s">
        <v>883</v>
      </c>
      <c r="D1412">
        <v>1</v>
      </c>
      <c r="E1412">
        <v>76891213364</v>
      </c>
      <c r="F1412">
        <f t="shared" ca="1" si="44"/>
        <v>18</v>
      </c>
      <c r="G1412">
        <f ca="1">VLOOKUP(E1412,PurchItem!$A$2:$H$508,8,0)</f>
        <v>7469.4625439319479</v>
      </c>
      <c r="H1412">
        <v>0.04</v>
      </c>
      <c r="I1412" t="s">
        <v>244</v>
      </c>
      <c r="J1412" s="5">
        <v>44738.594524409724</v>
      </c>
      <c r="K1412" s="5">
        <v>44739.189048819448</v>
      </c>
      <c r="M1412">
        <f t="shared" si="43"/>
        <v>10029727759</v>
      </c>
      <c r="N1412">
        <f ca="1">IF(M1412&lt;&gt;M1411,INDEX(CustInfo!$A$2:$A$1001,RANDBETWEEN(1,1000)),N1411)</f>
        <v>11312</v>
      </c>
      <c r="O1412" t="s">
        <v>1002</v>
      </c>
      <c r="P1412">
        <v>52937546</v>
      </c>
    </row>
    <row r="1413" spans="1:16" x14ac:dyDescent="0.35">
      <c r="A1413">
        <v>93827212529</v>
      </c>
      <c r="C1413" s="2" t="s">
        <v>883</v>
      </c>
      <c r="D1413">
        <v>2</v>
      </c>
      <c r="E1413">
        <v>76891213216</v>
      </c>
      <c r="F1413">
        <f t="shared" ca="1" si="44"/>
        <v>65</v>
      </c>
      <c r="G1413">
        <f ca="1">VLOOKUP(E1413,PurchItem!$A$2:$H$508,8,0)</f>
        <v>8641.0792627268274</v>
      </c>
      <c r="H1413">
        <v>0.05</v>
      </c>
      <c r="I1413" t="s">
        <v>244</v>
      </c>
      <c r="J1413" s="5">
        <v>44588.594524409724</v>
      </c>
      <c r="K1413" s="5">
        <v>44589.189048819448</v>
      </c>
      <c r="M1413">
        <f t="shared" ref="M1413:M1476" si="45">IF(A1413&lt;&gt;A1412,M1412+1,M1412)</f>
        <v>10029727759</v>
      </c>
      <c r="N1413">
        <f ca="1">IF(M1413&lt;&gt;M1412,INDEX(CustInfo!$A$2:$A$1001,RANDBETWEEN(1,1000)),N1412)</f>
        <v>11312</v>
      </c>
      <c r="O1413" t="s">
        <v>1002</v>
      </c>
      <c r="P1413">
        <v>52937547</v>
      </c>
    </row>
    <row r="1414" spans="1:16" x14ac:dyDescent="0.35">
      <c r="A1414">
        <v>93827212530</v>
      </c>
      <c r="C1414" s="2" t="s">
        <v>883</v>
      </c>
      <c r="D1414">
        <v>1</v>
      </c>
      <c r="E1414">
        <v>76891213495</v>
      </c>
      <c r="F1414">
        <f t="shared" ca="1" si="44"/>
        <v>26</v>
      </c>
      <c r="G1414">
        <f ca="1">VLOOKUP(E1414,PurchItem!$A$2:$H$508,8,0)</f>
        <v>585.8593523174676</v>
      </c>
      <c r="H1414">
        <v>0.06</v>
      </c>
      <c r="I1414" t="s">
        <v>244</v>
      </c>
      <c r="J1414" s="5">
        <v>45276.594524409724</v>
      </c>
      <c r="K1414" s="5">
        <v>45280.189048819448</v>
      </c>
      <c r="M1414">
        <f t="shared" si="45"/>
        <v>10029727760</v>
      </c>
      <c r="N1414">
        <f ca="1">IF(M1414&lt;&gt;M1413,INDEX(CustInfo!$A$2:$A$1001,RANDBETWEEN(1,1000)),N1413)</f>
        <v>11120</v>
      </c>
      <c r="O1414" t="s">
        <v>1003</v>
      </c>
      <c r="P1414">
        <v>52937548</v>
      </c>
    </row>
    <row r="1415" spans="1:16" x14ac:dyDescent="0.35">
      <c r="A1415">
        <v>93827212531</v>
      </c>
      <c r="C1415" s="2" t="s">
        <v>883</v>
      </c>
      <c r="D1415">
        <v>1</v>
      </c>
      <c r="E1415">
        <v>76891213184</v>
      </c>
      <c r="F1415">
        <f t="shared" ca="1" si="44"/>
        <v>70</v>
      </c>
      <c r="G1415">
        <f ca="1">VLOOKUP(E1415,PurchItem!$A$2:$H$508,8,0)</f>
        <v>5805.1190284202921</v>
      </c>
      <c r="H1415">
        <v>0.04</v>
      </c>
      <c r="I1415" t="s">
        <v>244</v>
      </c>
      <c r="J1415" s="5">
        <v>45399.594524409724</v>
      </c>
      <c r="K1415" s="5">
        <v>45402.189048819448</v>
      </c>
      <c r="M1415">
        <f t="shared" si="45"/>
        <v>10029727761</v>
      </c>
      <c r="N1415">
        <f ca="1">IF(M1415&lt;&gt;M1414,INDEX(CustInfo!$A$2:$A$1001,RANDBETWEEN(1,1000)),N1414)</f>
        <v>11654</v>
      </c>
      <c r="O1415" t="s">
        <v>1002</v>
      </c>
      <c r="P1415">
        <v>52937549</v>
      </c>
    </row>
    <row r="1416" spans="1:16" x14ac:dyDescent="0.35">
      <c r="A1416">
        <v>93827212531</v>
      </c>
      <c r="C1416" s="2" t="s">
        <v>883</v>
      </c>
      <c r="D1416">
        <v>2</v>
      </c>
      <c r="E1416">
        <v>76891213186</v>
      </c>
      <c r="F1416">
        <f t="shared" ca="1" si="44"/>
        <v>38</v>
      </c>
      <c r="G1416">
        <f ca="1">VLOOKUP(E1416,PurchItem!$A$2:$H$508,8,0)</f>
        <v>9814.0624540391254</v>
      </c>
      <c r="H1416">
        <v>0.06</v>
      </c>
      <c r="I1416" t="s">
        <v>244</v>
      </c>
      <c r="J1416" s="5">
        <v>44610.594524409724</v>
      </c>
      <c r="K1416" s="5">
        <v>44612.189048819448</v>
      </c>
      <c r="M1416">
        <f t="shared" si="45"/>
        <v>10029727761</v>
      </c>
      <c r="N1416">
        <f ca="1">IF(M1416&lt;&gt;M1415,INDEX(CustInfo!$A$2:$A$1001,RANDBETWEEN(1,1000)),N1415)</f>
        <v>11654</v>
      </c>
      <c r="O1416" t="s">
        <v>1002</v>
      </c>
      <c r="P1416">
        <v>52937550</v>
      </c>
    </row>
    <row r="1417" spans="1:16" x14ac:dyDescent="0.35">
      <c r="A1417">
        <v>93827212532</v>
      </c>
      <c r="C1417" s="2" t="s">
        <v>883</v>
      </c>
      <c r="D1417">
        <v>1</v>
      </c>
      <c r="E1417">
        <v>76891213279</v>
      </c>
      <c r="F1417">
        <f t="shared" ca="1" si="44"/>
        <v>49</v>
      </c>
      <c r="G1417">
        <f ca="1">VLOOKUP(E1417,PurchItem!$A$2:$H$508,8,0)</f>
        <v>4031.2930953409268</v>
      </c>
      <c r="H1417">
        <v>0.06</v>
      </c>
      <c r="I1417" t="s">
        <v>244</v>
      </c>
      <c r="J1417" s="5">
        <v>44977.594524409724</v>
      </c>
      <c r="K1417" s="5">
        <v>44981.189048819448</v>
      </c>
      <c r="M1417">
        <f t="shared" si="45"/>
        <v>10029727762</v>
      </c>
      <c r="N1417">
        <f ca="1">IF(M1417&lt;&gt;M1416,INDEX(CustInfo!$A$2:$A$1001,RANDBETWEEN(1,1000)),N1416)</f>
        <v>11120</v>
      </c>
      <c r="O1417" t="s">
        <v>1003</v>
      </c>
      <c r="P1417">
        <v>52937551</v>
      </c>
    </row>
    <row r="1418" spans="1:16" x14ac:dyDescent="0.35">
      <c r="A1418">
        <v>93827212532</v>
      </c>
      <c r="C1418" s="2" t="s">
        <v>883</v>
      </c>
      <c r="D1418">
        <v>2</v>
      </c>
      <c r="E1418">
        <v>76891213160</v>
      </c>
      <c r="F1418">
        <f t="shared" ca="1" si="44"/>
        <v>89</v>
      </c>
      <c r="G1418">
        <f ca="1">VLOOKUP(E1418,PurchItem!$A$2:$H$508,8,0)</f>
        <v>8462.9770245013115</v>
      </c>
      <c r="H1418">
        <v>0.04</v>
      </c>
      <c r="I1418" t="s">
        <v>244</v>
      </c>
      <c r="J1418" s="5">
        <v>44705.594524409724</v>
      </c>
      <c r="K1418" s="5">
        <v>44709.189048819448</v>
      </c>
      <c r="M1418">
        <f t="shared" si="45"/>
        <v>10029727762</v>
      </c>
      <c r="N1418">
        <f ca="1">IF(M1418&lt;&gt;M1417,INDEX(CustInfo!$A$2:$A$1001,RANDBETWEEN(1,1000)),N1417)</f>
        <v>11120</v>
      </c>
      <c r="O1418" t="s">
        <v>1003</v>
      </c>
      <c r="P1418">
        <v>52937552</v>
      </c>
    </row>
    <row r="1419" spans="1:16" x14ac:dyDescent="0.35">
      <c r="A1419">
        <v>93827212533</v>
      </c>
      <c r="C1419" s="2" t="s">
        <v>883</v>
      </c>
      <c r="D1419">
        <v>1</v>
      </c>
      <c r="E1419">
        <v>76891213247</v>
      </c>
      <c r="F1419">
        <f t="shared" ca="1" si="44"/>
        <v>49</v>
      </c>
      <c r="G1419">
        <f ca="1">VLOOKUP(E1419,PurchItem!$A$2:$H$508,8,0)</f>
        <v>6755.835133399748</v>
      </c>
      <c r="H1419">
        <v>0.06</v>
      </c>
      <c r="I1419" t="s">
        <v>244</v>
      </c>
      <c r="J1419" s="5">
        <v>45270.594524409724</v>
      </c>
      <c r="K1419" s="5">
        <v>45274.189048819448</v>
      </c>
      <c r="M1419">
        <f t="shared" si="45"/>
        <v>10029727763</v>
      </c>
      <c r="N1419">
        <f ca="1">IF(M1419&lt;&gt;M1418,INDEX(CustInfo!$A$2:$A$1001,RANDBETWEEN(1,1000)),N1418)</f>
        <v>11947</v>
      </c>
      <c r="O1419" t="s">
        <v>1002</v>
      </c>
      <c r="P1419">
        <v>52937553</v>
      </c>
    </row>
    <row r="1420" spans="1:16" x14ac:dyDescent="0.35">
      <c r="A1420">
        <v>93827212533</v>
      </c>
      <c r="C1420" s="2" t="s">
        <v>883</v>
      </c>
      <c r="D1420">
        <v>2</v>
      </c>
      <c r="E1420">
        <v>76891213579</v>
      </c>
      <c r="F1420">
        <f t="shared" ca="1" si="44"/>
        <v>91</v>
      </c>
      <c r="G1420">
        <f ca="1">VLOOKUP(E1420,PurchItem!$A$2:$H$508,8,0)</f>
        <v>7916.3108134357099</v>
      </c>
      <c r="H1420">
        <v>0.04</v>
      </c>
      <c r="I1420" t="s">
        <v>244</v>
      </c>
      <c r="J1420" s="5">
        <v>45026.594524409724</v>
      </c>
      <c r="K1420" s="5">
        <v>45029.189048819448</v>
      </c>
      <c r="M1420">
        <f t="shared" si="45"/>
        <v>10029727763</v>
      </c>
      <c r="N1420">
        <f ca="1">IF(M1420&lt;&gt;M1419,INDEX(CustInfo!$A$2:$A$1001,RANDBETWEEN(1,1000)),N1419)</f>
        <v>11947</v>
      </c>
      <c r="O1420" t="s">
        <v>1002</v>
      </c>
      <c r="P1420">
        <v>52937554</v>
      </c>
    </row>
    <row r="1421" spans="1:16" x14ac:dyDescent="0.35">
      <c r="A1421">
        <v>93827212533</v>
      </c>
      <c r="C1421" s="2" t="s">
        <v>883</v>
      </c>
      <c r="D1421">
        <v>3</v>
      </c>
      <c r="E1421">
        <v>76891213172</v>
      </c>
      <c r="F1421">
        <f t="shared" ca="1" si="44"/>
        <v>43</v>
      </c>
      <c r="G1421">
        <f ca="1">VLOOKUP(E1421,PurchItem!$A$2:$H$508,8,0)</f>
        <v>942.3837622618131</v>
      </c>
      <c r="H1421">
        <v>0.05</v>
      </c>
      <c r="I1421" t="s">
        <v>244</v>
      </c>
      <c r="J1421" s="5">
        <v>44882.594524409724</v>
      </c>
      <c r="K1421" s="5">
        <v>44885.189048819448</v>
      </c>
      <c r="M1421">
        <f t="shared" si="45"/>
        <v>10029727763</v>
      </c>
      <c r="N1421">
        <f ca="1">IF(M1421&lt;&gt;M1420,INDEX(CustInfo!$A$2:$A$1001,RANDBETWEEN(1,1000)),N1420)</f>
        <v>11947</v>
      </c>
      <c r="O1421" t="s">
        <v>1002</v>
      </c>
      <c r="P1421">
        <v>52937555</v>
      </c>
    </row>
    <row r="1422" spans="1:16" x14ac:dyDescent="0.35">
      <c r="A1422">
        <v>93827212534</v>
      </c>
      <c r="C1422" s="2" t="s">
        <v>883</v>
      </c>
      <c r="D1422">
        <v>1</v>
      </c>
      <c r="E1422">
        <v>76891213168</v>
      </c>
      <c r="F1422">
        <f t="shared" ca="1" si="44"/>
        <v>62</v>
      </c>
      <c r="G1422">
        <f ca="1">VLOOKUP(E1422,PurchItem!$A$2:$H$508,8,0)</f>
        <v>1428.4461535663661</v>
      </c>
      <c r="H1422">
        <v>0.06</v>
      </c>
      <c r="I1422" t="s">
        <v>244</v>
      </c>
      <c r="J1422" s="5">
        <v>45173.594524409724</v>
      </c>
      <c r="K1422" s="5">
        <v>45174.189048819448</v>
      </c>
      <c r="M1422">
        <f t="shared" si="45"/>
        <v>10029727764</v>
      </c>
      <c r="N1422">
        <f ca="1">IF(M1422&lt;&gt;M1421,INDEX(CustInfo!$A$2:$A$1001,RANDBETWEEN(1,1000)),N1421)</f>
        <v>11577</v>
      </c>
      <c r="O1422" t="s">
        <v>1002</v>
      </c>
      <c r="P1422">
        <v>52937556</v>
      </c>
    </row>
    <row r="1423" spans="1:16" x14ac:dyDescent="0.35">
      <c r="A1423">
        <v>93827212534</v>
      </c>
      <c r="C1423" s="2" t="s">
        <v>883</v>
      </c>
      <c r="D1423">
        <v>2</v>
      </c>
      <c r="E1423">
        <v>76891213249</v>
      </c>
      <c r="F1423">
        <f t="shared" ca="1" si="44"/>
        <v>64</v>
      </c>
      <c r="G1423">
        <f ca="1">VLOOKUP(E1423,PurchItem!$A$2:$H$508,8,0)</f>
        <v>8086.2832587876792</v>
      </c>
      <c r="H1423">
        <v>0.06</v>
      </c>
      <c r="I1423" t="s">
        <v>244</v>
      </c>
      <c r="J1423" s="5">
        <v>44976.594524409724</v>
      </c>
      <c r="K1423" s="5">
        <v>44979.189048819448</v>
      </c>
      <c r="M1423">
        <f t="shared" si="45"/>
        <v>10029727764</v>
      </c>
      <c r="N1423">
        <f ca="1">IF(M1423&lt;&gt;M1422,INDEX(CustInfo!$A$2:$A$1001,RANDBETWEEN(1,1000)),N1422)</f>
        <v>11577</v>
      </c>
      <c r="O1423" t="s">
        <v>1002</v>
      </c>
      <c r="P1423">
        <v>52937557</v>
      </c>
    </row>
    <row r="1424" spans="1:16" x14ac:dyDescent="0.35">
      <c r="A1424">
        <v>93827212534</v>
      </c>
      <c r="C1424" s="2" t="s">
        <v>883</v>
      </c>
      <c r="D1424">
        <v>3</v>
      </c>
      <c r="E1424">
        <v>76891213331</v>
      </c>
      <c r="F1424">
        <f t="shared" ca="1" si="44"/>
        <v>92</v>
      </c>
      <c r="G1424">
        <f ca="1">VLOOKUP(E1424,PurchItem!$A$2:$H$508,8,0)</f>
        <v>1836.2125088946002</v>
      </c>
      <c r="H1424">
        <v>0.05</v>
      </c>
      <c r="I1424" t="s">
        <v>244</v>
      </c>
      <c r="J1424" s="5">
        <v>45461.594524409724</v>
      </c>
      <c r="K1424" s="5">
        <v>45462.189048819448</v>
      </c>
      <c r="M1424">
        <f t="shared" si="45"/>
        <v>10029727764</v>
      </c>
      <c r="N1424">
        <f ca="1">IF(M1424&lt;&gt;M1423,INDEX(CustInfo!$A$2:$A$1001,RANDBETWEEN(1,1000)),N1423)</f>
        <v>11577</v>
      </c>
      <c r="O1424" t="s">
        <v>1002</v>
      </c>
      <c r="P1424">
        <v>52937558</v>
      </c>
    </row>
    <row r="1425" spans="1:16" x14ac:dyDescent="0.35">
      <c r="A1425">
        <v>93827212535</v>
      </c>
      <c r="C1425" s="2" t="s">
        <v>883</v>
      </c>
      <c r="D1425">
        <v>1</v>
      </c>
      <c r="E1425">
        <v>76891213637</v>
      </c>
      <c r="F1425">
        <f t="shared" ca="1" si="44"/>
        <v>64</v>
      </c>
      <c r="G1425">
        <f ca="1">VLOOKUP(E1425,PurchItem!$A$2:$H$508,8,0)</f>
        <v>5862.4718067063704</v>
      </c>
      <c r="H1425">
        <v>0.04</v>
      </c>
      <c r="I1425" t="s">
        <v>244</v>
      </c>
      <c r="J1425" s="5">
        <v>45400.594524409724</v>
      </c>
      <c r="K1425" s="5">
        <v>45403.189048819448</v>
      </c>
      <c r="M1425">
        <f t="shared" si="45"/>
        <v>10029727765</v>
      </c>
      <c r="N1425">
        <f ca="1">IF(M1425&lt;&gt;M1424,INDEX(CustInfo!$A$2:$A$1001,RANDBETWEEN(1,1000)),N1424)</f>
        <v>11037</v>
      </c>
      <c r="O1425" t="s">
        <v>1003</v>
      </c>
      <c r="P1425">
        <v>52937559</v>
      </c>
    </row>
    <row r="1426" spans="1:16" x14ac:dyDescent="0.35">
      <c r="A1426">
        <v>93827212535</v>
      </c>
      <c r="C1426" s="2" t="s">
        <v>883</v>
      </c>
      <c r="D1426">
        <v>2</v>
      </c>
      <c r="E1426">
        <v>76891213145</v>
      </c>
      <c r="F1426">
        <f t="shared" ca="1" si="44"/>
        <v>81</v>
      </c>
      <c r="G1426">
        <f ca="1">VLOOKUP(E1426,PurchItem!$A$2:$H$508,8,0)</f>
        <v>9273.3061751805526</v>
      </c>
      <c r="H1426">
        <v>0.04</v>
      </c>
      <c r="I1426" t="s">
        <v>244</v>
      </c>
      <c r="J1426" s="5">
        <v>45567.594524409724</v>
      </c>
      <c r="K1426" s="5">
        <v>45571.189048819448</v>
      </c>
      <c r="M1426">
        <f t="shared" si="45"/>
        <v>10029727765</v>
      </c>
      <c r="N1426">
        <f ca="1">IF(M1426&lt;&gt;M1425,INDEX(CustInfo!$A$2:$A$1001,RANDBETWEEN(1,1000)),N1425)</f>
        <v>11037</v>
      </c>
      <c r="O1426" t="s">
        <v>1003</v>
      </c>
      <c r="P1426">
        <v>52937560</v>
      </c>
    </row>
    <row r="1427" spans="1:16" x14ac:dyDescent="0.35">
      <c r="A1427">
        <v>93827212535</v>
      </c>
      <c r="C1427" s="2" t="s">
        <v>883</v>
      </c>
      <c r="D1427">
        <v>3</v>
      </c>
      <c r="E1427">
        <v>76891213487</v>
      </c>
      <c r="F1427">
        <f t="shared" ca="1" si="44"/>
        <v>39</v>
      </c>
      <c r="G1427">
        <f ca="1">VLOOKUP(E1427,PurchItem!$A$2:$H$508,8,0)</f>
        <v>1165.8081853982208</v>
      </c>
      <c r="H1427">
        <v>0.05</v>
      </c>
      <c r="I1427" t="s">
        <v>244</v>
      </c>
      <c r="J1427" s="5">
        <v>45608.594524409724</v>
      </c>
      <c r="K1427" s="5">
        <v>45609.189048819448</v>
      </c>
      <c r="M1427">
        <f t="shared" si="45"/>
        <v>10029727765</v>
      </c>
      <c r="N1427">
        <f ca="1">IF(M1427&lt;&gt;M1426,INDEX(CustInfo!$A$2:$A$1001,RANDBETWEEN(1,1000)),N1426)</f>
        <v>11037</v>
      </c>
      <c r="O1427" t="s">
        <v>1003</v>
      </c>
      <c r="P1427">
        <v>52937561</v>
      </c>
    </row>
    <row r="1428" spans="1:16" x14ac:dyDescent="0.35">
      <c r="A1428">
        <v>93827212535</v>
      </c>
      <c r="C1428" s="2" t="s">
        <v>883</v>
      </c>
      <c r="D1428">
        <v>4</v>
      </c>
      <c r="E1428">
        <v>76891213577</v>
      </c>
      <c r="F1428">
        <f t="shared" ca="1" si="44"/>
        <v>56</v>
      </c>
      <c r="G1428">
        <f ca="1">VLOOKUP(E1428,PurchItem!$A$2:$H$508,8,0)</f>
        <v>1637.7481636374323</v>
      </c>
      <c r="H1428">
        <v>0.04</v>
      </c>
      <c r="I1428" t="s">
        <v>244</v>
      </c>
      <c r="J1428" s="5">
        <v>45128.594524409724</v>
      </c>
      <c r="K1428" s="5">
        <v>45129.189048819448</v>
      </c>
      <c r="M1428">
        <f t="shared" si="45"/>
        <v>10029727765</v>
      </c>
      <c r="N1428">
        <f ca="1">IF(M1428&lt;&gt;M1427,INDEX(CustInfo!$A$2:$A$1001,RANDBETWEEN(1,1000)),N1427)</f>
        <v>11037</v>
      </c>
      <c r="O1428" t="s">
        <v>1003</v>
      </c>
      <c r="P1428">
        <v>52937562</v>
      </c>
    </row>
    <row r="1429" spans="1:16" x14ac:dyDescent="0.35">
      <c r="A1429">
        <v>93827212536</v>
      </c>
      <c r="C1429" s="2" t="s">
        <v>883</v>
      </c>
      <c r="D1429">
        <v>1</v>
      </c>
      <c r="E1429">
        <v>76891213582</v>
      </c>
      <c r="F1429">
        <f t="shared" ca="1" si="44"/>
        <v>52</v>
      </c>
      <c r="G1429">
        <f ca="1">VLOOKUP(E1429,PurchItem!$A$2:$H$508,8,0)</f>
        <v>8124.1598690113979</v>
      </c>
      <c r="H1429">
        <v>0.06</v>
      </c>
      <c r="I1429" t="s">
        <v>244</v>
      </c>
      <c r="J1429" s="5">
        <v>45079.594524409724</v>
      </c>
      <c r="K1429" s="5">
        <v>45081.189048819448</v>
      </c>
      <c r="M1429">
        <f t="shared" si="45"/>
        <v>10029727766</v>
      </c>
      <c r="N1429">
        <f ca="1">IF(M1429&lt;&gt;M1428,INDEX(CustInfo!$A$2:$A$1001,RANDBETWEEN(1,1000)),N1428)</f>
        <v>11324</v>
      </c>
      <c r="O1429" t="s">
        <v>1001</v>
      </c>
      <c r="P1429">
        <v>52937563</v>
      </c>
    </row>
    <row r="1430" spans="1:16" x14ac:dyDescent="0.35">
      <c r="A1430">
        <v>93827212536</v>
      </c>
      <c r="C1430" s="2" t="s">
        <v>883</v>
      </c>
      <c r="D1430">
        <v>2</v>
      </c>
      <c r="E1430">
        <v>76891213305</v>
      </c>
      <c r="F1430">
        <f t="shared" ca="1" si="44"/>
        <v>41</v>
      </c>
      <c r="G1430">
        <f ca="1">VLOOKUP(E1430,PurchItem!$A$2:$H$508,8,0)</f>
        <v>7454.0016740690317</v>
      </c>
      <c r="H1430">
        <v>0.05</v>
      </c>
      <c r="I1430" t="s">
        <v>244</v>
      </c>
      <c r="J1430" s="5">
        <v>44757.594524409724</v>
      </c>
      <c r="K1430" s="5">
        <v>44759.189048819448</v>
      </c>
      <c r="M1430">
        <f t="shared" si="45"/>
        <v>10029727766</v>
      </c>
      <c r="N1430">
        <f ca="1">IF(M1430&lt;&gt;M1429,INDEX(CustInfo!$A$2:$A$1001,RANDBETWEEN(1,1000)),N1429)</f>
        <v>11324</v>
      </c>
      <c r="O1430" t="s">
        <v>1001</v>
      </c>
      <c r="P1430">
        <v>52937564</v>
      </c>
    </row>
    <row r="1431" spans="1:16" x14ac:dyDescent="0.35">
      <c r="A1431">
        <v>93827212536</v>
      </c>
      <c r="C1431" s="2" t="s">
        <v>883</v>
      </c>
      <c r="D1431">
        <v>3</v>
      </c>
      <c r="E1431">
        <v>76891213490</v>
      </c>
      <c r="F1431">
        <f t="shared" ca="1" si="44"/>
        <v>89</v>
      </c>
      <c r="G1431">
        <f ca="1">VLOOKUP(E1431,PurchItem!$A$2:$H$508,8,0)</f>
        <v>140.78264380891454</v>
      </c>
      <c r="H1431">
        <v>0.04</v>
      </c>
      <c r="I1431" t="s">
        <v>244</v>
      </c>
      <c r="J1431" s="5">
        <v>45023.594524409724</v>
      </c>
      <c r="K1431" s="5">
        <v>45024.189048819448</v>
      </c>
      <c r="M1431">
        <f t="shared" si="45"/>
        <v>10029727766</v>
      </c>
      <c r="N1431">
        <f ca="1">IF(M1431&lt;&gt;M1430,INDEX(CustInfo!$A$2:$A$1001,RANDBETWEEN(1,1000)),N1430)</f>
        <v>11324</v>
      </c>
      <c r="O1431" t="s">
        <v>1001</v>
      </c>
      <c r="P1431">
        <v>52937565</v>
      </c>
    </row>
    <row r="1432" spans="1:16" x14ac:dyDescent="0.35">
      <c r="A1432">
        <v>93827212536</v>
      </c>
      <c r="C1432" s="2" t="s">
        <v>883</v>
      </c>
      <c r="D1432">
        <v>4</v>
      </c>
      <c r="E1432">
        <v>76891213602</v>
      </c>
      <c r="F1432">
        <f t="shared" ca="1" si="44"/>
        <v>70</v>
      </c>
      <c r="G1432">
        <f ca="1">VLOOKUP(E1432,PurchItem!$A$2:$H$508,8,0)</f>
        <v>5855.41619034215</v>
      </c>
      <c r="H1432">
        <v>0.04</v>
      </c>
      <c r="I1432" t="s">
        <v>244</v>
      </c>
      <c r="J1432" s="5">
        <v>45028.594524409724</v>
      </c>
      <c r="K1432" s="5">
        <v>45032.189048819448</v>
      </c>
      <c r="M1432">
        <f t="shared" si="45"/>
        <v>10029727766</v>
      </c>
      <c r="N1432">
        <f ca="1">IF(M1432&lt;&gt;M1431,INDEX(CustInfo!$A$2:$A$1001,RANDBETWEEN(1,1000)),N1431)</f>
        <v>11324</v>
      </c>
      <c r="O1432" t="s">
        <v>1001</v>
      </c>
      <c r="P1432">
        <v>52937566</v>
      </c>
    </row>
    <row r="1433" spans="1:16" x14ac:dyDescent="0.35">
      <c r="A1433">
        <v>93827212537</v>
      </c>
      <c r="C1433" s="2" t="s">
        <v>883</v>
      </c>
      <c r="D1433">
        <v>1</v>
      </c>
      <c r="E1433">
        <v>76891213641</v>
      </c>
      <c r="F1433">
        <f t="shared" ca="1" si="44"/>
        <v>86</v>
      </c>
      <c r="G1433">
        <f ca="1">VLOOKUP(E1433,PurchItem!$A$2:$H$508,8,0)</f>
        <v>5514.86649240525</v>
      </c>
      <c r="H1433">
        <v>0.04</v>
      </c>
      <c r="I1433" t="s">
        <v>244</v>
      </c>
      <c r="J1433" s="5">
        <v>44971.594524409724</v>
      </c>
      <c r="K1433" s="5">
        <v>44975.189048819448</v>
      </c>
      <c r="M1433">
        <f t="shared" si="45"/>
        <v>10029727767</v>
      </c>
      <c r="N1433">
        <f ca="1">IF(M1433&lt;&gt;M1432,INDEX(CustInfo!$A$2:$A$1001,RANDBETWEEN(1,1000)),N1432)</f>
        <v>11905</v>
      </c>
      <c r="O1433" t="s">
        <v>1003</v>
      </c>
      <c r="P1433">
        <v>52937567</v>
      </c>
    </row>
    <row r="1434" spans="1:16" x14ac:dyDescent="0.35">
      <c r="A1434">
        <v>93827212537</v>
      </c>
      <c r="C1434" s="2" t="s">
        <v>883</v>
      </c>
      <c r="D1434">
        <v>2</v>
      </c>
      <c r="E1434">
        <v>76891213630</v>
      </c>
      <c r="F1434">
        <f t="shared" ca="1" si="44"/>
        <v>47</v>
      </c>
      <c r="G1434">
        <f ca="1">VLOOKUP(E1434,PurchItem!$A$2:$H$508,8,0)</f>
        <v>135.20849454455922</v>
      </c>
      <c r="H1434">
        <v>0.06</v>
      </c>
      <c r="I1434" t="s">
        <v>244</v>
      </c>
      <c r="J1434" s="5">
        <v>45005.594524409724</v>
      </c>
      <c r="K1434" s="5">
        <v>45007.189048819448</v>
      </c>
      <c r="M1434">
        <f t="shared" si="45"/>
        <v>10029727767</v>
      </c>
      <c r="N1434">
        <f ca="1">IF(M1434&lt;&gt;M1433,INDEX(CustInfo!$A$2:$A$1001,RANDBETWEEN(1,1000)),N1433)</f>
        <v>11905</v>
      </c>
      <c r="O1434" t="s">
        <v>1003</v>
      </c>
      <c r="P1434">
        <v>52937568</v>
      </c>
    </row>
    <row r="1435" spans="1:16" x14ac:dyDescent="0.35">
      <c r="A1435">
        <v>93827212537</v>
      </c>
      <c r="C1435" s="2" t="s">
        <v>883</v>
      </c>
      <c r="D1435">
        <v>3</v>
      </c>
      <c r="E1435">
        <v>76891213259</v>
      </c>
      <c r="F1435">
        <f t="shared" ca="1" si="44"/>
        <v>35</v>
      </c>
      <c r="G1435">
        <f ca="1">VLOOKUP(E1435,PurchItem!$A$2:$H$508,8,0)</f>
        <v>2690.2809923861096</v>
      </c>
      <c r="H1435">
        <v>0.05</v>
      </c>
      <c r="I1435" t="s">
        <v>244</v>
      </c>
      <c r="J1435" s="5">
        <v>44693.594524409724</v>
      </c>
      <c r="K1435" s="5">
        <v>44694.189048819448</v>
      </c>
      <c r="M1435">
        <f t="shared" si="45"/>
        <v>10029727767</v>
      </c>
      <c r="N1435">
        <f ca="1">IF(M1435&lt;&gt;M1434,INDEX(CustInfo!$A$2:$A$1001,RANDBETWEEN(1,1000)),N1434)</f>
        <v>11905</v>
      </c>
      <c r="O1435" t="s">
        <v>1003</v>
      </c>
      <c r="P1435">
        <v>52937569</v>
      </c>
    </row>
    <row r="1436" spans="1:16" x14ac:dyDescent="0.35">
      <c r="A1436">
        <v>93827212537</v>
      </c>
      <c r="C1436" s="2" t="s">
        <v>883</v>
      </c>
      <c r="D1436">
        <v>4</v>
      </c>
      <c r="E1436">
        <v>76891213277</v>
      </c>
      <c r="F1436">
        <f t="shared" ca="1" si="44"/>
        <v>35</v>
      </c>
      <c r="G1436">
        <f ca="1">VLOOKUP(E1436,PurchItem!$A$2:$H$508,8,0)</f>
        <v>424.15138544256627</v>
      </c>
      <c r="H1436">
        <v>0.04</v>
      </c>
      <c r="I1436" t="s">
        <v>244</v>
      </c>
      <c r="J1436" s="5">
        <v>44575.594524409724</v>
      </c>
      <c r="K1436" s="5">
        <v>44576.189048819448</v>
      </c>
      <c r="M1436">
        <f t="shared" si="45"/>
        <v>10029727767</v>
      </c>
      <c r="N1436">
        <f ca="1">IF(M1436&lt;&gt;M1435,INDEX(CustInfo!$A$2:$A$1001,RANDBETWEEN(1,1000)),N1435)</f>
        <v>11905</v>
      </c>
      <c r="O1436" t="s">
        <v>1003</v>
      </c>
      <c r="P1436">
        <v>52937570</v>
      </c>
    </row>
    <row r="1437" spans="1:16" x14ac:dyDescent="0.35">
      <c r="A1437">
        <v>93827212538</v>
      </c>
      <c r="C1437" s="2" t="s">
        <v>883</v>
      </c>
      <c r="D1437">
        <v>1</v>
      </c>
      <c r="E1437">
        <v>76891213146</v>
      </c>
      <c r="F1437">
        <f t="shared" ca="1" si="44"/>
        <v>80</v>
      </c>
      <c r="G1437">
        <f ca="1">VLOOKUP(E1437,PurchItem!$A$2:$H$508,8,0)</f>
        <v>5461.8260857472496</v>
      </c>
      <c r="H1437">
        <v>0.06</v>
      </c>
      <c r="I1437" t="s">
        <v>244</v>
      </c>
      <c r="J1437" s="5">
        <v>44916.594524409724</v>
      </c>
      <c r="K1437" s="5">
        <v>44918.189048819448</v>
      </c>
      <c r="M1437">
        <f t="shared" si="45"/>
        <v>10029727768</v>
      </c>
      <c r="N1437">
        <f ca="1">IF(M1437&lt;&gt;M1436,INDEX(CustInfo!$A$2:$A$1001,RANDBETWEEN(1,1000)),N1436)</f>
        <v>11272</v>
      </c>
      <c r="O1437" t="s">
        <v>1003</v>
      </c>
      <c r="P1437">
        <v>52937571</v>
      </c>
    </row>
    <row r="1438" spans="1:16" x14ac:dyDescent="0.35">
      <c r="A1438">
        <v>93827212538</v>
      </c>
      <c r="C1438" s="2" t="s">
        <v>883</v>
      </c>
      <c r="D1438">
        <v>2</v>
      </c>
      <c r="E1438">
        <v>76891213328</v>
      </c>
      <c r="F1438">
        <f t="shared" ca="1" si="44"/>
        <v>51</v>
      </c>
      <c r="G1438">
        <f ca="1">VLOOKUP(E1438,PurchItem!$A$2:$H$508,8,0)</f>
        <v>8932.3921588224312</v>
      </c>
      <c r="H1438">
        <v>0.05</v>
      </c>
      <c r="I1438" t="s">
        <v>244</v>
      </c>
      <c r="J1438" s="5">
        <v>45182.594524409724</v>
      </c>
      <c r="K1438" s="5">
        <v>45184.189048819448</v>
      </c>
      <c r="M1438">
        <f t="shared" si="45"/>
        <v>10029727768</v>
      </c>
      <c r="N1438">
        <f ca="1">IF(M1438&lt;&gt;M1437,INDEX(CustInfo!$A$2:$A$1001,RANDBETWEEN(1,1000)),N1437)</f>
        <v>11272</v>
      </c>
      <c r="O1438" t="s">
        <v>1003</v>
      </c>
      <c r="P1438">
        <v>52937572</v>
      </c>
    </row>
    <row r="1439" spans="1:16" x14ac:dyDescent="0.35">
      <c r="A1439">
        <v>93827212538</v>
      </c>
      <c r="C1439" s="2" t="s">
        <v>883</v>
      </c>
      <c r="D1439">
        <v>3</v>
      </c>
      <c r="E1439">
        <v>76891213515</v>
      </c>
      <c r="F1439">
        <f t="shared" ca="1" si="44"/>
        <v>67</v>
      </c>
      <c r="G1439">
        <f ca="1">VLOOKUP(E1439,PurchItem!$A$2:$H$508,8,0)</f>
        <v>7272.1358530679272</v>
      </c>
      <c r="H1439">
        <v>0.05</v>
      </c>
      <c r="I1439" t="s">
        <v>244</v>
      </c>
      <c r="J1439" s="5">
        <v>44592.594524409724</v>
      </c>
      <c r="K1439" s="5">
        <v>44593.189048819448</v>
      </c>
      <c r="M1439">
        <f t="shared" si="45"/>
        <v>10029727768</v>
      </c>
      <c r="N1439">
        <f ca="1">IF(M1439&lt;&gt;M1438,INDEX(CustInfo!$A$2:$A$1001,RANDBETWEEN(1,1000)),N1438)</f>
        <v>11272</v>
      </c>
      <c r="O1439" t="s">
        <v>1003</v>
      </c>
      <c r="P1439">
        <v>52937573</v>
      </c>
    </row>
    <row r="1440" spans="1:16" x14ac:dyDescent="0.35">
      <c r="A1440">
        <v>93827212539</v>
      </c>
      <c r="C1440" s="2" t="s">
        <v>883</v>
      </c>
      <c r="D1440">
        <v>1</v>
      </c>
      <c r="E1440">
        <v>76891213238</v>
      </c>
      <c r="F1440">
        <f t="shared" ca="1" si="44"/>
        <v>6</v>
      </c>
      <c r="G1440">
        <f ca="1">VLOOKUP(E1440,PurchItem!$A$2:$H$508,8,0)</f>
        <v>1532.7056343143986</v>
      </c>
      <c r="H1440">
        <v>0.05</v>
      </c>
      <c r="I1440" t="s">
        <v>244</v>
      </c>
      <c r="J1440" s="5">
        <v>45381.594524409724</v>
      </c>
      <c r="K1440" s="5">
        <v>45383.189048819448</v>
      </c>
      <c r="M1440">
        <f t="shared" si="45"/>
        <v>10029727769</v>
      </c>
      <c r="N1440">
        <f ca="1">IF(M1440&lt;&gt;M1439,INDEX(CustInfo!$A$2:$A$1001,RANDBETWEEN(1,1000)),N1439)</f>
        <v>11097</v>
      </c>
      <c r="O1440" t="s">
        <v>1003</v>
      </c>
      <c r="P1440">
        <v>52937574</v>
      </c>
    </row>
    <row r="1441" spans="1:16" x14ac:dyDescent="0.35">
      <c r="A1441">
        <v>93827212539</v>
      </c>
      <c r="C1441" s="2" t="s">
        <v>883</v>
      </c>
      <c r="D1441">
        <v>2</v>
      </c>
      <c r="E1441">
        <v>76891213449</v>
      </c>
      <c r="F1441">
        <f t="shared" ca="1" si="44"/>
        <v>63</v>
      </c>
      <c r="G1441">
        <f ca="1">VLOOKUP(E1441,PurchItem!$A$2:$H$508,8,0)</f>
        <v>8466.7708817939128</v>
      </c>
      <c r="H1441">
        <v>0.06</v>
      </c>
      <c r="I1441" t="s">
        <v>244</v>
      </c>
      <c r="J1441" s="5">
        <v>45399.594524409724</v>
      </c>
      <c r="K1441" s="5">
        <v>45400.189048819448</v>
      </c>
      <c r="M1441">
        <f t="shared" si="45"/>
        <v>10029727769</v>
      </c>
      <c r="N1441">
        <f ca="1">IF(M1441&lt;&gt;M1440,INDEX(CustInfo!$A$2:$A$1001,RANDBETWEEN(1,1000)),N1440)</f>
        <v>11097</v>
      </c>
      <c r="O1441" t="s">
        <v>1003</v>
      </c>
      <c r="P1441">
        <v>52937575</v>
      </c>
    </row>
    <row r="1442" spans="1:16" x14ac:dyDescent="0.35">
      <c r="A1442">
        <v>93827212539</v>
      </c>
      <c r="C1442" s="2" t="s">
        <v>883</v>
      </c>
      <c r="D1442">
        <v>3</v>
      </c>
      <c r="E1442">
        <v>76891213232</v>
      </c>
      <c r="F1442">
        <f t="shared" ca="1" si="44"/>
        <v>30</v>
      </c>
      <c r="G1442">
        <f ca="1">VLOOKUP(E1442,PurchItem!$A$2:$H$508,8,0)</f>
        <v>8714.7937057341314</v>
      </c>
      <c r="H1442">
        <v>0.04</v>
      </c>
      <c r="I1442" t="s">
        <v>244</v>
      </c>
      <c r="J1442" s="5">
        <v>44831.594524409724</v>
      </c>
      <c r="K1442" s="5">
        <v>44832.189048819448</v>
      </c>
      <c r="M1442">
        <f t="shared" si="45"/>
        <v>10029727769</v>
      </c>
      <c r="N1442">
        <f ca="1">IF(M1442&lt;&gt;M1441,INDEX(CustInfo!$A$2:$A$1001,RANDBETWEEN(1,1000)),N1441)</f>
        <v>11097</v>
      </c>
      <c r="O1442" t="s">
        <v>1003</v>
      </c>
      <c r="P1442">
        <v>52937576</v>
      </c>
    </row>
    <row r="1443" spans="1:16" x14ac:dyDescent="0.35">
      <c r="A1443">
        <v>93827212539</v>
      </c>
      <c r="C1443" s="2" t="s">
        <v>883</v>
      </c>
      <c r="D1443">
        <v>4</v>
      </c>
      <c r="E1443">
        <v>76891213400</v>
      </c>
      <c r="F1443">
        <f t="shared" ca="1" si="44"/>
        <v>96</v>
      </c>
      <c r="G1443">
        <f ca="1">VLOOKUP(E1443,PurchItem!$A$2:$H$508,8,0)</f>
        <v>4147.0864993427804</v>
      </c>
      <c r="H1443">
        <v>0.05</v>
      </c>
      <c r="I1443" t="s">
        <v>244</v>
      </c>
      <c r="J1443" s="5">
        <v>44896.594524409724</v>
      </c>
      <c r="K1443" s="5">
        <v>44899.189048819448</v>
      </c>
      <c r="M1443">
        <f t="shared" si="45"/>
        <v>10029727769</v>
      </c>
      <c r="N1443">
        <f ca="1">IF(M1443&lt;&gt;M1442,INDEX(CustInfo!$A$2:$A$1001,RANDBETWEEN(1,1000)),N1442)</f>
        <v>11097</v>
      </c>
      <c r="O1443" t="s">
        <v>1003</v>
      </c>
      <c r="P1443">
        <v>52937577</v>
      </c>
    </row>
    <row r="1444" spans="1:16" x14ac:dyDescent="0.35">
      <c r="A1444">
        <v>93827212540</v>
      </c>
      <c r="C1444" s="2" t="s">
        <v>883</v>
      </c>
      <c r="D1444">
        <v>1</v>
      </c>
      <c r="E1444">
        <v>76891213362</v>
      </c>
      <c r="F1444">
        <f t="shared" ca="1" si="44"/>
        <v>65</v>
      </c>
      <c r="G1444">
        <f ca="1">VLOOKUP(E1444,PurchItem!$A$2:$H$508,8,0)</f>
        <v>2524.8525441426873</v>
      </c>
      <c r="H1444">
        <v>0.05</v>
      </c>
      <c r="I1444" t="s">
        <v>244</v>
      </c>
      <c r="J1444" s="5">
        <v>44721.594524409724</v>
      </c>
      <c r="K1444" s="5">
        <v>44724.189048819448</v>
      </c>
      <c r="M1444">
        <f t="shared" si="45"/>
        <v>10029727770</v>
      </c>
      <c r="N1444">
        <f ca="1">IF(M1444&lt;&gt;M1443,INDEX(CustInfo!$A$2:$A$1001,RANDBETWEEN(1,1000)),N1443)</f>
        <v>11959</v>
      </c>
      <c r="O1444" t="s">
        <v>1001</v>
      </c>
      <c r="P1444">
        <v>52937578</v>
      </c>
    </row>
    <row r="1445" spans="1:16" x14ac:dyDescent="0.35">
      <c r="A1445">
        <v>93827212540</v>
      </c>
      <c r="C1445" s="2" t="s">
        <v>883</v>
      </c>
      <c r="D1445">
        <v>2</v>
      </c>
      <c r="E1445">
        <v>76891213475</v>
      </c>
      <c r="F1445">
        <f t="shared" ca="1" si="44"/>
        <v>61</v>
      </c>
      <c r="G1445">
        <f ca="1">VLOOKUP(E1445,PurchItem!$A$2:$H$508,8,0)</f>
        <v>346.87499167337484</v>
      </c>
      <c r="H1445">
        <v>0.06</v>
      </c>
      <c r="I1445" t="s">
        <v>244</v>
      </c>
      <c r="J1445" s="5">
        <v>44971.594524409724</v>
      </c>
      <c r="K1445" s="5">
        <v>44975.189048819448</v>
      </c>
      <c r="M1445">
        <f t="shared" si="45"/>
        <v>10029727770</v>
      </c>
      <c r="N1445">
        <f ca="1">IF(M1445&lt;&gt;M1444,INDEX(CustInfo!$A$2:$A$1001,RANDBETWEEN(1,1000)),N1444)</f>
        <v>11959</v>
      </c>
      <c r="O1445" t="s">
        <v>1001</v>
      </c>
      <c r="P1445">
        <v>52937579</v>
      </c>
    </row>
    <row r="1446" spans="1:16" x14ac:dyDescent="0.35">
      <c r="A1446">
        <v>93827212541</v>
      </c>
      <c r="C1446" s="2" t="s">
        <v>883</v>
      </c>
      <c r="D1446">
        <v>1</v>
      </c>
      <c r="E1446">
        <v>76891213190</v>
      </c>
      <c r="F1446">
        <f t="shared" ca="1" si="44"/>
        <v>29</v>
      </c>
      <c r="G1446">
        <f ca="1">VLOOKUP(E1446,PurchItem!$A$2:$H$508,8,0)</f>
        <v>2487.2197753691553</v>
      </c>
      <c r="H1446">
        <v>0.05</v>
      </c>
      <c r="I1446" t="s">
        <v>244</v>
      </c>
      <c r="J1446" s="5">
        <v>45236.594524409724</v>
      </c>
      <c r="K1446" s="5">
        <v>45238.189048819448</v>
      </c>
      <c r="M1446">
        <f t="shared" si="45"/>
        <v>10029727771</v>
      </c>
      <c r="N1446">
        <f ca="1">IF(M1446&lt;&gt;M1445,INDEX(CustInfo!$A$2:$A$1001,RANDBETWEEN(1,1000)),N1445)</f>
        <v>11668</v>
      </c>
      <c r="O1446" t="s">
        <v>1003</v>
      </c>
      <c r="P1446">
        <v>52937580</v>
      </c>
    </row>
    <row r="1447" spans="1:16" x14ac:dyDescent="0.35">
      <c r="A1447">
        <v>93827212542</v>
      </c>
      <c r="C1447" s="2" t="s">
        <v>883</v>
      </c>
      <c r="D1447">
        <v>1</v>
      </c>
      <c r="E1447">
        <v>76891213625</v>
      </c>
      <c r="F1447">
        <f t="shared" ca="1" si="44"/>
        <v>31</v>
      </c>
      <c r="G1447">
        <f ca="1">VLOOKUP(E1447,PurchItem!$A$2:$H$508,8,0)</f>
        <v>197.86735476950216</v>
      </c>
      <c r="H1447">
        <v>0.06</v>
      </c>
      <c r="I1447" t="s">
        <v>244</v>
      </c>
      <c r="J1447" s="5">
        <v>44867.594524409724</v>
      </c>
      <c r="K1447" s="5">
        <v>44870.189048819448</v>
      </c>
      <c r="M1447">
        <f t="shared" si="45"/>
        <v>10029727772</v>
      </c>
      <c r="N1447">
        <f ca="1">IF(M1447&lt;&gt;M1446,INDEX(CustInfo!$A$2:$A$1001,RANDBETWEEN(1,1000)),N1446)</f>
        <v>11881</v>
      </c>
      <c r="O1447" t="s">
        <v>1003</v>
      </c>
      <c r="P1447">
        <v>52937581</v>
      </c>
    </row>
    <row r="1448" spans="1:16" x14ac:dyDescent="0.35">
      <c r="A1448">
        <v>93827212542</v>
      </c>
      <c r="C1448" s="2" t="s">
        <v>883</v>
      </c>
      <c r="D1448">
        <v>2</v>
      </c>
      <c r="E1448">
        <v>76891213259</v>
      </c>
      <c r="F1448">
        <f t="shared" ca="1" si="44"/>
        <v>94</v>
      </c>
      <c r="G1448">
        <f ca="1">VLOOKUP(E1448,PurchItem!$A$2:$H$508,8,0)</f>
        <v>2690.2809923861096</v>
      </c>
      <c r="H1448">
        <v>0.06</v>
      </c>
      <c r="I1448" t="s">
        <v>244</v>
      </c>
      <c r="J1448" s="5">
        <v>44831.594524409724</v>
      </c>
      <c r="K1448" s="5">
        <v>44833.189048819448</v>
      </c>
      <c r="M1448">
        <f t="shared" si="45"/>
        <v>10029727772</v>
      </c>
      <c r="N1448">
        <f ca="1">IF(M1448&lt;&gt;M1447,INDEX(CustInfo!$A$2:$A$1001,RANDBETWEEN(1,1000)),N1447)</f>
        <v>11881</v>
      </c>
      <c r="O1448" t="s">
        <v>1003</v>
      </c>
      <c r="P1448">
        <v>52937582</v>
      </c>
    </row>
    <row r="1449" spans="1:16" x14ac:dyDescent="0.35">
      <c r="A1449">
        <v>93827212543</v>
      </c>
      <c r="C1449" s="2" t="s">
        <v>883</v>
      </c>
      <c r="D1449">
        <v>1</v>
      </c>
      <c r="E1449">
        <v>76891213430</v>
      </c>
      <c r="F1449">
        <f t="shared" ca="1" si="44"/>
        <v>87</v>
      </c>
      <c r="G1449">
        <f ca="1">VLOOKUP(E1449,PurchItem!$A$2:$H$508,8,0)</f>
        <v>6813.6085833165471</v>
      </c>
      <c r="H1449">
        <v>0.06</v>
      </c>
      <c r="I1449" t="s">
        <v>244</v>
      </c>
      <c r="J1449" s="5">
        <v>44871.594524409724</v>
      </c>
      <c r="K1449" s="5">
        <v>44875.189048819448</v>
      </c>
      <c r="M1449">
        <f t="shared" si="45"/>
        <v>10029727773</v>
      </c>
      <c r="N1449">
        <f ca="1">IF(M1449&lt;&gt;M1448,INDEX(CustInfo!$A$2:$A$1001,RANDBETWEEN(1,1000)),N1448)</f>
        <v>11890</v>
      </c>
      <c r="O1449" t="s">
        <v>1001</v>
      </c>
      <c r="P1449">
        <v>52937583</v>
      </c>
    </row>
    <row r="1450" spans="1:16" x14ac:dyDescent="0.35">
      <c r="A1450">
        <v>93827212543</v>
      </c>
      <c r="C1450" s="2" t="s">
        <v>883</v>
      </c>
      <c r="D1450">
        <v>2</v>
      </c>
      <c r="E1450">
        <v>76891213492</v>
      </c>
      <c r="F1450">
        <f t="shared" ca="1" si="44"/>
        <v>35</v>
      </c>
      <c r="G1450">
        <f ca="1">VLOOKUP(E1450,PurchItem!$A$2:$H$508,8,0)</f>
        <v>4212.9527121259771</v>
      </c>
      <c r="H1450">
        <v>0.05</v>
      </c>
      <c r="I1450" t="s">
        <v>244</v>
      </c>
      <c r="J1450" s="5">
        <v>45318.594524409724</v>
      </c>
      <c r="K1450" s="5">
        <v>45321.189048819448</v>
      </c>
      <c r="M1450">
        <f t="shared" si="45"/>
        <v>10029727773</v>
      </c>
      <c r="N1450">
        <f ca="1">IF(M1450&lt;&gt;M1449,INDEX(CustInfo!$A$2:$A$1001,RANDBETWEEN(1,1000)),N1449)</f>
        <v>11890</v>
      </c>
      <c r="O1450" t="s">
        <v>1001</v>
      </c>
      <c r="P1450">
        <v>52937584</v>
      </c>
    </row>
    <row r="1451" spans="1:16" x14ac:dyDescent="0.35">
      <c r="A1451">
        <v>93827212544</v>
      </c>
      <c r="C1451" s="2" t="s">
        <v>883</v>
      </c>
      <c r="D1451">
        <v>1</v>
      </c>
      <c r="E1451">
        <v>76891213276</v>
      </c>
      <c r="F1451">
        <f t="shared" ca="1" si="44"/>
        <v>18</v>
      </c>
      <c r="G1451">
        <f ca="1">VLOOKUP(E1451,PurchItem!$A$2:$H$508,8,0)</f>
        <v>1231.4185671508574</v>
      </c>
      <c r="H1451">
        <v>0.04</v>
      </c>
      <c r="I1451" t="s">
        <v>244</v>
      </c>
      <c r="J1451" s="5">
        <v>45061.594524409724</v>
      </c>
      <c r="K1451" s="5">
        <v>45065.189048819448</v>
      </c>
      <c r="M1451">
        <f t="shared" si="45"/>
        <v>10029727774</v>
      </c>
      <c r="N1451">
        <f ca="1">IF(M1451&lt;&gt;M1450,INDEX(CustInfo!$A$2:$A$1001,RANDBETWEEN(1,1000)),N1450)</f>
        <v>11954</v>
      </c>
      <c r="O1451" t="s">
        <v>1001</v>
      </c>
      <c r="P1451">
        <v>52937585</v>
      </c>
    </row>
    <row r="1452" spans="1:16" x14ac:dyDescent="0.35">
      <c r="A1452">
        <v>93827212544</v>
      </c>
      <c r="C1452" s="2" t="s">
        <v>883</v>
      </c>
      <c r="D1452">
        <v>2</v>
      </c>
      <c r="E1452">
        <v>76891213606</v>
      </c>
      <c r="F1452">
        <f t="shared" ca="1" si="44"/>
        <v>61</v>
      </c>
      <c r="G1452">
        <f ca="1">VLOOKUP(E1452,PurchItem!$A$2:$H$508,8,0)</f>
        <v>2599.1188743033085</v>
      </c>
      <c r="H1452">
        <v>0.06</v>
      </c>
      <c r="I1452" t="s">
        <v>244</v>
      </c>
      <c r="J1452" s="5">
        <v>45298.594524409724</v>
      </c>
      <c r="K1452" s="5">
        <v>45302.189048819448</v>
      </c>
      <c r="M1452">
        <f t="shared" si="45"/>
        <v>10029727774</v>
      </c>
      <c r="N1452">
        <f ca="1">IF(M1452&lt;&gt;M1451,INDEX(CustInfo!$A$2:$A$1001,RANDBETWEEN(1,1000)),N1451)</f>
        <v>11954</v>
      </c>
      <c r="O1452" t="s">
        <v>1001</v>
      </c>
      <c r="P1452">
        <v>52937586</v>
      </c>
    </row>
    <row r="1453" spans="1:16" x14ac:dyDescent="0.35">
      <c r="A1453">
        <v>93827212544</v>
      </c>
      <c r="C1453" s="2" t="s">
        <v>883</v>
      </c>
      <c r="D1453">
        <v>3</v>
      </c>
      <c r="E1453">
        <v>76891213218</v>
      </c>
      <c r="F1453">
        <f t="shared" ca="1" si="44"/>
        <v>14</v>
      </c>
      <c r="G1453">
        <f ca="1">VLOOKUP(E1453,PurchItem!$A$2:$H$508,8,0)</f>
        <v>3349.9530911254865</v>
      </c>
      <c r="H1453">
        <v>0.05</v>
      </c>
      <c r="I1453" t="s">
        <v>244</v>
      </c>
      <c r="J1453" s="5">
        <v>44647.594524409724</v>
      </c>
      <c r="K1453" s="5">
        <v>44651.189048819448</v>
      </c>
      <c r="M1453">
        <f t="shared" si="45"/>
        <v>10029727774</v>
      </c>
      <c r="N1453">
        <f ca="1">IF(M1453&lt;&gt;M1452,INDEX(CustInfo!$A$2:$A$1001,RANDBETWEEN(1,1000)),N1452)</f>
        <v>11954</v>
      </c>
      <c r="O1453" t="s">
        <v>1001</v>
      </c>
      <c r="P1453">
        <v>52937587</v>
      </c>
    </row>
    <row r="1454" spans="1:16" x14ac:dyDescent="0.35">
      <c r="A1454">
        <v>93827212545</v>
      </c>
      <c r="C1454" s="2" t="s">
        <v>883</v>
      </c>
      <c r="D1454">
        <v>1</v>
      </c>
      <c r="E1454">
        <v>76891213549</v>
      </c>
      <c r="F1454">
        <f t="shared" ca="1" si="44"/>
        <v>91</v>
      </c>
      <c r="G1454">
        <f ca="1">VLOOKUP(E1454,PurchItem!$A$2:$H$508,8,0)</f>
        <v>5727.7008118950862</v>
      </c>
      <c r="H1454">
        <v>0.06</v>
      </c>
      <c r="I1454" t="s">
        <v>244</v>
      </c>
      <c r="J1454" s="5">
        <v>44618.594524409724</v>
      </c>
      <c r="K1454" s="5">
        <v>44622.189048819448</v>
      </c>
      <c r="M1454">
        <f t="shared" si="45"/>
        <v>10029727775</v>
      </c>
      <c r="N1454">
        <f ca="1">IF(M1454&lt;&gt;M1453,INDEX(CustInfo!$A$2:$A$1001,RANDBETWEEN(1,1000)),N1453)</f>
        <v>11217</v>
      </c>
      <c r="O1454" t="s">
        <v>1002</v>
      </c>
      <c r="P1454">
        <v>52937588</v>
      </c>
    </row>
    <row r="1455" spans="1:16" x14ac:dyDescent="0.35">
      <c r="A1455">
        <v>93827212545</v>
      </c>
      <c r="C1455" s="2" t="s">
        <v>883</v>
      </c>
      <c r="D1455">
        <v>2</v>
      </c>
      <c r="E1455">
        <v>76891213367</v>
      </c>
      <c r="F1455">
        <f t="shared" ca="1" si="44"/>
        <v>26</v>
      </c>
      <c r="G1455">
        <f ca="1">VLOOKUP(E1455,PurchItem!$A$2:$H$508,8,0)</f>
        <v>8716.0132147698296</v>
      </c>
      <c r="H1455">
        <v>0.06</v>
      </c>
      <c r="I1455" t="s">
        <v>244</v>
      </c>
      <c r="J1455" s="5">
        <v>45492.594524409724</v>
      </c>
      <c r="K1455" s="5">
        <v>45495.189048819448</v>
      </c>
      <c r="M1455">
        <f t="shared" si="45"/>
        <v>10029727775</v>
      </c>
      <c r="N1455">
        <f ca="1">IF(M1455&lt;&gt;M1454,INDEX(CustInfo!$A$2:$A$1001,RANDBETWEEN(1,1000)),N1454)</f>
        <v>11217</v>
      </c>
      <c r="O1455" t="s">
        <v>1002</v>
      </c>
      <c r="P1455">
        <v>52937589</v>
      </c>
    </row>
    <row r="1456" spans="1:16" x14ac:dyDescent="0.35">
      <c r="A1456">
        <v>93827212546</v>
      </c>
      <c r="C1456" s="2" t="s">
        <v>883</v>
      </c>
      <c r="D1456">
        <v>1</v>
      </c>
      <c r="E1456">
        <v>76891213239</v>
      </c>
      <c r="F1456">
        <f t="shared" ca="1" si="44"/>
        <v>18</v>
      </c>
      <c r="G1456">
        <f ca="1">VLOOKUP(E1456,PurchItem!$A$2:$H$508,8,0)</f>
        <v>1189.2744241627706</v>
      </c>
      <c r="H1456">
        <v>0.05</v>
      </c>
      <c r="I1456" t="s">
        <v>244</v>
      </c>
      <c r="J1456" s="5">
        <v>45345.594524409724</v>
      </c>
      <c r="K1456" s="5">
        <v>45347.189048819448</v>
      </c>
      <c r="M1456">
        <f t="shared" si="45"/>
        <v>10029727776</v>
      </c>
      <c r="N1456">
        <f ca="1">IF(M1456&lt;&gt;M1455,INDEX(CustInfo!$A$2:$A$1001,RANDBETWEEN(1,1000)),N1455)</f>
        <v>11700</v>
      </c>
      <c r="O1456" t="s">
        <v>1002</v>
      </c>
      <c r="P1456">
        <v>52937590</v>
      </c>
    </row>
    <row r="1457" spans="1:16" x14ac:dyDescent="0.35">
      <c r="A1457">
        <v>93827212546</v>
      </c>
      <c r="C1457" s="2" t="s">
        <v>883</v>
      </c>
      <c r="D1457">
        <v>2</v>
      </c>
      <c r="E1457">
        <v>76891213349</v>
      </c>
      <c r="F1457">
        <f t="shared" ca="1" si="44"/>
        <v>80</v>
      </c>
      <c r="G1457">
        <f ca="1">VLOOKUP(E1457,PurchItem!$A$2:$H$508,8,0)</f>
        <v>5182.697525429865</v>
      </c>
      <c r="H1457">
        <v>0.05</v>
      </c>
      <c r="I1457" t="s">
        <v>244</v>
      </c>
      <c r="J1457" s="5">
        <v>45276.594524409724</v>
      </c>
      <c r="K1457" s="5">
        <v>45280.189048819448</v>
      </c>
      <c r="M1457">
        <f t="shared" si="45"/>
        <v>10029727776</v>
      </c>
      <c r="N1457">
        <f ca="1">IF(M1457&lt;&gt;M1456,INDEX(CustInfo!$A$2:$A$1001,RANDBETWEEN(1,1000)),N1456)</f>
        <v>11700</v>
      </c>
      <c r="O1457" t="s">
        <v>1002</v>
      </c>
      <c r="P1457">
        <v>52937591</v>
      </c>
    </row>
    <row r="1458" spans="1:16" x14ac:dyDescent="0.35">
      <c r="A1458">
        <v>93827212546</v>
      </c>
      <c r="C1458" s="2" t="s">
        <v>883</v>
      </c>
      <c r="D1458">
        <v>3</v>
      </c>
      <c r="E1458">
        <v>76891213584</v>
      </c>
      <c r="F1458">
        <f t="shared" ca="1" si="44"/>
        <v>97</v>
      </c>
      <c r="G1458">
        <f ca="1">VLOOKUP(E1458,PurchItem!$A$2:$H$508,8,0)</f>
        <v>6945.1848902307947</v>
      </c>
      <c r="H1458">
        <v>0.04</v>
      </c>
      <c r="I1458" t="s">
        <v>244</v>
      </c>
      <c r="J1458" s="5">
        <v>45482.594524409724</v>
      </c>
      <c r="K1458" s="5">
        <v>45485.189048819448</v>
      </c>
      <c r="M1458">
        <f t="shared" si="45"/>
        <v>10029727776</v>
      </c>
      <c r="N1458">
        <f ca="1">IF(M1458&lt;&gt;M1457,INDEX(CustInfo!$A$2:$A$1001,RANDBETWEEN(1,1000)),N1457)</f>
        <v>11700</v>
      </c>
      <c r="O1458" t="s">
        <v>1002</v>
      </c>
      <c r="P1458">
        <v>52937592</v>
      </c>
    </row>
    <row r="1459" spans="1:16" x14ac:dyDescent="0.35">
      <c r="A1459">
        <v>93827212546</v>
      </c>
      <c r="C1459" s="2" t="s">
        <v>883</v>
      </c>
      <c r="D1459">
        <v>4</v>
      </c>
      <c r="E1459">
        <v>76891213469</v>
      </c>
      <c r="F1459">
        <f t="shared" ca="1" si="44"/>
        <v>69</v>
      </c>
      <c r="G1459">
        <f ca="1">VLOOKUP(E1459,PurchItem!$A$2:$H$508,8,0)</f>
        <v>3640.4377524868119</v>
      </c>
      <c r="H1459">
        <v>0.06</v>
      </c>
      <c r="I1459" t="s">
        <v>244</v>
      </c>
      <c r="J1459" s="5">
        <v>45157.594524409724</v>
      </c>
      <c r="K1459" s="5">
        <v>45160.189048819448</v>
      </c>
      <c r="M1459">
        <f t="shared" si="45"/>
        <v>10029727776</v>
      </c>
      <c r="N1459">
        <f ca="1">IF(M1459&lt;&gt;M1458,INDEX(CustInfo!$A$2:$A$1001,RANDBETWEEN(1,1000)),N1458)</f>
        <v>11700</v>
      </c>
      <c r="O1459" t="s">
        <v>1002</v>
      </c>
      <c r="P1459">
        <v>52937593</v>
      </c>
    </row>
    <row r="1460" spans="1:16" x14ac:dyDescent="0.35">
      <c r="A1460">
        <v>93827212547</v>
      </c>
      <c r="C1460" s="2" t="s">
        <v>883</v>
      </c>
      <c r="D1460">
        <v>1</v>
      </c>
      <c r="E1460">
        <v>76891213199</v>
      </c>
      <c r="F1460">
        <f t="shared" ca="1" si="44"/>
        <v>20</v>
      </c>
      <c r="G1460">
        <f ca="1">VLOOKUP(E1460,PurchItem!$A$2:$H$508,8,0)</f>
        <v>9847.8601789486402</v>
      </c>
      <c r="H1460">
        <v>0.05</v>
      </c>
      <c r="I1460" t="s">
        <v>244</v>
      </c>
      <c r="J1460" s="5">
        <v>45272.594524409724</v>
      </c>
      <c r="K1460" s="5">
        <v>45274.189048819448</v>
      </c>
      <c r="M1460">
        <f t="shared" si="45"/>
        <v>10029727777</v>
      </c>
      <c r="N1460">
        <f ca="1">IF(M1460&lt;&gt;M1459,INDEX(CustInfo!$A$2:$A$1001,RANDBETWEEN(1,1000)),N1459)</f>
        <v>11286</v>
      </c>
      <c r="O1460" t="s">
        <v>1001</v>
      </c>
      <c r="P1460">
        <v>52937594</v>
      </c>
    </row>
    <row r="1461" spans="1:16" x14ac:dyDescent="0.35">
      <c r="A1461">
        <v>93827212547</v>
      </c>
      <c r="C1461" s="2" t="s">
        <v>883</v>
      </c>
      <c r="D1461">
        <v>2</v>
      </c>
      <c r="E1461">
        <v>76891213182</v>
      </c>
      <c r="F1461">
        <f t="shared" ca="1" si="44"/>
        <v>100</v>
      </c>
      <c r="G1461">
        <f ca="1">VLOOKUP(E1461,PurchItem!$A$2:$H$508,8,0)</f>
        <v>6993.4676440309404</v>
      </c>
      <c r="H1461">
        <v>0.06</v>
      </c>
      <c r="I1461" t="s">
        <v>244</v>
      </c>
      <c r="J1461" s="5">
        <v>44826.594524409724</v>
      </c>
      <c r="K1461" s="5">
        <v>44828.189048819448</v>
      </c>
      <c r="M1461">
        <f t="shared" si="45"/>
        <v>10029727777</v>
      </c>
      <c r="N1461">
        <f ca="1">IF(M1461&lt;&gt;M1460,INDEX(CustInfo!$A$2:$A$1001,RANDBETWEEN(1,1000)),N1460)</f>
        <v>11286</v>
      </c>
      <c r="O1461" t="s">
        <v>1001</v>
      </c>
      <c r="P1461">
        <v>52937595</v>
      </c>
    </row>
    <row r="1462" spans="1:16" x14ac:dyDescent="0.35">
      <c r="A1462">
        <v>93827212547</v>
      </c>
      <c r="C1462" s="2" t="s">
        <v>883</v>
      </c>
      <c r="D1462">
        <v>3</v>
      </c>
      <c r="E1462">
        <v>76891213634</v>
      </c>
      <c r="F1462">
        <f t="shared" ca="1" si="44"/>
        <v>67</v>
      </c>
      <c r="G1462">
        <f ca="1">VLOOKUP(E1462,PurchItem!$A$2:$H$508,8,0)</f>
        <v>2985.7810504762028</v>
      </c>
      <c r="H1462">
        <v>0.05</v>
      </c>
      <c r="I1462" t="s">
        <v>244</v>
      </c>
      <c r="J1462" s="5">
        <v>45469.594524409724</v>
      </c>
      <c r="K1462" s="5">
        <v>45470.189048819448</v>
      </c>
      <c r="M1462">
        <f t="shared" si="45"/>
        <v>10029727777</v>
      </c>
      <c r="N1462">
        <f ca="1">IF(M1462&lt;&gt;M1461,INDEX(CustInfo!$A$2:$A$1001,RANDBETWEEN(1,1000)),N1461)</f>
        <v>11286</v>
      </c>
      <c r="O1462" t="s">
        <v>1001</v>
      </c>
      <c r="P1462">
        <v>52937596</v>
      </c>
    </row>
    <row r="1463" spans="1:16" x14ac:dyDescent="0.35">
      <c r="A1463">
        <v>93827212547</v>
      </c>
      <c r="C1463" s="2" t="s">
        <v>883</v>
      </c>
      <c r="D1463">
        <v>4</v>
      </c>
      <c r="E1463">
        <v>76891213238</v>
      </c>
      <c r="F1463">
        <f t="shared" ca="1" si="44"/>
        <v>88</v>
      </c>
      <c r="G1463">
        <f ca="1">VLOOKUP(E1463,PurchItem!$A$2:$H$508,8,0)</f>
        <v>1532.7056343143986</v>
      </c>
      <c r="H1463">
        <v>0.04</v>
      </c>
      <c r="I1463" t="s">
        <v>244</v>
      </c>
      <c r="J1463" s="5">
        <v>45028.594524409724</v>
      </c>
      <c r="K1463" s="5">
        <v>45030.189048819448</v>
      </c>
      <c r="M1463">
        <f t="shared" si="45"/>
        <v>10029727777</v>
      </c>
      <c r="N1463">
        <f ca="1">IF(M1463&lt;&gt;M1462,INDEX(CustInfo!$A$2:$A$1001,RANDBETWEEN(1,1000)),N1462)</f>
        <v>11286</v>
      </c>
      <c r="O1463" t="s">
        <v>1001</v>
      </c>
      <c r="P1463">
        <v>52937597</v>
      </c>
    </row>
    <row r="1464" spans="1:16" x14ac:dyDescent="0.35">
      <c r="A1464">
        <v>93827212548</v>
      </c>
      <c r="C1464" s="2" t="s">
        <v>883</v>
      </c>
      <c r="D1464">
        <v>1</v>
      </c>
      <c r="E1464">
        <v>76891213559</v>
      </c>
      <c r="F1464">
        <f t="shared" ca="1" si="44"/>
        <v>7</v>
      </c>
      <c r="G1464">
        <f ca="1">VLOOKUP(E1464,PurchItem!$A$2:$H$508,8,0)</f>
        <v>1085.9694794572913</v>
      </c>
      <c r="H1464">
        <v>0.04</v>
      </c>
      <c r="I1464" t="s">
        <v>244</v>
      </c>
      <c r="J1464" s="5">
        <v>44576.594524409724</v>
      </c>
      <c r="K1464" s="5">
        <v>44579.189048819448</v>
      </c>
      <c r="M1464">
        <f t="shared" si="45"/>
        <v>10029727778</v>
      </c>
      <c r="N1464">
        <f ca="1">IF(M1464&lt;&gt;M1463,INDEX(CustInfo!$A$2:$A$1001,RANDBETWEEN(1,1000)),N1463)</f>
        <v>11702</v>
      </c>
      <c r="O1464" t="s">
        <v>1002</v>
      </c>
      <c r="P1464">
        <v>52937598</v>
      </c>
    </row>
    <row r="1465" spans="1:16" x14ac:dyDescent="0.35">
      <c r="A1465">
        <v>93827212549</v>
      </c>
      <c r="C1465" s="2" t="s">
        <v>883</v>
      </c>
      <c r="D1465">
        <v>1</v>
      </c>
      <c r="E1465">
        <v>76891213480</v>
      </c>
      <c r="F1465">
        <f t="shared" ca="1" si="44"/>
        <v>79</v>
      </c>
      <c r="G1465">
        <f ca="1">VLOOKUP(E1465,PurchItem!$A$2:$H$508,8,0)</f>
        <v>5818.9796436144088</v>
      </c>
      <c r="H1465">
        <v>0.06</v>
      </c>
      <c r="I1465" t="s">
        <v>244</v>
      </c>
      <c r="J1465" s="5">
        <v>44745.594524409724</v>
      </c>
      <c r="K1465" s="5">
        <v>44749.189048819448</v>
      </c>
      <c r="M1465">
        <f t="shared" si="45"/>
        <v>10029727779</v>
      </c>
      <c r="N1465">
        <f ca="1">IF(M1465&lt;&gt;M1464,INDEX(CustInfo!$A$2:$A$1001,RANDBETWEEN(1,1000)),N1464)</f>
        <v>11846</v>
      </c>
      <c r="O1465" t="s">
        <v>1001</v>
      </c>
      <c r="P1465">
        <v>52937599</v>
      </c>
    </row>
    <row r="1466" spans="1:16" x14ac:dyDescent="0.35">
      <c r="A1466">
        <v>93827212549</v>
      </c>
      <c r="C1466" s="2" t="s">
        <v>883</v>
      </c>
      <c r="D1466">
        <v>2</v>
      </c>
      <c r="E1466">
        <v>76891213434</v>
      </c>
      <c r="F1466">
        <f t="shared" ca="1" si="44"/>
        <v>46</v>
      </c>
      <c r="G1466">
        <f ca="1">VLOOKUP(E1466,PurchItem!$A$2:$H$508,8,0)</f>
        <v>1035.2793986688564</v>
      </c>
      <c r="H1466">
        <v>0.04</v>
      </c>
      <c r="I1466" t="s">
        <v>244</v>
      </c>
      <c r="J1466" s="5">
        <v>44902.594524409724</v>
      </c>
      <c r="K1466" s="5">
        <v>44903.189048819448</v>
      </c>
      <c r="M1466">
        <f t="shared" si="45"/>
        <v>10029727779</v>
      </c>
      <c r="N1466">
        <f ca="1">IF(M1466&lt;&gt;M1465,INDEX(CustInfo!$A$2:$A$1001,RANDBETWEEN(1,1000)),N1465)</f>
        <v>11846</v>
      </c>
      <c r="O1466" t="s">
        <v>1001</v>
      </c>
      <c r="P1466">
        <v>52937600</v>
      </c>
    </row>
    <row r="1467" spans="1:16" x14ac:dyDescent="0.35">
      <c r="A1467">
        <v>93827212549</v>
      </c>
      <c r="C1467" s="2" t="s">
        <v>883</v>
      </c>
      <c r="D1467">
        <v>3</v>
      </c>
      <c r="E1467">
        <v>76891213306</v>
      </c>
      <c r="F1467">
        <f t="shared" ca="1" si="44"/>
        <v>9</v>
      </c>
      <c r="G1467">
        <f ca="1">VLOOKUP(E1467,PurchItem!$A$2:$H$508,8,0)</f>
        <v>7186.6067775573456</v>
      </c>
      <c r="H1467">
        <v>0.05</v>
      </c>
      <c r="I1467" t="s">
        <v>244</v>
      </c>
      <c r="J1467" s="5">
        <v>45140.594524409724</v>
      </c>
      <c r="K1467" s="5">
        <v>45141.189048819448</v>
      </c>
      <c r="M1467">
        <f t="shared" si="45"/>
        <v>10029727779</v>
      </c>
      <c r="N1467">
        <f ca="1">IF(M1467&lt;&gt;M1466,INDEX(CustInfo!$A$2:$A$1001,RANDBETWEEN(1,1000)),N1466)</f>
        <v>11846</v>
      </c>
      <c r="O1467" t="s">
        <v>1001</v>
      </c>
      <c r="P1467">
        <v>52937601</v>
      </c>
    </row>
    <row r="1468" spans="1:16" x14ac:dyDescent="0.35">
      <c r="A1468">
        <v>93827212549</v>
      </c>
      <c r="C1468" s="2" t="s">
        <v>883</v>
      </c>
      <c r="D1468">
        <v>4</v>
      </c>
      <c r="E1468">
        <v>76891213350</v>
      </c>
      <c r="F1468">
        <f t="shared" ca="1" si="44"/>
        <v>89</v>
      </c>
      <c r="G1468">
        <f ca="1">VLOOKUP(E1468,PurchItem!$A$2:$H$508,8,0)</f>
        <v>7411.6308642938066</v>
      </c>
      <c r="H1468">
        <v>0.06</v>
      </c>
      <c r="I1468" t="s">
        <v>244</v>
      </c>
      <c r="J1468" s="5">
        <v>44567.594524409724</v>
      </c>
      <c r="K1468" s="5">
        <v>44571.189048819448</v>
      </c>
      <c r="M1468">
        <f t="shared" si="45"/>
        <v>10029727779</v>
      </c>
      <c r="N1468">
        <f ca="1">IF(M1468&lt;&gt;M1467,INDEX(CustInfo!$A$2:$A$1001,RANDBETWEEN(1,1000)),N1467)</f>
        <v>11846</v>
      </c>
      <c r="O1468" t="s">
        <v>1001</v>
      </c>
      <c r="P1468">
        <v>52937602</v>
      </c>
    </row>
    <row r="1469" spans="1:16" x14ac:dyDescent="0.35">
      <c r="A1469">
        <v>93827212550</v>
      </c>
      <c r="C1469" s="2" t="s">
        <v>883</v>
      </c>
      <c r="D1469">
        <v>1</v>
      </c>
      <c r="E1469">
        <v>76891213178</v>
      </c>
      <c r="F1469">
        <f t="shared" ca="1" si="44"/>
        <v>89</v>
      </c>
      <c r="G1469">
        <f ca="1">VLOOKUP(E1469,PurchItem!$A$2:$H$508,8,0)</f>
        <v>2256.6727435914268</v>
      </c>
      <c r="H1469">
        <v>0.06</v>
      </c>
      <c r="I1469" t="s">
        <v>244</v>
      </c>
      <c r="J1469" s="5">
        <v>45321.594524409724</v>
      </c>
      <c r="K1469" s="5">
        <v>45325.189048819448</v>
      </c>
      <c r="M1469">
        <f t="shared" si="45"/>
        <v>10029727780</v>
      </c>
      <c r="N1469">
        <f ca="1">IF(M1469&lt;&gt;M1468,INDEX(CustInfo!$A$2:$A$1001,RANDBETWEEN(1,1000)),N1468)</f>
        <v>11366</v>
      </c>
      <c r="O1469" t="s">
        <v>1002</v>
      </c>
      <c r="P1469">
        <v>52937603</v>
      </c>
    </row>
    <row r="1470" spans="1:16" x14ac:dyDescent="0.35">
      <c r="A1470">
        <v>93827212551</v>
      </c>
      <c r="C1470" s="2" t="s">
        <v>883</v>
      </c>
      <c r="D1470">
        <v>1</v>
      </c>
      <c r="E1470">
        <v>76891213160</v>
      </c>
      <c r="F1470">
        <f t="shared" ca="1" si="44"/>
        <v>69</v>
      </c>
      <c r="G1470">
        <f ca="1">VLOOKUP(E1470,PurchItem!$A$2:$H$508,8,0)</f>
        <v>8462.9770245013115</v>
      </c>
      <c r="H1470">
        <v>0.05</v>
      </c>
      <c r="I1470" t="s">
        <v>244</v>
      </c>
      <c r="J1470" s="5">
        <v>45058.594524409724</v>
      </c>
      <c r="K1470" s="5">
        <v>45062.189048819448</v>
      </c>
      <c r="M1470">
        <f t="shared" si="45"/>
        <v>10029727781</v>
      </c>
      <c r="N1470">
        <f ca="1">IF(M1470&lt;&gt;M1469,INDEX(CustInfo!$A$2:$A$1001,RANDBETWEEN(1,1000)),N1469)</f>
        <v>11987</v>
      </c>
      <c r="O1470" t="s">
        <v>1003</v>
      </c>
      <c r="P1470">
        <v>52937604</v>
      </c>
    </row>
    <row r="1471" spans="1:16" x14ac:dyDescent="0.35">
      <c r="A1471">
        <v>93827212552</v>
      </c>
      <c r="C1471" s="2" t="s">
        <v>883</v>
      </c>
      <c r="D1471">
        <v>1</v>
      </c>
      <c r="E1471">
        <v>76891213309</v>
      </c>
      <c r="F1471">
        <f t="shared" ca="1" si="44"/>
        <v>9</v>
      </c>
      <c r="G1471">
        <f ca="1">VLOOKUP(E1471,PurchItem!$A$2:$H$508,8,0)</f>
        <v>9419.1161906135585</v>
      </c>
      <c r="H1471">
        <v>0.06</v>
      </c>
      <c r="I1471" t="s">
        <v>244</v>
      </c>
      <c r="J1471" s="5">
        <v>45542.594524409724</v>
      </c>
      <c r="K1471" s="5">
        <v>45543.189048819448</v>
      </c>
      <c r="M1471">
        <f t="shared" si="45"/>
        <v>10029727782</v>
      </c>
      <c r="N1471">
        <f ca="1">IF(M1471&lt;&gt;M1470,INDEX(CustInfo!$A$2:$A$1001,RANDBETWEEN(1,1000)),N1470)</f>
        <v>11523</v>
      </c>
      <c r="O1471" t="s">
        <v>1003</v>
      </c>
      <c r="P1471">
        <v>52937605</v>
      </c>
    </row>
    <row r="1472" spans="1:16" x14ac:dyDescent="0.35">
      <c r="A1472">
        <v>93827212552</v>
      </c>
      <c r="C1472" s="2" t="s">
        <v>883</v>
      </c>
      <c r="D1472">
        <v>2</v>
      </c>
      <c r="E1472">
        <v>76891213360</v>
      </c>
      <c r="F1472">
        <f t="shared" ca="1" si="44"/>
        <v>96</v>
      </c>
      <c r="G1472">
        <f ca="1">VLOOKUP(E1472,PurchItem!$A$2:$H$508,8,0)</f>
        <v>6087.4432655359151</v>
      </c>
      <c r="H1472">
        <v>0.05</v>
      </c>
      <c r="I1472" t="s">
        <v>244</v>
      </c>
      <c r="J1472" s="5">
        <v>45195.594524409724</v>
      </c>
      <c r="K1472" s="5">
        <v>45199.189048819448</v>
      </c>
      <c r="M1472">
        <f t="shared" si="45"/>
        <v>10029727782</v>
      </c>
      <c r="N1472">
        <f ca="1">IF(M1472&lt;&gt;M1471,INDEX(CustInfo!$A$2:$A$1001,RANDBETWEEN(1,1000)),N1471)</f>
        <v>11523</v>
      </c>
      <c r="O1472" t="s">
        <v>1003</v>
      </c>
      <c r="P1472">
        <v>52937606</v>
      </c>
    </row>
    <row r="1473" spans="1:16" x14ac:dyDescent="0.35">
      <c r="A1473">
        <v>93827212552</v>
      </c>
      <c r="C1473" s="2" t="s">
        <v>883</v>
      </c>
      <c r="D1473">
        <v>3</v>
      </c>
      <c r="E1473">
        <v>76891213388</v>
      </c>
      <c r="F1473">
        <f t="shared" ca="1" si="44"/>
        <v>96</v>
      </c>
      <c r="G1473">
        <f ca="1">VLOOKUP(E1473,PurchItem!$A$2:$H$508,8,0)</f>
        <v>1466.0763513227046</v>
      </c>
      <c r="H1473">
        <v>0.06</v>
      </c>
      <c r="I1473" t="s">
        <v>244</v>
      </c>
      <c r="J1473" s="5">
        <v>45236.594524409724</v>
      </c>
      <c r="K1473" s="5">
        <v>45238.189048819448</v>
      </c>
      <c r="M1473">
        <f t="shared" si="45"/>
        <v>10029727782</v>
      </c>
      <c r="N1473">
        <f ca="1">IF(M1473&lt;&gt;M1472,INDEX(CustInfo!$A$2:$A$1001,RANDBETWEEN(1,1000)),N1472)</f>
        <v>11523</v>
      </c>
      <c r="O1473" t="s">
        <v>1003</v>
      </c>
      <c r="P1473">
        <v>52937607</v>
      </c>
    </row>
    <row r="1474" spans="1:16" x14ac:dyDescent="0.35">
      <c r="A1474">
        <v>93827212553</v>
      </c>
      <c r="C1474" s="2" t="s">
        <v>883</v>
      </c>
      <c r="D1474">
        <v>1</v>
      </c>
      <c r="E1474">
        <v>76891213532</v>
      </c>
      <c r="F1474">
        <f t="shared" ca="1" si="44"/>
        <v>37</v>
      </c>
      <c r="G1474">
        <f ca="1">VLOOKUP(E1474,PurchItem!$A$2:$H$508,8,0)</f>
        <v>6778.6036377104647</v>
      </c>
      <c r="H1474">
        <v>0.05</v>
      </c>
      <c r="I1474" t="s">
        <v>244</v>
      </c>
      <c r="J1474" s="5">
        <v>44724.594524409724</v>
      </c>
      <c r="K1474" s="5">
        <v>44727.189048819448</v>
      </c>
      <c r="M1474">
        <f t="shared" si="45"/>
        <v>10029727783</v>
      </c>
      <c r="N1474">
        <f ca="1">IF(M1474&lt;&gt;M1473,INDEX(CustInfo!$A$2:$A$1001,RANDBETWEEN(1,1000)),N1473)</f>
        <v>11714</v>
      </c>
      <c r="O1474" t="s">
        <v>1001</v>
      </c>
      <c r="P1474">
        <v>52937608</v>
      </c>
    </row>
    <row r="1475" spans="1:16" x14ac:dyDescent="0.35">
      <c r="A1475">
        <v>93827212553</v>
      </c>
      <c r="C1475" s="2" t="s">
        <v>883</v>
      </c>
      <c r="D1475">
        <v>2</v>
      </c>
      <c r="E1475">
        <v>76891213567</v>
      </c>
      <c r="F1475">
        <f t="shared" ref="F1475:F1538" ca="1" si="46">RANDBETWEEN(1,100)</f>
        <v>84</v>
      </c>
      <c r="G1475">
        <f ca="1">VLOOKUP(E1475,PurchItem!$A$2:$H$508,8,0)</f>
        <v>8161.6186808956736</v>
      </c>
      <c r="H1475">
        <v>0.05</v>
      </c>
      <c r="I1475" t="s">
        <v>244</v>
      </c>
      <c r="J1475" s="5">
        <v>45100.594524409724</v>
      </c>
      <c r="K1475" s="5">
        <v>45102.189048819448</v>
      </c>
      <c r="M1475">
        <f t="shared" si="45"/>
        <v>10029727783</v>
      </c>
      <c r="N1475">
        <f ca="1">IF(M1475&lt;&gt;M1474,INDEX(CustInfo!$A$2:$A$1001,RANDBETWEEN(1,1000)),N1474)</f>
        <v>11714</v>
      </c>
      <c r="O1475" t="s">
        <v>1001</v>
      </c>
      <c r="P1475">
        <v>52937609</v>
      </c>
    </row>
    <row r="1476" spans="1:16" x14ac:dyDescent="0.35">
      <c r="A1476">
        <v>93827212553</v>
      </c>
      <c r="C1476" s="2" t="s">
        <v>883</v>
      </c>
      <c r="D1476">
        <v>3</v>
      </c>
      <c r="E1476">
        <v>76891213366</v>
      </c>
      <c r="F1476">
        <f t="shared" ca="1" si="46"/>
        <v>52</v>
      </c>
      <c r="G1476">
        <f ca="1">VLOOKUP(E1476,PurchItem!$A$2:$H$508,8,0)</f>
        <v>2775.3275183824289</v>
      </c>
      <c r="H1476">
        <v>0.06</v>
      </c>
      <c r="I1476" t="s">
        <v>244</v>
      </c>
      <c r="J1476" s="5">
        <v>45167.594524409724</v>
      </c>
      <c r="K1476" s="5">
        <v>45168.189048819448</v>
      </c>
      <c r="M1476">
        <f t="shared" si="45"/>
        <v>10029727783</v>
      </c>
      <c r="N1476">
        <f ca="1">IF(M1476&lt;&gt;M1475,INDEX(CustInfo!$A$2:$A$1001,RANDBETWEEN(1,1000)),N1475)</f>
        <v>11714</v>
      </c>
      <c r="O1476" t="s">
        <v>1001</v>
      </c>
      <c r="P1476">
        <v>52937610</v>
      </c>
    </row>
    <row r="1477" spans="1:16" x14ac:dyDescent="0.35">
      <c r="A1477">
        <v>93827212553</v>
      </c>
      <c r="C1477" s="2" t="s">
        <v>883</v>
      </c>
      <c r="D1477">
        <v>4</v>
      </c>
      <c r="E1477">
        <v>76891213398</v>
      </c>
      <c r="F1477">
        <f t="shared" ca="1" si="46"/>
        <v>67</v>
      </c>
      <c r="G1477">
        <f ca="1">VLOOKUP(E1477,PurchItem!$A$2:$H$508,8,0)</f>
        <v>5671.349698118911</v>
      </c>
      <c r="H1477">
        <v>0.05</v>
      </c>
      <c r="I1477" t="s">
        <v>244</v>
      </c>
      <c r="J1477" s="5">
        <v>44650.594524409724</v>
      </c>
      <c r="K1477" s="5">
        <v>44654.189048819448</v>
      </c>
      <c r="M1477">
        <f t="shared" ref="M1477:M1540" si="47">IF(A1477&lt;&gt;A1476,M1476+1,M1476)</f>
        <v>10029727783</v>
      </c>
      <c r="N1477">
        <f ca="1">IF(M1477&lt;&gt;M1476,INDEX(CustInfo!$A$2:$A$1001,RANDBETWEEN(1,1000)),N1476)</f>
        <v>11714</v>
      </c>
      <c r="O1477" t="s">
        <v>1001</v>
      </c>
      <c r="P1477">
        <v>52937611</v>
      </c>
    </row>
    <row r="1478" spans="1:16" x14ac:dyDescent="0.35">
      <c r="A1478">
        <v>93827212554</v>
      </c>
      <c r="C1478" s="2" t="s">
        <v>883</v>
      </c>
      <c r="D1478">
        <v>1</v>
      </c>
      <c r="E1478">
        <v>76891213454</v>
      </c>
      <c r="F1478">
        <f t="shared" ca="1" si="46"/>
        <v>22</v>
      </c>
      <c r="G1478">
        <f ca="1">VLOOKUP(E1478,PurchItem!$A$2:$H$508,8,0)</f>
        <v>9734.0214996119394</v>
      </c>
      <c r="H1478">
        <v>0.05</v>
      </c>
      <c r="I1478" t="s">
        <v>244</v>
      </c>
      <c r="J1478" s="5">
        <v>44846.594524409724</v>
      </c>
      <c r="K1478" s="5">
        <v>44848.189048819448</v>
      </c>
      <c r="M1478">
        <f t="shared" si="47"/>
        <v>10029727784</v>
      </c>
      <c r="N1478">
        <f ca="1">IF(M1478&lt;&gt;M1477,INDEX(CustInfo!$A$2:$A$1001,RANDBETWEEN(1,1000)),N1477)</f>
        <v>11212</v>
      </c>
      <c r="O1478" t="s">
        <v>1002</v>
      </c>
      <c r="P1478">
        <v>52937612</v>
      </c>
    </row>
    <row r="1479" spans="1:16" x14ac:dyDescent="0.35">
      <c r="A1479">
        <v>93827212554</v>
      </c>
      <c r="C1479" s="2" t="s">
        <v>883</v>
      </c>
      <c r="D1479">
        <v>2</v>
      </c>
      <c r="E1479">
        <v>76891213329</v>
      </c>
      <c r="F1479">
        <f t="shared" ca="1" si="46"/>
        <v>76</v>
      </c>
      <c r="G1479">
        <f ca="1">VLOOKUP(E1479,PurchItem!$A$2:$H$508,8,0)</f>
        <v>3846.001981135933</v>
      </c>
      <c r="H1479">
        <v>0.04</v>
      </c>
      <c r="I1479" t="s">
        <v>244</v>
      </c>
      <c r="J1479" s="5">
        <v>45408.594524409724</v>
      </c>
      <c r="K1479" s="5">
        <v>45412.189048819448</v>
      </c>
      <c r="M1479">
        <f t="shared" si="47"/>
        <v>10029727784</v>
      </c>
      <c r="N1479">
        <f ca="1">IF(M1479&lt;&gt;M1478,INDEX(CustInfo!$A$2:$A$1001,RANDBETWEEN(1,1000)),N1478)</f>
        <v>11212</v>
      </c>
      <c r="O1479" t="s">
        <v>1002</v>
      </c>
      <c r="P1479">
        <v>52937613</v>
      </c>
    </row>
    <row r="1480" spans="1:16" x14ac:dyDescent="0.35">
      <c r="A1480">
        <v>93827212554</v>
      </c>
      <c r="C1480" s="2" t="s">
        <v>883</v>
      </c>
      <c r="D1480">
        <v>3</v>
      </c>
      <c r="E1480">
        <v>76891213339</v>
      </c>
      <c r="F1480">
        <f t="shared" ca="1" si="46"/>
        <v>42</v>
      </c>
      <c r="G1480">
        <f ca="1">VLOOKUP(E1480,PurchItem!$A$2:$H$508,8,0)</f>
        <v>1786.9343173094894</v>
      </c>
      <c r="H1480">
        <v>0.04</v>
      </c>
      <c r="I1480" t="s">
        <v>244</v>
      </c>
      <c r="J1480" s="5">
        <v>45171.594524409724</v>
      </c>
      <c r="K1480" s="5">
        <v>45172.189048819448</v>
      </c>
      <c r="M1480">
        <f t="shared" si="47"/>
        <v>10029727784</v>
      </c>
      <c r="N1480">
        <f ca="1">IF(M1480&lt;&gt;M1479,INDEX(CustInfo!$A$2:$A$1001,RANDBETWEEN(1,1000)),N1479)</f>
        <v>11212</v>
      </c>
      <c r="O1480" t="s">
        <v>1002</v>
      </c>
      <c r="P1480">
        <v>52937614</v>
      </c>
    </row>
    <row r="1481" spans="1:16" x14ac:dyDescent="0.35">
      <c r="A1481">
        <v>93827212555</v>
      </c>
      <c r="C1481" s="2" t="s">
        <v>883</v>
      </c>
      <c r="D1481">
        <v>1</v>
      </c>
      <c r="E1481">
        <v>76891213436</v>
      </c>
      <c r="F1481">
        <f t="shared" ca="1" si="46"/>
        <v>63</v>
      </c>
      <c r="G1481">
        <f ca="1">VLOOKUP(E1481,PurchItem!$A$2:$H$508,8,0)</f>
        <v>7382.4174647878453</v>
      </c>
      <c r="H1481">
        <v>0.06</v>
      </c>
      <c r="I1481" t="s">
        <v>244</v>
      </c>
      <c r="J1481" s="5">
        <v>45288.594524409724</v>
      </c>
      <c r="K1481" s="5">
        <v>45292.189048819448</v>
      </c>
      <c r="M1481">
        <f t="shared" si="47"/>
        <v>10029727785</v>
      </c>
      <c r="N1481">
        <f ca="1">IF(M1481&lt;&gt;M1480,INDEX(CustInfo!$A$2:$A$1001,RANDBETWEEN(1,1000)),N1480)</f>
        <v>11144</v>
      </c>
      <c r="O1481" t="s">
        <v>1001</v>
      </c>
      <c r="P1481">
        <v>52937615</v>
      </c>
    </row>
    <row r="1482" spans="1:16" x14ac:dyDescent="0.35">
      <c r="A1482">
        <v>93827212555</v>
      </c>
      <c r="C1482" s="2" t="s">
        <v>883</v>
      </c>
      <c r="D1482">
        <v>2</v>
      </c>
      <c r="E1482">
        <v>76891213372</v>
      </c>
      <c r="F1482">
        <f t="shared" ca="1" si="46"/>
        <v>88</v>
      </c>
      <c r="G1482">
        <f ca="1">VLOOKUP(E1482,PurchItem!$A$2:$H$508,8,0)</f>
        <v>6535.386894947068</v>
      </c>
      <c r="H1482">
        <v>0.06</v>
      </c>
      <c r="I1482" t="s">
        <v>244</v>
      </c>
      <c r="J1482" s="5">
        <v>45431.594524409724</v>
      </c>
      <c r="K1482" s="5">
        <v>45434.189048819448</v>
      </c>
      <c r="M1482">
        <f t="shared" si="47"/>
        <v>10029727785</v>
      </c>
      <c r="N1482">
        <f ca="1">IF(M1482&lt;&gt;M1481,INDEX(CustInfo!$A$2:$A$1001,RANDBETWEEN(1,1000)),N1481)</f>
        <v>11144</v>
      </c>
      <c r="O1482" t="s">
        <v>1001</v>
      </c>
      <c r="P1482">
        <v>52937616</v>
      </c>
    </row>
    <row r="1483" spans="1:16" x14ac:dyDescent="0.35">
      <c r="A1483">
        <v>93827212556</v>
      </c>
      <c r="C1483" s="2" t="s">
        <v>883</v>
      </c>
      <c r="D1483">
        <v>1</v>
      </c>
      <c r="E1483">
        <v>76891213339</v>
      </c>
      <c r="F1483">
        <f t="shared" ca="1" si="46"/>
        <v>29</v>
      </c>
      <c r="G1483">
        <f ca="1">VLOOKUP(E1483,PurchItem!$A$2:$H$508,8,0)</f>
        <v>1786.9343173094894</v>
      </c>
      <c r="H1483">
        <v>0.05</v>
      </c>
      <c r="I1483" t="s">
        <v>244</v>
      </c>
      <c r="J1483" s="5">
        <v>45409.594524409724</v>
      </c>
      <c r="K1483" s="5">
        <v>45412.189048819448</v>
      </c>
      <c r="M1483">
        <f t="shared" si="47"/>
        <v>10029727786</v>
      </c>
      <c r="N1483">
        <f ca="1">IF(M1483&lt;&gt;M1482,INDEX(CustInfo!$A$2:$A$1001,RANDBETWEEN(1,1000)),N1482)</f>
        <v>11361</v>
      </c>
      <c r="O1483" t="s">
        <v>1003</v>
      </c>
      <c r="P1483">
        <v>52937617</v>
      </c>
    </row>
    <row r="1484" spans="1:16" x14ac:dyDescent="0.35">
      <c r="A1484">
        <v>93827212556</v>
      </c>
      <c r="C1484" s="2" t="s">
        <v>883</v>
      </c>
      <c r="D1484">
        <v>2</v>
      </c>
      <c r="E1484">
        <v>76891213176</v>
      </c>
      <c r="F1484">
        <f t="shared" ca="1" si="46"/>
        <v>16</v>
      </c>
      <c r="G1484">
        <f ca="1">VLOOKUP(E1484,PurchItem!$A$2:$H$508,8,0)</f>
        <v>7307.4100843756351</v>
      </c>
      <c r="H1484">
        <v>0.05</v>
      </c>
      <c r="I1484" t="s">
        <v>244</v>
      </c>
      <c r="J1484" s="5">
        <f ca="1">RANDBETWEEN(DATE(2022,1,1),TODAY()-30)+$U$2</f>
        <v>45486</v>
      </c>
      <c r="K1484" s="5">
        <f ca="1">J1484+RANDBETWEEN(0,3)+$U$2</f>
        <v>45487</v>
      </c>
      <c r="M1484">
        <f t="shared" si="47"/>
        <v>10029727786</v>
      </c>
      <c r="N1484">
        <f ca="1">IF(M1484&lt;&gt;M1483,INDEX(CustInfo!$A$2:$A$1001,RANDBETWEEN(1,1000)),N1483)</f>
        <v>11361</v>
      </c>
      <c r="O1484" t="s">
        <v>1003</v>
      </c>
      <c r="P1484">
        <v>52937618</v>
      </c>
    </row>
    <row r="1485" spans="1:16" x14ac:dyDescent="0.35">
      <c r="A1485">
        <v>93827212556</v>
      </c>
      <c r="C1485" s="2" t="s">
        <v>883</v>
      </c>
      <c r="D1485">
        <v>3</v>
      </c>
      <c r="E1485">
        <v>76891213589</v>
      </c>
      <c r="F1485">
        <f t="shared" ca="1" si="46"/>
        <v>75</v>
      </c>
      <c r="G1485">
        <f ca="1">VLOOKUP(E1485,PurchItem!$A$2:$H$508,8,0)</f>
        <v>3128.167531064591</v>
      </c>
      <c r="H1485">
        <v>0.04</v>
      </c>
      <c r="I1485" t="s">
        <v>244</v>
      </c>
      <c r="J1485" s="5">
        <v>44774.594524409724</v>
      </c>
      <c r="K1485" s="5">
        <v>44776.189048819448</v>
      </c>
      <c r="M1485">
        <f t="shared" si="47"/>
        <v>10029727786</v>
      </c>
      <c r="N1485">
        <f ca="1">IF(M1485&lt;&gt;M1484,INDEX(CustInfo!$A$2:$A$1001,RANDBETWEEN(1,1000)),N1484)</f>
        <v>11361</v>
      </c>
      <c r="O1485" t="s">
        <v>1003</v>
      </c>
      <c r="P1485">
        <v>52937619</v>
      </c>
    </row>
    <row r="1486" spans="1:16" x14ac:dyDescent="0.35">
      <c r="A1486">
        <v>93827212557</v>
      </c>
      <c r="C1486" s="2" t="s">
        <v>883</v>
      </c>
      <c r="D1486">
        <v>1</v>
      </c>
      <c r="E1486">
        <v>76891213607</v>
      </c>
      <c r="F1486">
        <f t="shared" ca="1" si="46"/>
        <v>95</v>
      </c>
      <c r="G1486">
        <f ca="1">VLOOKUP(E1486,PurchItem!$A$2:$H$508,8,0)</f>
        <v>2128.5929882153723</v>
      </c>
      <c r="H1486">
        <v>0.04</v>
      </c>
      <c r="I1486" t="s">
        <v>244</v>
      </c>
      <c r="J1486" s="5">
        <v>45569.594524409724</v>
      </c>
      <c r="K1486" s="5">
        <v>45571.189048819448</v>
      </c>
      <c r="M1486">
        <f t="shared" si="47"/>
        <v>10029727787</v>
      </c>
      <c r="N1486">
        <f ca="1">IF(M1486&lt;&gt;M1485,INDEX(CustInfo!$A$2:$A$1001,RANDBETWEEN(1,1000)),N1485)</f>
        <v>11949</v>
      </c>
      <c r="O1486" t="s">
        <v>1001</v>
      </c>
      <c r="P1486">
        <v>52937620</v>
      </c>
    </row>
    <row r="1487" spans="1:16" x14ac:dyDescent="0.35">
      <c r="A1487">
        <v>93827212557</v>
      </c>
      <c r="C1487" s="2" t="s">
        <v>883</v>
      </c>
      <c r="D1487">
        <v>2</v>
      </c>
      <c r="E1487">
        <v>76891213281</v>
      </c>
      <c r="F1487">
        <f t="shared" ca="1" si="46"/>
        <v>13</v>
      </c>
      <c r="G1487">
        <f ca="1">VLOOKUP(E1487,PurchItem!$A$2:$H$508,8,0)</f>
        <v>9058.0092731097448</v>
      </c>
      <c r="H1487">
        <v>0.06</v>
      </c>
      <c r="I1487" t="s">
        <v>244</v>
      </c>
      <c r="J1487" s="5">
        <v>44605.594524409724</v>
      </c>
      <c r="K1487" s="5">
        <v>44609.189048819448</v>
      </c>
      <c r="M1487">
        <f t="shared" si="47"/>
        <v>10029727787</v>
      </c>
      <c r="N1487">
        <f ca="1">IF(M1487&lt;&gt;M1486,INDEX(CustInfo!$A$2:$A$1001,RANDBETWEEN(1,1000)),N1486)</f>
        <v>11949</v>
      </c>
      <c r="O1487" t="s">
        <v>1001</v>
      </c>
      <c r="P1487">
        <v>52937621</v>
      </c>
    </row>
    <row r="1488" spans="1:16" x14ac:dyDescent="0.35">
      <c r="A1488">
        <v>93827212558</v>
      </c>
      <c r="C1488" s="2" t="s">
        <v>883</v>
      </c>
      <c r="D1488">
        <v>1</v>
      </c>
      <c r="E1488">
        <v>76891213301</v>
      </c>
      <c r="F1488">
        <f t="shared" ca="1" si="46"/>
        <v>64</v>
      </c>
      <c r="G1488">
        <f ca="1">VLOOKUP(E1488,PurchItem!$A$2:$H$508,8,0)</f>
        <v>7819.5992848678015</v>
      </c>
      <c r="H1488">
        <v>0.06</v>
      </c>
      <c r="I1488" t="s">
        <v>244</v>
      </c>
      <c r="J1488" s="5">
        <v>45491.594524409724</v>
      </c>
      <c r="K1488" s="5">
        <v>45493.189048819448</v>
      </c>
      <c r="M1488">
        <f t="shared" si="47"/>
        <v>10029727788</v>
      </c>
      <c r="N1488">
        <f ca="1">IF(M1488&lt;&gt;M1487,INDEX(CustInfo!$A$2:$A$1001,RANDBETWEEN(1,1000)),N1487)</f>
        <v>11950</v>
      </c>
      <c r="O1488" t="s">
        <v>1003</v>
      </c>
      <c r="P1488">
        <v>52937622</v>
      </c>
    </row>
    <row r="1489" spans="1:16" x14ac:dyDescent="0.35">
      <c r="A1489">
        <v>93827212559</v>
      </c>
      <c r="C1489" s="2" t="s">
        <v>883</v>
      </c>
      <c r="D1489">
        <v>1</v>
      </c>
      <c r="E1489">
        <v>76891213554</v>
      </c>
      <c r="F1489">
        <f t="shared" ca="1" si="46"/>
        <v>46</v>
      </c>
      <c r="G1489">
        <f ca="1">VLOOKUP(E1489,PurchItem!$A$2:$H$508,8,0)</f>
        <v>951.21890056653785</v>
      </c>
      <c r="H1489">
        <v>0.04</v>
      </c>
      <c r="I1489" t="s">
        <v>244</v>
      </c>
      <c r="J1489" s="5">
        <v>45521.594524409724</v>
      </c>
      <c r="K1489" s="5">
        <v>45523.189048819448</v>
      </c>
      <c r="M1489">
        <f t="shared" si="47"/>
        <v>10029727789</v>
      </c>
      <c r="N1489">
        <f ca="1">IF(M1489&lt;&gt;M1488,INDEX(CustInfo!$A$2:$A$1001,RANDBETWEEN(1,1000)),N1488)</f>
        <v>11105</v>
      </c>
      <c r="O1489" t="s">
        <v>1001</v>
      </c>
      <c r="P1489">
        <v>52937623</v>
      </c>
    </row>
    <row r="1490" spans="1:16" x14ac:dyDescent="0.35">
      <c r="A1490">
        <v>93827212559</v>
      </c>
      <c r="C1490" s="2" t="s">
        <v>883</v>
      </c>
      <c r="D1490">
        <v>2</v>
      </c>
      <c r="E1490">
        <v>76891213576</v>
      </c>
      <c r="F1490">
        <f t="shared" ca="1" si="46"/>
        <v>50</v>
      </c>
      <c r="G1490">
        <f ca="1">VLOOKUP(E1490,PurchItem!$A$2:$H$508,8,0)</f>
        <v>8640.0306177993825</v>
      </c>
      <c r="H1490">
        <v>0.05</v>
      </c>
      <c r="I1490" t="s">
        <v>244</v>
      </c>
      <c r="J1490" s="5">
        <v>45590.594524409724</v>
      </c>
      <c r="K1490" s="5">
        <v>45593.189048819448</v>
      </c>
      <c r="M1490">
        <f t="shared" si="47"/>
        <v>10029727789</v>
      </c>
      <c r="N1490">
        <f ca="1">IF(M1490&lt;&gt;M1489,INDEX(CustInfo!$A$2:$A$1001,RANDBETWEEN(1,1000)),N1489)</f>
        <v>11105</v>
      </c>
      <c r="O1490" t="s">
        <v>1001</v>
      </c>
      <c r="P1490">
        <v>52937624</v>
      </c>
    </row>
    <row r="1491" spans="1:16" x14ac:dyDescent="0.35">
      <c r="A1491">
        <v>93827212559</v>
      </c>
      <c r="C1491" s="2" t="s">
        <v>883</v>
      </c>
      <c r="D1491">
        <v>3</v>
      </c>
      <c r="E1491">
        <v>76891213232</v>
      </c>
      <c r="F1491">
        <f t="shared" ca="1" si="46"/>
        <v>71</v>
      </c>
      <c r="G1491">
        <f ca="1">VLOOKUP(E1491,PurchItem!$A$2:$H$508,8,0)</f>
        <v>8714.7937057341314</v>
      </c>
      <c r="H1491">
        <v>0.04</v>
      </c>
      <c r="I1491" t="s">
        <v>244</v>
      </c>
      <c r="J1491" s="5">
        <v>45408.594524409724</v>
      </c>
      <c r="K1491" s="5">
        <v>45411.189048819448</v>
      </c>
      <c r="M1491">
        <f t="shared" si="47"/>
        <v>10029727789</v>
      </c>
      <c r="N1491">
        <f ca="1">IF(M1491&lt;&gt;M1490,INDEX(CustInfo!$A$2:$A$1001,RANDBETWEEN(1,1000)),N1490)</f>
        <v>11105</v>
      </c>
      <c r="O1491" t="s">
        <v>1001</v>
      </c>
      <c r="P1491">
        <v>52937625</v>
      </c>
    </row>
    <row r="1492" spans="1:16" x14ac:dyDescent="0.35">
      <c r="A1492">
        <v>93827212560</v>
      </c>
      <c r="C1492" s="2" t="s">
        <v>883</v>
      </c>
      <c r="D1492">
        <v>1</v>
      </c>
      <c r="E1492">
        <v>76891213278</v>
      </c>
      <c r="F1492">
        <f t="shared" ca="1" si="46"/>
        <v>42</v>
      </c>
      <c r="G1492">
        <f ca="1">VLOOKUP(E1492,PurchItem!$A$2:$H$508,8,0)</f>
        <v>5013.6146298172789</v>
      </c>
      <c r="H1492">
        <v>0.05</v>
      </c>
      <c r="I1492" t="s">
        <v>244</v>
      </c>
      <c r="J1492" s="5">
        <v>45202.594524409724</v>
      </c>
      <c r="K1492" s="5">
        <v>45205.189048819448</v>
      </c>
      <c r="M1492">
        <f t="shared" si="47"/>
        <v>10029727790</v>
      </c>
      <c r="N1492">
        <f ca="1">IF(M1492&lt;&gt;M1491,INDEX(CustInfo!$A$2:$A$1001,RANDBETWEEN(1,1000)),N1491)</f>
        <v>11879</v>
      </c>
      <c r="O1492" t="s">
        <v>1002</v>
      </c>
      <c r="P1492">
        <v>52937626</v>
      </c>
    </row>
    <row r="1493" spans="1:16" x14ac:dyDescent="0.35">
      <c r="A1493">
        <v>93827212560</v>
      </c>
      <c r="C1493" s="2" t="s">
        <v>883</v>
      </c>
      <c r="D1493">
        <v>2</v>
      </c>
      <c r="E1493">
        <v>76891213567</v>
      </c>
      <c r="F1493">
        <f t="shared" ca="1" si="46"/>
        <v>33</v>
      </c>
      <c r="G1493">
        <f ca="1">VLOOKUP(E1493,PurchItem!$A$2:$H$508,8,0)</f>
        <v>8161.6186808956736</v>
      </c>
      <c r="H1493">
        <v>0.05</v>
      </c>
      <c r="I1493" t="s">
        <v>244</v>
      </c>
      <c r="J1493" s="5">
        <v>45002.594524409724</v>
      </c>
      <c r="K1493" s="5">
        <v>45004.189048819448</v>
      </c>
      <c r="M1493">
        <f t="shared" si="47"/>
        <v>10029727790</v>
      </c>
      <c r="N1493">
        <f ca="1">IF(M1493&lt;&gt;M1492,INDEX(CustInfo!$A$2:$A$1001,RANDBETWEEN(1,1000)),N1492)</f>
        <v>11879</v>
      </c>
      <c r="O1493" t="s">
        <v>1002</v>
      </c>
      <c r="P1493">
        <v>52937627</v>
      </c>
    </row>
    <row r="1494" spans="1:16" x14ac:dyDescent="0.35">
      <c r="A1494">
        <v>93827212560</v>
      </c>
      <c r="C1494" s="2" t="s">
        <v>883</v>
      </c>
      <c r="D1494">
        <v>3</v>
      </c>
      <c r="E1494">
        <v>76891213603</v>
      </c>
      <c r="F1494">
        <f t="shared" ca="1" si="46"/>
        <v>85</v>
      </c>
      <c r="G1494">
        <f ca="1">VLOOKUP(E1494,PurchItem!$A$2:$H$508,8,0)</f>
        <v>4831.6381960821909</v>
      </c>
      <c r="H1494">
        <v>0.05</v>
      </c>
      <c r="I1494" t="s">
        <v>244</v>
      </c>
      <c r="J1494" s="5">
        <v>45250.594524409724</v>
      </c>
      <c r="K1494" s="5">
        <v>45251.189048819448</v>
      </c>
      <c r="M1494">
        <f t="shared" si="47"/>
        <v>10029727790</v>
      </c>
      <c r="N1494">
        <f ca="1">IF(M1494&lt;&gt;M1493,INDEX(CustInfo!$A$2:$A$1001,RANDBETWEEN(1,1000)),N1493)</f>
        <v>11879</v>
      </c>
      <c r="O1494" t="s">
        <v>1002</v>
      </c>
      <c r="P1494">
        <v>52937628</v>
      </c>
    </row>
    <row r="1495" spans="1:16" x14ac:dyDescent="0.35">
      <c r="A1495">
        <v>93827212561</v>
      </c>
      <c r="C1495" s="2" t="s">
        <v>883</v>
      </c>
      <c r="D1495">
        <v>1</v>
      </c>
      <c r="E1495">
        <v>76891213538</v>
      </c>
      <c r="F1495">
        <f t="shared" ca="1" si="46"/>
        <v>53</v>
      </c>
      <c r="G1495">
        <f ca="1">VLOOKUP(E1495,PurchItem!$A$2:$H$508,8,0)</f>
        <v>6616.0040221118334</v>
      </c>
      <c r="H1495">
        <v>0.04</v>
      </c>
      <c r="I1495" t="s">
        <v>244</v>
      </c>
      <c r="J1495" s="5">
        <v>45401.594524409724</v>
      </c>
      <c r="K1495" s="5">
        <v>45403.189048819448</v>
      </c>
      <c r="M1495">
        <f t="shared" si="47"/>
        <v>10029727791</v>
      </c>
      <c r="N1495">
        <f ca="1">IF(M1495&lt;&gt;M1494,INDEX(CustInfo!$A$2:$A$1001,RANDBETWEEN(1,1000)),N1494)</f>
        <v>11666</v>
      </c>
      <c r="O1495" t="s">
        <v>1002</v>
      </c>
      <c r="P1495">
        <v>52937629</v>
      </c>
    </row>
    <row r="1496" spans="1:16" x14ac:dyDescent="0.35">
      <c r="A1496">
        <v>93827212561</v>
      </c>
      <c r="C1496" s="2" t="s">
        <v>883</v>
      </c>
      <c r="D1496">
        <v>2</v>
      </c>
      <c r="E1496">
        <v>76891213190</v>
      </c>
      <c r="F1496">
        <f t="shared" ca="1" si="46"/>
        <v>30</v>
      </c>
      <c r="G1496">
        <f ca="1">VLOOKUP(E1496,PurchItem!$A$2:$H$508,8,0)</f>
        <v>2487.2197753691553</v>
      </c>
      <c r="H1496">
        <v>0.05</v>
      </c>
      <c r="I1496" t="s">
        <v>244</v>
      </c>
      <c r="J1496" s="5">
        <v>45421.594524409724</v>
      </c>
      <c r="K1496" s="5">
        <v>45422.189048819448</v>
      </c>
      <c r="M1496">
        <f t="shared" si="47"/>
        <v>10029727791</v>
      </c>
      <c r="N1496">
        <f ca="1">IF(M1496&lt;&gt;M1495,INDEX(CustInfo!$A$2:$A$1001,RANDBETWEEN(1,1000)),N1495)</f>
        <v>11666</v>
      </c>
      <c r="O1496" t="s">
        <v>1002</v>
      </c>
      <c r="P1496">
        <v>52937630</v>
      </c>
    </row>
    <row r="1497" spans="1:16" x14ac:dyDescent="0.35">
      <c r="A1497">
        <v>93827212561</v>
      </c>
      <c r="C1497" s="2" t="s">
        <v>883</v>
      </c>
      <c r="D1497">
        <v>3</v>
      </c>
      <c r="E1497">
        <v>76891213312</v>
      </c>
      <c r="F1497">
        <f t="shared" ca="1" si="46"/>
        <v>55</v>
      </c>
      <c r="G1497">
        <f ca="1">VLOOKUP(E1497,PurchItem!$A$2:$H$508,8,0)</f>
        <v>4852.9147599245198</v>
      </c>
      <c r="H1497">
        <v>0.06</v>
      </c>
      <c r="I1497" t="s">
        <v>244</v>
      </c>
      <c r="J1497" s="5">
        <v>44696.594524409724</v>
      </c>
      <c r="K1497" s="5">
        <v>44697.189048819448</v>
      </c>
      <c r="M1497">
        <f t="shared" si="47"/>
        <v>10029727791</v>
      </c>
      <c r="N1497">
        <f ca="1">IF(M1497&lt;&gt;M1496,INDEX(CustInfo!$A$2:$A$1001,RANDBETWEEN(1,1000)),N1496)</f>
        <v>11666</v>
      </c>
      <c r="O1497" t="s">
        <v>1002</v>
      </c>
      <c r="P1497">
        <v>52937631</v>
      </c>
    </row>
    <row r="1498" spans="1:16" x14ac:dyDescent="0.35">
      <c r="A1498">
        <v>93827212561</v>
      </c>
      <c r="C1498" s="2" t="s">
        <v>883</v>
      </c>
      <c r="D1498">
        <v>4</v>
      </c>
      <c r="E1498">
        <v>76891213562</v>
      </c>
      <c r="F1498">
        <f t="shared" ca="1" si="46"/>
        <v>87</v>
      </c>
      <c r="G1498">
        <f ca="1">VLOOKUP(E1498,PurchItem!$A$2:$H$508,8,0)</f>
        <v>740.07486669970649</v>
      </c>
      <c r="H1498">
        <v>0.05</v>
      </c>
      <c r="I1498" t="s">
        <v>244</v>
      </c>
      <c r="J1498" s="5">
        <v>45399.594524409724</v>
      </c>
      <c r="K1498" s="5">
        <v>45403.189048819448</v>
      </c>
      <c r="M1498">
        <f t="shared" si="47"/>
        <v>10029727791</v>
      </c>
      <c r="N1498">
        <f ca="1">IF(M1498&lt;&gt;M1497,INDEX(CustInfo!$A$2:$A$1001,RANDBETWEEN(1,1000)),N1497)</f>
        <v>11666</v>
      </c>
      <c r="O1498" t="s">
        <v>1002</v>
      </c>
      <c r="P1498">
        <v>52937632</v>
      </c>
    </row>
    <row r="1499" spans="1:16" x14ac:dyDescent="0.35">
      <c r="A1499">
        <v>93827212562</v>
      </c>
      <c r="C1499" s="2" t="s">
        <v>883</v>
      </c>
      <c r="D1499">
        <v>1</v>
      </c>
      <c r="E1499">
        <v>76891213462</v>
      </c>
      <c r="F1499">
        <f t="shared" ca="1" si="46"/>
        <v>47</v>
      </c>
      <c r="G1499">
        <f ca="1">VLOOKUP(E1499,PurchItem!$A$2:$H$508,8,0)</f>
        <v>2503.8974047317301</v>
      </c>
      <c r="H1499">
        <v>0.06</v>
      </c>
      <c r="I1499" t="s">
        <v>244</v>
      </c>
      <c r="J1499" s="5">
        <v>44797.594524409724</v>
      </c>
      <c r="K1499" s="5">
        <v>44798.189048819448</v>
      </c>
      <c r="M1499">
        <f t="shared" si="47"/>
        <v>10029727792</v>
      </c>
      <c r="N1499">
        <f ca="1">IF(M1499&lt;&gt;M1498,INDEX(CustInfo!$A$2:$A$1001,RANDBETWEEN(1,1000)),N1498)</f>
        <v>11497</v>
      </c>
      <c r="O1499" t="s">
        <v>1003</v>
      </c>
      <c r="P1499">
        <v>52937633</v>
      </c>
    </row>
    <row r="1500" spans="1:16" x14ac:dyDescent="0.35">
      <c r="A1500">
        <v>93827212562</v>
      </c>
      <c r="C1500" s="2" t="s">
        <v>883</v>
      </c>
      <c r="D1500">
        <v>2</v>
      </c>
      <c r="E1500">
        <v>76891213513</v>
      </c>
      <c r="F1500">
        <f t="shared" ca="1" si="46"/>
        <v>39</v>
      </c>
      <c r="G1500">
        <f ca="1">VLOOKUP(E1500,PurchItem!$A$2:$H$508,8,0)</f>
        <v>8751.058887926647</v>
      </c>
      <c r="H1500">
        <v>0.06</v>
      </c>
      <c r="I1500" t="s">
        <v>244</v>
      </c>
      <c r="J1500" s="5">
        <v>44996.594524409724</v>
      </c>
      <c r="K1500" s="5">
        <v>44997.189048819448</v>
      </c>
      <c r="M1500">
        <f t="shared" si="47"/>
        <v>10029727792</v>
      </c>
      <c r="N1500">
        <f ca="1">IF(M1500&lt;&gt;M1499,INDEX(CustInfo!$A$2:$A$1001,RANDBETWEEN(1,1000)),N1499)</f>
        <v>11497</v>
      </c>
      <c r="O1500" t="s">
        <v>1003</v>
      </c>
      <c r="P1500">
        <v>52937634</v>
      </c>
    </row>
    <row r="1501" spans="1:16" x14ac:dyDescent="0.35">
      <c r="A1501">
        <v>93827212562</v>
      </c>
      <c r="C1501" s="2" t="s">
        <v>883</v>
      </c>
      <c r="D1501">
        <v>3</v>
      </c>
      <c r="E1501">
        <v>76891213551</v>
      </c>
      <c r="F1501">
        <f t="shared" ca="1" si="46"/>
        <v>16</v>
      </c>
      <c r="G1501">
        <f ca="1">VLOOKUP(E1501,PurchItem!$A$2:$H$508,8,0)</f>
        <v>8257.6439178880792</v>
      </c>
      <c r="H1501">
        <v>0.05</v>
      </c>
      <c r="I1501" t="s">
        <v>244</v>
      </c>
      <c r="J1501" s="5">
        <v>45566.594524409724</v>
      </c>
      <c r="K1501" s="5">
        <v>45568.189048819448</v>
      </c>
      <c r="M1501">
        <f t="shared" si="47"/>
        <v>10029727792</v>
      </c>
      <c r="N1501">
        <f ca="1">IF(M1501&lt;&gt;M1500,INDEX(CustInfo!$A$2:$A$1001,RANDBETWEEN(1,1000)),N1500)</f>
        <v>11497</v>
      </c>
      <c r="O1501" t="s">
        <v>1003</v>
      </c>
      <c r="P1501">
        <v>52937635</v>
      </c>
    </row>
    <row r="1502" spans="1:16" x14ac:dyDescent="0.35">
      <c r="A1502">
        <v>93827212563</v>
      </c>
      <c r="C1502" s="2" t="s">
        <v>883</v>
      </c>
      <c r="D1502">
        <v>1</v>
      </c>
      <c r="E1502">
        <v>76891213334</v>
      </c>
      <c r="F1502">
        <f t="shared" ca="1" si="46"/>
        <v>67</v>
      </c>
      <c r="G1502">
        <f ca="1">VLOOKUP(E1502,PurchItem!$A$2:$H$508,8,0)</f>
        <v>8701.4873817400676</v>
      </c>
      <c r="H1502">
        <v>0.06</v>
      </c>
      <c r="I1502" t="s">
        <v>244</v>
      </c>
      <c r="J1502" s="5">
        <v>44870.594524409724</v>
      </c>
      <c r="K1502" s="5">
        <v>44872.189048819448</v>
      </c>
      <c r="M1502">
        <f t="shared" si="47"/>
        <v>10029727793</v>
      </c>
      <c r="N1502">
        <f ca="1">IF(M1502&lt;&gt;M1501,INDEX(CustInfo!$A$2:$A$1001,RANDBETWEEN(1,1000)),N1501)</f>
        <v>11741</v>
      </c>
      <c r="O1502" t="s">
        <v>1003</v>
      </c>
      <c r="P1502">
        <v>52937636</v>
      </c>
    </row>
    <row r="1503" spans="1:16" x14ac:dyDescent="0.35">
      <c r="A1503">
        <v>93827212563</v>
      </c>
      <c r="C1503" s="2" t="s">
        <v>883</v>
      </c>
      <c r="D1503">
        <v>2</v>
      </c>
      <c r="E1503">
        <v>76891213345</v>
      </c>
      <c r="F1503">
        <f t="shared" ca="1" si="46"/>
        <v>67</v>
      </c>
      <c r="G1503">
        <f ca="1">VLOOKUP(E1503,PurchItem!$A$2:$H$508,8,0)</f>
        <v>3652.5312345375505</v>
      </c>
      <c r="H1503">
        <v>0.06</v>
      </c>
      <c r="I1503" t="s">
        <v>244</v>
      </c>
      <c r="J1503" s="5">
        <v>45483.594524409724</v>
      </c>
      <c r="K1503" s="5">
        <v>45486.189048819448</v>
      </c>
      <c r="M1503">
        <f t="shared" si="47"/>
        <v>10029727793</v>
      </c>
      <c r="N1503">
        <f ca="1">IF(M1503&lt;&gt;M1502,INDEX(CustInfo!$A$2:$A$1001,RANDBETWEEN(1,1000)),N1502)</f>
        <v>11741</v>
      </c>
      <c r="O1503" t="s">
        <v>1003</v>
      </c>
      <c r="P1503">
        <v>52937637</v>
      </c>
    </row>
    <row r="1504" spans="1:16" x14ac:dyDescent="0.35">
      <c r="A1504">
        <v>93827212563</v>
      </c>
      <c r="C1504" s="2" t="s">
        <v>883</v>
      </c>
      <c r="D1504">
        <v>3</v>
      </c>
      <c r="E1504">
        <v>76891213561</v>
      </c>
      <c r="F1504">
        <f t="shared" ca="1" si="46"/>
        <v>7</v>
      </c>
      <c r="G1504">
        <f ca="1">VLOOKUP(E1504,PurchItem!$A$2:$H$508,8,0)</f>
        <v>4135.0778560905919</v>
      </c>
      <c r="H1504">
        <v>0.04</v>
      </c>
      <c r="I1504" t="s">
        <v>244</v>
      </c>
      <c r="J1504" s="5">
        <v>44572.594524409724</v>
      </c>
      <c r="K1504" s="5">
        <v>44573.189048819448</v>
      </c>
      <c r="M1504">
        <f t="shared" si="47"/>
        <v>10029727793</v>
      </c>
      <c r="N1504">
        <f ca="1">IF(M1504&lt;&gt;M1503,INDEX(CustInfo!$A$2:$A$1001,RANDBETWEEN(1,1000)),N1503)</f>
        <v>11741</v>
      </c>
      <c r="O1504" t="s">
        <v>1003</v>
      </c>
      <c r="P1504">
        <v>52937638</v>
      </c>
    </row>
    <row r="1505" spans="1:16" x14ac:dyDescent="0.35">
      <c r="A1505">
        <v>93827212563</v>
      </c>
      <c r="C1505" s="2" t="s">
        <v>883</v>
      </c>
      <c r="D1505">
        <v>4</v>
      </c>
      <c r="E1505">
        <v>76891213455</v>
      </c>
      <c r="F1505">
        <f t="shared" ca="1" si="46"/>
        <v>41</v>
      </c>
      <c r="G1505">
        <f ca="1">VLOOKUP(E1505,PurchItem!$A$2:$H$508,8,0)</f>
        <v>783.48955625183578</v>
      </c>
      <c r="H1505">
        <v>0.05</v>
      </c>
      <c r="I1505" t="s">
        <v>244</v>
      </c>
      <c r="J1505" s="5">
        <v>44801.594524409724</v>
      </c>
      <c r="K1505" s="5">
        <v>44805.189048819448</v>
      </c>
      <c r="M1505">
        <f t="shared" si="47"/>
        <v>10029727793</v>
      </c>
      <c r="N1505">
        <f ca="1">IF(M1505&lt;&gt;M1504,INDEX(CustInfo!$A$2:$A$1001,RANDBETWEEN(1,1000)),N1504)</f>
        <v>11741</v>
      </c>
      <c r="O1505" t="s">
        <v>1003</v>
      </c>
      <c r="P1505">
        <v>52937639</v>
      </c>
    </row>
    <row r="1506" spans="1:16" x14ac:dyDescent="0.35">
      <c r="A1506">
        <v>93827212564</v>
      </c>
      <c r="C1506" s="2" t="s">
        <v>883</v>
      </c>
      <c r="D1506">
        <v>1</v>
      </c>
      <c r="E1506">
        <v>76891213175</v>
      </c>
      <c r="F1506">
        <f t="shared" ca="1" si="46"/>
        <v>87</v>
      </c>
      <c r="G1506">
        <f ca="1">VLOOKUP(E1506,PurchItem!$A$2:$H$508,8,0)</f>
        <v>8239.6279667406998</v>
      </c>
      <c r="H1506">
        <v>0.06</v>
      </c>
      <c r="I1506" t="s">
        <v>244</v>
      </c>
      <c r="J1506" s="5">
        <v>44747.594524409724</v>
      </c>
      <c r="K1506" s="5">
        <v>44749.189048819448</v>
      </c>
      <c r="M1506">
        <f t="shared" si="47"/>
        <v>10029727794</v>
      </c>
      <c r="N1506">
        <f ca="1">IF(M1506&lt;&gt;M1505,INDEX(CustInfo!$A$2:$A$1001,RANDBETWEEN(1,1000)),N1505)</f>
        <v>11837</v>
      </c>
      <c r="O1506" t="s">
        <v>1002</v>
      </c>
      <c r="P1506">
        <v>52937640</v>
      </c>
    </row>
    <row r="1507" spans="1:16" x14ac:dyDescent="0.35">
      <c r="A1507">
        <v>93827212564</v>
      </c>
      <c r="C1507" s="2" t="s">
        <v>883</v>
      </c>
      <c r="D1507">
        <v>2</v>
      </c>
      <c r="E1507">
        <v>76891213427</v>
      </c>
      <c r="F1507">
        <f t="shared" ca="1" si="46"/>
        <v>56</v>
      </c>
      <c r="G1507">
        <f ca="1">VLOOKUP(E1507,PurchItem!$A$2:$H$508,8,0)</f>
        <v>2482.576406869925</v>
      </c>
      <c r="H1507">
        <v>0.04</v>
      </c>
      <c r="I1507" t="s">
        <v>244</v>
      </c>
      <c r="J1507" s="5">
        <v>44717.594524409724</v>
      </c>
      <c r="K1507" s="5">
        <v>44719.189048819448</v>
      </c>
      <c r="M1507">
        <f t="shared" si="47"/>
        <v>10029727794</v>
      </c>
      <c r="N1507">
        <f ca="1">IF(M1507&lt;&gt;M1506,INDEX(CustInfo!$A$2:$A$1001,RANDBETWEEN(1,1000)),N1506)</f>
        <v>11837</v>
      </c>
      <c r="O1507" t="s">
        <v>1002</v>
      </c>
      <c r="P1507">
        <v>52937641</v>
      </c>
    </row>
    <row r="1508" spans="1:16" x14ac:dyDescent="0.35">
      <c r="A1508">
        <v>93827212565</v>
      </c>
      <c r="C1508" s="2" t="s">
        <v>883</v>
      </c>
      <c r="D1508">
        <v>1</v>
      </c>
      <c r="E1508">
        <v>76891213332</v>
      </c>
      <c r="F1508">
        <f t="shared" ca="1" si="46"/>
        <v>93</v>
      </c>
      <c r="G1508">
        <f ca="1">VLOOKUP(E1508,PurchItem!$A$2:$H$508,8,0)</f>
        <v>5811.6103447390888</v>
      </c>
      <c r="H1508">
        <v>0.06</v>
      </c>
      <c r="I1508" t="s">
        <v>244</v>
      </c>
      <c r="J1508" s="5">
        <v>45397.594524409724</v>
      </c>
      <c r="K1508" s="5">
        <v>45399.189048819448</v>
      </c>
      <c r="M1508">
        <f t="shared" si="47"/>
        <v>10029727795</v>
      </c>
      <c r="N1508">
        <f ca="1">IF(M1508&lt;&gt;M1507,INDEX(CustInfo!$A$2:$A$1001,RANDBETWEEN(1,1000)),N1507)</f>
        <v>11226</v>
      </c>
      <c r="O1508" t="s">
        <v>1002</v>
      </c>
      <c r="P1508">
        <v>52937642</v>
      </c>
    </row>
    <row r="1509" spans="1:16" x14ac:dyDescent="0.35">
      <c r="A1509">
        <v>93827212565</v>
      </c>
      <c r="C1509" s="2" t="s">
        <v>883</v>
      </c>
      <c r="D1509">
        <v>2</v>
      </c>
      <c r="E1509">
        <v>76891213247</v>
      </c>
      <c r="F1509">
        <f t="shared" ca="1" si="46"/>
        <v>11</v>
      </c>
      <c r="G1509">
        <f ca="1">VLOOKUP(E1509,PurchItem!$A$2:$H$508,8,0)</f>
        <v>6755.835133399748</v>
      </c>
      <c r="H1509">
        <v>0.05</v>
      </c>
      <c r="I1509" t="s">
        <v>244</v>
      </c>
      <c r="J1509" s="5">
        <v>45307.594524409724</v>
      </c>
      <c r="K1509" s="5">
        <v>45311.189048819448</v>
      </c>
      <c r="M1509">
        <f t="shared" si="47"/>
        <v>10029727795</v>
      </c>
      <c r="N1509">
        <f ca="1">IF(M1509&lt;&gt;M1508,INDEX(CustInfo!$A$2:$A$1001,RANDBETWEEN(1,1000)),N1508)</f>
        <v>11226</v>
      </c>
      <c r="O1509" t="s">
        <v>1002</v>
      </c>
      <c r="P1509">
        <v>52937643</v>
      </c>
    </row>
    <row r="1510" spans="1:16" x14ac:dyDescent="0.35">
      <c r="A1510">
        <v>93827212566</v>
      </c>
      <c r="C1510" s="2" t="s">
        <v>883</v>
      </c>
      <c r="D1510">
        <v>1</v>
      </c>
      <c r="E1510">
        <v>76891213299</v>
      </c>
      <c r="F1510">
        <f t="shared" ca="1" si="46"/>
        <v>70</v>
      </c>
      <c r="G1510">
        <f ca="1">VLOOKUP(E1510,PurchItem!$A$2:$H$508,8,0)</f>
        <v>2827.2951808398761</v>
      </c>
      <c r="H1510">
        <v>0.06</v>
      </c>
      <c r="I1510" t="s">
        <v>244</v>
      </c>
      <c r="J1510" s="5">
        <v>45305.594524409724</v>
      </c>
      <c r="K1510" s="5">
        <v>45309.189048819448</v>
      </c>
      <c r="M1510">
        <f t="shared" si="47"/>
        <v>10029727796</v>
      </c>
      <c r="N1510">
        <f ca="1">IF(M1510&lt;&gt;M1509,INDEX(CustInfo!$A$2:$A$1001,RANDBETWEEN(1,1000)),N1509)</f>
        <v>11146</v>
      </c>
      <c r="O1510" t="s">
        <v>1001</v>
      </c>
      <c r="P1510">
        <v>52937644</v>
      </c>
    </row>
    <row r="1511" spans="1:16" x14ac:dyDescent="0.35">
      <c r="A1511">
        <v>93827212566</v>
      </c>
      <c r="C1511" s="2" t="s">
        <v>883</v>
      </c>
      <c r="D1511">
        <v>2</v>
      </c>
      <c r="E1511">
        <v>76891213215</v>
      </c>
      <c r="F1511">
        <f t="shared" ca="1" si="46"/>
        <v>25</v>
      </c>
      <c r="G1511">
        <f ca="1">VLOOKUP(E1511,PurchItem!$A$2:$H$508,8,0)</f>
        <v>2142.1644782232815</v>
      </c>
      <c r="H1511">
        <v>0.04</v>
      </c>
      <c r="I1511" t="s">
        <v>244</v>
      </c>
      <c r="J1511" s="5">
        <v>45132.594524409724</v>
      </c>
      <c r="K1511" s="5">
        <v>45134.189048819448</v>
      </c>
      <c r="M1511">
        <f t="shared" si="47"/>
        <v>10029727796</v>
      </c>
      <c r="N1511">
        <f ca="1">IF(M1511&lt;&gt;M1510,INDEX(CustInfo!$A$2:$A$1001,RANDBETWEEN(1,1000)),N1510)</f>
        <v>11146</v>
      </c>
      <c r="O1511" t="s">
        <v>1001</v>
      </c>
      <c r="P1511">
        <v>52937645</v>
      </c>
    </row>
    <row r="1512" spans="1:16" x14ac:dyDescent="0.35">
      <c r="A1512">
        <v>93827212566</v>
      </c>
      <c r="C1512" s="2" t="s">
        <v>883</v>
      </c>
      <c r="D1512">
        <v>3</v>
      </c>
      <c r="E1512">
        <v>76891213249</v>
      </c>
      <c r="F1512">
        <f t="shared" ca="1" si="46"/>
        <v>34</v>
      </c>
      <c r="G1512">
        <f ca="1">VLOOKUP(E1512,PurchItem!$A$2:$H$508,8,0)</f>
        <v>8086.2832587876792</v>
      </c>
      <c r="H1512">
        <v>0.06</v>
      </c>
      <c r="I1512" t="s">
        <v>244</v>
      </c>
      <c r="J1512" s="5">
        <v>45428.594524409724</v>
      </c>
      <c r="K1512" s="5">
        <v>45431.189048819448</v>
      </c>
      <c r="M1512">
        <f t="shared" si="47"/>
        <v>10029727796</v>
      </c>
      <c r="N1512">
        <f ca="1">IF(M1512&lt;&gt;M1511,INDEX(CustInfo!$A$2:$A$1001,RANDBETWEEN(1,1000)),N1511)</f>
        <v>11146</v>
      </c>
      <c r="O1512" t="s">
        <v>1001</v>
      </c>
      <c r="P1512">
        <v>52937646</v>
      </c>
    </row>
    <row r="1513" spans="1:16" x14ac:dyDescent="0.35">
      <c r="A1513">
        <v>93827212566</v>
      </c>
      <c r="C1513" s="2" t="s">
        <v>883</v>
      </c>
      <c r="D1513">
        <v>4</v>
      </c>
      <c r="E1513">
        <v>76891213616</v>
      </c>
      <c r="F1513">
        <f t="shared" ca="1" si="46"/>
        <v>2</v>
      </c>
      <c r="G1513">
        <f ca="1">VLOOKUP(E1513,PurchItem!$A$2:$H$508,8,0)</f>
        <v>4776.4116895077213</v>
      </c>
      <c r="H1513">
        <v>0.04</v>
      </c>
      <c r="I1513" t="s">
        <v>244</v>
      </c>
      <c r="J1513" s="5">
        <v>44831.594524409724</v>
      </c>
      <c r="K1513" s="5">
        <v>44833.189048819448</v>
      </c>
      <c r="M1513">
        <f t="shared" si="47"/>
        <v>10029727796</v>
      </c>
      <c r="N1513">
        <f ca="1">IF(M1513&lt;&gt;M1512,INDEX(CustInfo!$A$2:$A$1001,RANDBETWEEN(1,1000)),N1512)</f>
        <v>11146</v>
      </c>
      <c r="O1513" t="s">
        <v>1001</v>
      </c>
      <c r="P1513">
        <v>52937647</v>
      </c>
    </row>
    <row r="1514" spans="1:16" x14ac:dyDescent="0.35">
      <c r="A1514">
        <v>93827212567</v>
      </c>
      <c r="C1514" s="2" t="s">
        <v>883</v>
      </c>
      <c r="D1514">
        <v>1</v>
      </c>
      <c r="E1514">
        <v>76891213464</v>
      </c>
      <c r="F1514">
        <f t="shared" ca="1" si="46"/>
        <v>13</v>
      </c>
      <c r="G1514">
        <f ca="1">VLOOKUP(E1514,PurchItem!$A$2:$H$508,8,0)</f>
        <v>3775.443890340754</v>
      </c>
      <c r="H1514">
        <v>0.06</v>
      </c>
      <c r="I1514" t="s">
        <v>244</v>
      </c>
      <c r="J1514" s="5">
        <v>44859.594524409724</v>
      </c>
      <c r="K1514" s="5">
        <v>44862.189048819448</v>
      </c>
      <c r="M1514">
        <f t="shared" si="47"/>
        <v>10029727797</v>
      </c>
      <c r="N1514">
        <f ca="1">IF(M1514&lt;&gt;M1513,INDEX(CustInfo!$A$2:$A$1001,RANDBETWEEN(1,1000)),N1513)</f>
        <v>11303</v>
      </c>
      <c r="O1514" t="s">
        <v>1001</v>
      </c>
      <c r="P1514">
        <v>52937648</v>
      </c>
    </row>
    <row r="1515" spans="1:16" x14ac:dyDescent="0.35">
      <c r="A1515">
        <v>93827212568</v>
      </c>
      <c r="C1515" s="2" t="s">
        <v>883</v>
      </c>
      <c r="D1515">
        <v>1</v>
      </c>
      <c r="E1515">
        <v>76891213371</v>
      </c>
      <c r="F1515">
        <f t="shared" ca="1" si="46"/>
        <v>9</v>
      </c>
      <c r="G1515">
        <f ca="1">VLOOKUP(E1515,PurchItem!$A$2:$H$508,8,0)</f>
        <v>2898.9854478241714</v>
      </c>
      <c r="H1515">
        <v>0.05</v>
      </c>
      <c r="I1515" t="s">
        <v>244</v>
      </c>
      <c r="J1515" s="5">
        <v>45579.594524409724</v>
      </c>
      <c r="K1515" s="5">
        <v>45581.189048819448</v>
      </c>
      <c r="M1515">
        <f t="shared" si="47"/>
        <v>10029727798</v>
      </c>
      <c r="N1515">
        <f ca="1">IF(M1515&lt;&gt;M1514,INDEX(CustInfo!$A$2:$A$1001,RANDBETWEEN(1,1000)),N1514)</f>
        <v>11090</v>
      </c>
      <c r="O1515" t="s">
        <v>1001</v>
      </c>
      <c r="P1515">
        <v>52937649</v>
      </c>
    </row>
    <row r="1516" spans="1:16" x14ac:dyDescent="0.35">
      <c r="A1516">
        <v>93827212568</v>
      </c>
      <c r="C1516" s="2" t="s">
        <v>883</v>
      </c>
      <c r="D1516">
        <v>2</v>
      </c>
      <c r="E1516">
        <v>76891213400</v>
      </c>
      <c r="F1516">
        <f t="shared" ca="1" si="46"/>
        <v>61</v>
      </c>
      <c r="G1516">
        <f ca="1">VLOOKUP(E1516,PurchItem!$A$2:$H$508,8,0)</f>
        <v>4147.0864993427804</v>
      </c>
      <c r="H1516">
        <v>0.05</v>
      </c>
      <c r="I1516" t="s">
        <v>244</v>
      </c>
      <c r="J1516" s="5">
        <v>45572.594524409724</v>
      </c>
      <c r="K1516" s="5">
        <v>45576.189048819448</v>
      </c>
      <c r="M1516">
        <f t="shared" si="47"/>
        <v>10029727798</v>
      </c>
      <c r="N1516">
        <f ca="1">IF(M1516&lt;&gt;M1515,INDEX(CustInfo!$A$2:$A$1001,RANDBETWEEN(1,1000)),N1515)</f>
        <v>11090</v>
      </c>
      <c r="O1516" t="s">
        <v>1001</v>
      </c>
      <c r="P1516">
        <v>52937650</v>
      </c>
    </row>
    <row r="1517" spans="1:16" x14ac:dyDescent="0.35">
      <c r="A1517">
        <v>93827212568</v>
      </c>
      <c r="C1517" s="2" t="s">
        <v>883</v>
      </c>
      <c r="D1517">
        <v>3</v>
      </c>
      <c r="E1517">
        <v>76891213583</v>
      </c>
      <c r="F1517">
        <f t="shared" ca="1" si="46"/>
        <v>66</v>
      </c>
      <c r="G1517">
        <f ca="1">VLOOKUP(E1517,PurchItem!$A$2:$H$508,8,0)</f>
        <v>6521.760940905634</v>
      </c>
      <c r="H1517">
        <v>0.05</v>
      </c>
      <c r="I1517" t="s">
        <v>244</v>
      </c>
      <c r="J1517" s="5">
        <v>44912.594524409724</v>
      </c>
      <c r="K1517" s="5">
        <v>44913.189048819448</v>
      </c>
      <c r="M1517">
        <f t="shared" si="47"/>
        <v>10029727798</v>
      </c>
      <c r="N1517">
        <f ca="1">IF(M1517&lt;&gt;M1516,INDEX(CustInfo!$A$2:$A$1001,RANDBETWEEN(1,1000)),N1516)</f>
        <v>11090</v>
      </c>
      <c r="O1517" t="s">
        <v>1001</v>
      </c>
      <c r="P1517">
        <v>52937651</v>
      </c>
    </row>
    <row r="1518" spans="1:16" x14ac:dyDescent="0.35">
      <c r="A1518">
        <v>93827212569</v>
      </c>
      <c r="C1518" s="2" t="s">
        <v>883</v>
      </c>
      <c r="D1518">
        <v>1</v>
      </c>
      <c r="E1518">
        <v>76891213295</v>
      </c>
      <c r="F1518">
        <f t="shared" ca="1" si="46"/>
        <v>77</v>
      </c>
      <c r="G1518">
        <f ca="1">VLOOKUP(E1518,PurchItem!$A$2:$H$508,8,0)</f>
        <v>8376.1725815416812</v>
      </c>
      <c r="H1518">
        <v>0.06</v>
      </c>
      <c r="I1518" t="s">
        <v>244</v>
      </c>
      <c r="J1518" s="5">
        <v>44717.594524409724</v>
      </c>
      <c r="K1518" s="5">
        <v>44719.189048819448</v>
      </c>
      <c r="M1518">
        <f t="shared" si="47"/>
        <v>10029727799</v>
      </c>
      <c r="N1518">
        <f ca="1">IF(M1518&lt;&gt;M1517,INDEX(CustInfo!$A$2:$A$1001,RANDBETWEEN(1,1000)),N1517)</f>
        <v>11870</v>
      </c>
      <c r="O1518" t="s">
        <v>1001</v>
      </c>
      <c r="P1518">
        <v>52937652</v>
      </c>
    </row>
    <row r="1519" spans="1:16" x14ac:dyDescent="0.35">
      <c r="A1519">
        <v>93827212569</v>
      </c>
      <c r="C1519" s="2" t="s">
        <v>883</v>
      </c>
      <c r="D1519">
        <v>2</v>
      </c>
      <c r="E1519">
        <v>76891213332</v>
      </c>
      <c r="F1519">
        <f t="shared" ca="1" si="46"/>
        <v>29</v>
      </c>
      <c r="G1519">
        <f ca="1">VLOOKUP(E1519,PurchItem!$A$2:$H$508,8,0)</f>
        <v>5811.6103447390888</v>
      </c>
      <c r="H1519">
        <v>0.04</v>
      </c>
      <c r="I1519" t="s">
        <v>244</v>
      </c>
      <c r="J1519" s="5">
        <v>45150.594524409724</v>
      </c>
      <c r="K1519" s="5">
        <v>45152.189048819448</v>
      </c>
      <c r="M1519">
        <f t="shared" si="47"/>
        <v>10029727799</v>
      </c>
      <c r="N1519">
        <f ca="1">IF(M1519&lt;&gt;M1518,INDEX(CustInfo!$A$2:$A$1001,RANDBETWEEN(1,1000)),N1518)</f>
        <v>11870</v>
      </c>
      <c r="O1519" t="s">
        <v>1001</v>
      </c>
      <c r="P1519">
        <v>52937653</v>
      </c>
    </row>
    <row r="1520" spans="1:16" x14ac:dyDescent="0.35">
      <c r="A1520">
        <v>93827212569</v>
      </c>
      <c r="C1520" s="2" t="s">
        <v>883</v>
      </c>
      <c r="D1520">
        <v>3</v>
      </c>
      <c r="E1520">
        <v>76891213225</v>
      </c>
      <c r="F1520">
        <f t="shared" ca="1" si="46"/>
        <v>10</v>
      </c>
      <c r="G1520">
        <f ca="1">VLOOKUP(E1520,PurchItem!$A$2:$H$508,8,0)</f>
        <v>8536.5473217392282</v>
      </c>
      <c r="H1520">
        <v>0.05</v>
      </c>
      <c r="I1520" t="s">
        <v>244</v>
      </c>
      <c r="J1520" s="5">
        <v>45470.594524409724</v>
      </c>
      <c r="K1520" s="5">
        <v>45473.189048819448</v>
      </c>
      <c r="M1520">
        <f t="shared" si="47"/>
        <v>10029727799</v>
      </c>
      <c r="N1520">
        <f ca="1">IF(M1520&lt;&gt;M1519,INDEX(CustInfo!$A$2:$A$1001,RANDBETWEEN(1,1000)),N1519)</f>
        <v>11870</v>
      </c>
      <c r="O1520" t="s">
        <v>1001</v>
      </c>
      <c r="P1520">
        <v>52937654</v>
      </c>
    </row>
    <row r="1521" spans="1:16" x14ac:dyDescent="0.35">
      <c r="A1521">
        <v>93827212570</v>
      </c>
      <c r="C1521" s="2" t="s">
        <v>883</v>
      </c>
      <c r="D1521">
        <v>1</v>
      </c>
      <c r="E1521">
        <v>76891213326</v>
      </c>
      <c r="F1521">
        <f t="shared" ca="1" si="46"/>
        <v>81</v>
      </c>
      <c r="G1521">
        <f ca="1">VLOOKUP(E1521,PurchItem!$A$2:$H$508,8,0)</f>
        <v>8893.450961561346</v>
      </c>
      <c r="H1521">
        <v>0.05</v>
      </c>
      <c r="I1521" t="s">
        <v>244</v>
      </c>
      <c r="J1521" s="5">
        <v>45098.594524409724</v>
      </c>
      <c r="K1521" s="5">
        <v>45099.189048819448</v>
      </c>
      <c r="M1521">
        <f t="shared" si="47"/>
        <v>10029727800</v>
      </c>
      <c r="N1521">
        <f ca="1">IF(M1521&lt;&gt;M1520,INDEX(CustInfo!$A$2:$A$1001,RANDBETWEEN(1,1000)),N1520)</f>
        <v>11738</v>
      </c>
      <c r="O1521" t="s">
        <v>1002</v>
      </c>
      <c r="P1521">
        <v>52937655</v>
      </c>
    </row>
    <row r="1522" spans="1:16" x14ac:dyDescent="0.35">
      <c r="A1522">
        <v>93827212570</v>
      </c>
      <c r="C1522" s="2" t="s">
        <v>883</v>
      </c>
      <c r="D1522">
        <v>2</v>
      </c>
      <c r="E1522">
        <v>76891213166</v>
      </c>
      <c r="F1522">
        <f t="shared" ca="1" si="46"/>
        <v>41</v>
      </c>
      <c r="G1522">
        <f ca="1">VLOOKUP(E1522,PurchItem!$A$2:$H$508,8,0)</f>
        <v>8772.6347437385975</v>
      </c>
      <c r="H1522">
        <v>0.06</v>
      </c>
      <c r="I1522" t="s">
        <v>244</v>
      </c>
      <c r="J1522" s="5">
        <v>44589.594524409724</v>
      </c>
      <c r="K1522" s="5">
        <v>44590.189048819448</v>
      </c>
      <c r="M1522">
        <f t="shared" si="47"/>
        <v>10029727800</v>
      </c>
      <c r="N1522">
        <f ca="1">IF(M1522&lt;&gt;M1521,INDEX(CustInfo!$A$2:$A$1001,RANDBETWEEN(1,1000)),N1521)</f>
        <v>11738</v>
      </c>
      <c r="O1522" t="s">
        <v>1002</v>
      </c>
      <c r="P1522">
        <v>52937656</v>
      </c>
    </row>
    <row r="1523" spans="1:16" x14ac:dyDescent="0.35">
      <c r="A1523">
        <v>93827212570</v>
      </c>
      <c r="C1523" s="2" t="s">
        <v>883</v>
      </c>
      <c r="D1523">
        <v>3</v>
      </c>
      <c r="E1523">
        <v>76891213604</v>
      </c>
      <c r="F1523">
        <f t="shared" ca="1" si="46"/>
        <v>37</v>
      </c>
      <c r="G1523">
        <f ca="1">VLOOKUP(E1523,PurchItem!$A$2:$H$508,8,0)</f>
        <v>6398.1672211601835</v>
      </c>
      <c r="H1523">
        <v>0.06</v>
      </c>
      <c r="I1523" t="s">
        <v>244</v>
      </c>
      <c r="J1523" s="5">
        <v>45258.594524409724</v>
      </c>
      <c r="K1523" s="5">
        <v>45262.189048819448</v>
      </c>
      <c r="M1523">
        <f t="shared" si="47"/>
        <v>10029727800</v>
      </c>
      <c r="N1523">
        <f ca="1">IF(M1523&lt;&gt;M1522,INDEX(CustInfo!$A$2:$A$1001,RANDBETWEEN(1,1000)),N1522)</f>
        <v>11738</v>
      </c>
      <c r="O1523" t="s">
        <v>1002</v>
      </c>
      <c r="P1523">
        <v>52937657</v>
      </c>
    </row>
    <row r="1524" spans="1:16" x14ac:dyDescent="0.35">
      <c r="A1524">
        <v>93827212571</v>
      </c>
      <c r="C1524" s="2" t="s">
        <v>883</v>
      </c>
      <c r="D1524">
        <v>1</v>
      </c>
      <c r="E1524">
        <v>76891213324</v>
      </c>
      <c r="F1524">
        <f t="shared" ca="1" si="46"/>
        <v>40</v>
      </c>
      <c r="G1524">
        <f ca="1">VLOOKUP(E1524,PurchItem!$A$2:$H$508,8,0)</f>
        <v>5167.9016211713106</v>
      </c>
      <c r="H1524">
        <v>0.05</v>
      </c>
      <c r="I1524" t="s">
        <v>244</v>
      </c>
      <c r="J1524" s="5">
        <v>44592.594524409724</v>
      </c>
      <c r="K1524" s="5">
        <v>44594.189048819448</v>
      </c>
      <c r="M1524">
        <f t="shared" si="47"/>
        <v>10029727801</v>
      </c>
      <c r="N1524">
        <f ca="1">IF(M1524&lt;&gt;M1523,INDEX(CustInfo!$A$2:$A$1001,RANDBETWEEN(1,1000)),N1523)</f>
        <v>11354</v>
      </c>
      <c r="O1524" t="s">
        <v>1002</v>
      </c>
      <c r="P1524">
        <v>52937658</v>
      </c>
    </row>
    <row r="1525" spans="1:16" x14ac:dyDescent="0.35">
      <c r="A1525">
        <v>93827212571</v>
      </c>
      <c r="C1525" s="2" t="s">
        <v>883</v>
      </c>
      <c r="D1525">
        <v>2</v>
      </c>
      <c r="E1525">
        <v>76891213264</v>
      </c>
      <c r="F1525">
        <f t="shared" ca="1" si="46"/>
        <v>39</v>
      </c>
      <c r="G1525">
        <f ca="1">VLOOKUP(E1525,PurchItem!$A$2:$H$508,8,0)</f>
        <v>3913.070746797428</v>
      </c>
      <c r="H1525">
        <v>0.04</v>
      </c>
      <c r="I1525" t="s">
        <v>244</v>
      </c>
      <c r="J1525" s="5">
        <v>44667.594524409724</v>
      </c>
      <c r="K1525" s="5">
        <v>44668.189048819448</v>
      </c>
      <c r="M1525">
        <f t="shared" si="47"/>
        <v>10029727801</v>
      </c>
      <c r="N1525">
        <f ca="1">IF(M1525&lt;&gt;M1524,INDEX(CustInfo!$A$2:$A$1001,RANDBETWEEN(1,1000)),N1524)</f>
        <v>11354</v>
      </c>
      <c r="O1525" t="s">
        <v>1002</v>
      </c>
      <c r="P1525">
        <v>52937659</v>
      </c>
    </row>
    <row r="1526" spans="1:16" x14ac:dyDescent="0.35">
      <c r="A1526">
        <v>93827212571</v>
      </c>
      <c r="C1526" s="2" t="s">
        <v>883</v>
      </c>
      <c r="D1526">
        <v>3</v>
      </c>
      <c r="E1526">
        <v>76891213515</v>
      </c>
      <c r="F1526">
        <f t="shared" ca="1" si="46"/>
        <v>6</v>
      </c>
      <c r="G1526">
        <f ca="1">VLOOKUP(E1526,PurchItem!$A$2:$H$508,8,0)</f>
        <v>7272.1358530679272</v>
      </c>
      <c r="H1526">
        <v>0.05</v>
      </c>
      <c r="I1526" t="s">
        <v>244</v>
      </c>
      <c r="J1526" s="5">
        <v>44652.594524409724</v>
      </c>
      <c r="K1526" s="5">
        <v>44653.189048819448</v>
      </c>
      <c r="M1526">
        <f t="shared" si="47"/>
        <v>10029727801</v>
      </c>
      <c r="N1526">
        <f ca="1">IF(M1526&lt;&gt;M1525,INDEX(CustInfo!$A$2:$A$1001,RANDBETWEEN(1,1000)),N1525)</f>
        <v>11354</v>
      </c>
      <c r="O1526" t="s">
        <v>1002</v>
      </c>
      <c r="P1526">
        <v>52937660</v>
      </c>
    </row>
    <row r="1527" spans="1:16" x14ac:dyDescent="0.35">
      <c r="A1527">
        <v>93827212572</v>
      </c>
      <c r="C1527" s="2" t="s">
        <v>883</v>
      </c>
      <c r="D1527">
        <v>1</v>
      </c>
      <c r="E1527">
        <v>76891213598</v>
      </c>
      <c r="F1527">
        <f t="shared" ca="1" si="46"/>
        <v>70</v>
      </c>
      <c r="G1527">
        <f ca="1">VLOOKUP(E1527,PurchItem!$A$2:$H$508,8,0)</f>
        <v>3209.0538132389734</v>
      </c>
      <c r="H1527">
        <v>0.05</v>
      </c>
      <c r="I1527" t="s">
        <v>244</v>
      </c>
      <c r="J1527" s="5">
        <v>45293.594524409724</v>
      </c>
      <c r="K1527" s="5">
        <v>45295.189048819448</v>
      </c>
      <c r="M1527">
        <f t="shared" si="47"/>
        <v>10029727802</v>
      </c>
      <c r="N1527">
        <f ca="1">IF(M1527&lt;&gt;M1526,INDEX(CustInfo!$A$2:$A$1001,RANDBETWEEN(1,1000)),N1526)</f>
        <v>11129</v>
      </c>
      <c r="O1527" t="s">
        <v>1002</v>
      </c>
      <c r="P1527">
        <v>52937661</v>
      </c>
    </row>
    <row r="1528" spans="1:16" x14ac:dyDescent="0.35">
      <c r="A1528">
        <v>93827212572</v>
      </c>
      <c r="C1528" s="2" t="s">
        <v>883</v>
      </c>
      <c r="D1528">
        <v>2</v>
      </c>
      <c r="E1528">
        <v>76891213343</v>
      </c>
      <c r="F1528">
        <f t="shared" ca="1" si="46"/>
        <v>64</v>
      </c>
      <c r="G1528">
        <f ca="1">VLOOKUP(E1528,PurchItem!$A$2:$H$508,8,0)</f>
        <v>425.5712480842156</v>
      </c>
      <c r="H1528">
        <v>0.05</v>
      </c>
      <c r="I1528" t="s">
        <v>244</v>
      </c>
      <c r="J1528" s="5">
        <v>45191.594524409724</v>
      </c>
      <c r="K1528" s="5">
        <v>45192.189048819448</v>
      </c>
      <c r="M1528">
        <f t="shared" si="47"/>
        <v>10029727802</v>
      </c>
      <c r="N1528">
        <f ca="1">IF(M1528&lt;&gt;M1527,INDEX(CustInfo!$A$2:$A$1001,RANDBETWEEN(1,1000)),N1527)</f>
        <v>11129</v>
      </c>
      <c r="O1528" t="s">
        <v>1002</v>
      </c>
      <c r="P1528">
        <v>52937662</v>
      </c>
    </row>
    <row r="1529" spans="1:16" x14ac:dyDescent="0.35">
      <c r="A1529">
        <v>93827212572</v>
      </c>
      <c r="C1529" s="2" t="s">
        <v>883</v>
      </c>
      <c r="D1529">
        <v>3</v>
      </c>
      <c r="E1529">
        <v>76891213497</v>
      </c>
      <c r="F1529">
        <f t="shared" ca="1" si="46"/>
        <v>85</v>
      </c>
      <c r="G1529">
        <f ca="1">VLOOKUP(E1529,PurchItem!$A$2:$H$508,8,0)</f>
        <v>4357.8229058400011</v>
      </c>
      <c r="H1529">
        <v>0.05</v>
      </c>
      <c r="I1529" t="s">
        <v>244</v>
      </c>
      <c r="J1529" s="5">
        <v>44673.594524409724</v>
      </c>
      <c r="K1529" s="5">
        <v>44677.189048819448</v>
      </c>
      <c r="M1529">
        <f t="shared" si="47"/>
        <v>10029727802</v>
      </c>
      <c r="N1529">
        <f ca="1">IF(M1529&lt;&gt;M1528,INDEX(CustInfo!$A$2:$A$1001,RANDBETWEEN(1,1000)),N1528)</f>
        <v>11129</v>
      </c>
      <c r="O1529" t="s">
        <v>1002</v>
      </c>
      <c r="P1529">
        <v>52937663</v>
      </c>
    </row>
    <row r="1530" spans="1:16" x14ac:dyDescent="0.35">
      <c r="A1530">
        <v>93827212573</v>
      </c>
      <c r="C1530" s="2" t="s">
        <v>883</v>
      </c>
      <c r="D1530">
        <v>1</v>
      </c>
      <c r="E1530">
        <v>76891213577</v>
      </c>
      <c r="F1530">
        <f t="shared" ca="1" si="46"/>
        <v>1</v>
      </c>
      <c r="G1530">
        <f ca="1">VLOOKUP(E1530,PurchItem!$A$2:$H$508,8,0)</f>
        <v>1637.7481636374323</v>
      </c>
      <c r="H1530">
        <v>0.04</v>
      </c>
      <c r="I1530" t="s">
        <v>244</v>
      </c>
      <c r="J1530" s="5">
        <v>45351.594524409724</v>
      </c>
      <c r="K1530" s="5">
        <v>45352.189048819448</v>
      </c>
      <c r="M1530">
        <f t="shared" si="47"/>
        <v>10029727803</v>
      </c>
      <c r="N1530">
        <f ca="1">IF(M1530&lt;&gt;M1529,INDEX(CustInfo!$A$2:$A$1001,RANDBETWEEN(1,1000)),N1529)</f>
        <v>11267</v>
      </c>
      <c r="O1530" t="s">
        <v>1003</v>
      </c>
      <c r="P1530">
        <v>52937664</v>
      </c>
    </row>
    <row r="1531" spans="1:16" x14ac:dyDescent="0.35">
      <c r="A1531">
        <v>93827212573</v>
      </c>
      <c r="C1531" s="2" t="s">
        <v>883</v>
      </c>
      <c r="D1531">
        <v>2</v>
      </c>
      <c r="E1531">
        <v>76891213539</v>
      </c>
      <c r="F1531">
        <f t="shared" ca="1" si="46"/>
        <v>84</v>
      </c>
      <c r="G1531">
        <f ca="1">VLOOKUP(E1531,PurchItem!$A$2:$H$508,8,0)</f>
        <v>2018.0212140707813</v>
      </c>
      <c r="H1531">
        <v>0.04</v>
      </c>
      <c r="I1531" t="s">
        <v>244</v>
      </c>
      <c r="J1531" s="5">
        <v>45267.594524409724</v>
      </c>
      <c r="K1531" s="5">
        <v>45268.189048819448</v>
      </c>
      <c r="M1531">
        <f t="shared" si="47"/>
        <v>10029727803</v>
      </c>
      <c r="N1531">
        <f ca="1">IF(M1531&lt;&gt;M1530,INDEX(CustInfo!$A$2:$A$1001,RANDBETWEEN(1,1000)),N1530)</f>
        <v>11267</v>
      </c>
      <c r="O1531" t="s">
        <v>1003</v>
      </c>
      <c r="P1531">
        <v>52937665</v>
      </c>
    </row>
    <row r="1532" spans="1:16" x14ac:dyDescent="0.35">
      <c r="A1532">
        <v>93827212573</v>
      </c>
      <c r="C1532" s="2" t="s">
        <v>883</v>
      </c>
      <c r="D1532">
        <v>3</v>
      </c>
      <c r="E1532">
        <v>76891213364</v>
      </c>
      <c r="F1532">
        <f t="shared" ca="1" si="46"/>
        <v>43</v>
      </c>
      <c r="G1532">
        <f ca="1">VLOOKUP(E1532,PurchItem!$A$2:$H$508,8,0)</f>
        <v>7469.4625439319479</v>
      </c>
      <c r="H1532">
        <v>0.04</v>
      </c>
      <c r="I1532" t="s">
        <v>244</v>
      </c>
      <c r="J1532" s="5">
        <v>45077.594524409724</v>
      </c>
      <c r="K1532" s="5">
        <v>45078.189048819448</v>
      </c>
      <c r="M1532">
        <f t="shared" si="47"/>
        <v>10029727803</v>
      </c>
      <c r="N1532">
        <f ca="1">IF(M1532&lt;&gt;M1531,INDEX(CustInfo!$A$2:$A$1001,RANDBETWEEN(1,1000)),N1531)</f>
        <v>11267</v>
      </c>
      <c r="O1532" t="s">
        <v>1003</v>
      </c>
      <c r="P1532">
        <v>52937666</v>
      </c>
    </row>
    <row r="1533" spans="1:16" x14ac:dyDescent="0.35">
      <c r="A1533">
        <v>93827212573</v>
      </c>
      <c r="C1533" s="2" t="s">
        <v>883</v>
      </c>
      <c r="D1533">
        <v>4</v>
      </c>
      <c r="E1533">
        <v>76891213298</v>
      </c>
      <c r="F1533">
        <f t="shared" ca="1" si="46"/>
        <v>97</v>
      </c>
      <c r="G1533">
        <f ca="1">VLOOKUP(E1533,PurchItem!$A$2:$H$508,8,0)</f>
        <v>8806.9548730318475</v>
      </c>
      <c r="H1533">
        <v>0.05</v>
      </c>
      <c r="I1533" t="s">
        <v>244</v>
      </c>
      <c r="J1533" s="5">
        <v>45367.594524409724</v>
      </c>
      <c r="K1533" s="5">
        <v>45368.189048819448</v>
      </c>
      <c r="M1533">
        <f t="shared" si="47"/>
        <v>10029727803</v>
      </c>
      <c r="N1533">
        <f ca="1">IF(M1533&lt;&gt;M1532,INDEX(CustInfo!$A$2:$A$1001,RANDBETWEEN(1,1000)),N1532)</f>
        <v>11267</v>
      </c>
      <c r="O1533" t="s">
        <v>1003</v>
      </c>
      <c r="P1533">
        <v>52937667</v>
      </c>
    </row>
    <row r="1534" spans="1:16" x14ac:dyDescent="0.35">
      <c r="A1534">
        <v>93827212574</v>
      </c>
      <c r="C1534" s="2" t="s">
        <v>883</v>
      </c>
      <c r="D1534">
        <v>1</v>
      </c>
      <c r="E1534">
        <v>76891213384</v>
      </c>
      <c r="F1534">
        <f t="shared" ca="1" si="46"/>
        <v>61</v>
      </c>
      <c r="G1534">
        <f ca="1">VLOOKUP(E1534,PurchItem!$A$2:$H$508,8,0)</f>
        <v>5612.9731125552507</v>
      </c>
      <c r="H1534">
        <v>0.04</v>
      </c>
      <c r="I1534" t="s">
        <v>244</v>
      </c>
      <c r="J1534" s="5">
        <v>45234.594524409724</v>
      </c>
      <c r="K1534" s="5">
        <v>45237.189048819448</v>
      </c>
      <c r="M1534">
        <f t="shared" si="47"/>
        <v>10029727804</v>
      </c>
      <c r="N1534">
        <f ca="1">IF(M1534&lt;&gt;M1533,INDEX(CustInfo!$A$2:$A$1001,RANDBETWEEN(1,1000)),N1533)</f>
        <v>11103</v>
      </c>
      <c r="O1534" t="s">
        <v>1001</v>
      </c>
      <c r="P1534">
        <v>52937668</v>
      </c>
    </row>
    <row r="1535" spans="1:16" x14ac:dyDescent="0.35">
      <c r="A1535">
        <v>93827212574</v>
      </c>
      <c r="C1535" s="2" t="s">
        <v>883</v>
      </c>
      <c r="D1535">
        <v>2</v>
      </c>
      <c r="E1535">
        <v>76891213234</v>
      </c>
      <c r="F1535">
        <f t="shared" ca="1" si="46"/>
        <v>72</v>
      </c>
      <c r="G1535">
        <f ca="1">VLOOKUP(E1535,PurchItem!$A$2:$H$508,8,0)</f>
        <v>9195.4232848562242</v>
      </c>
      <c r="H1535">
        <v>0.04</v>
      </c>
      <c r="I1535" t="s">
        <v>244</v>
      </c>
      <c r="J1535" s="5">
        <v>45225.594524409724</v>
      </c>
      <c r="K1535" s="5">
        <v>45227.189048819448</v>
      </c>
      <c r="M1535">
        <f t="shared" si="47"/>
        <v>10029727804</v>
      </c>
      <c r="N1535">
        <f ca="1">IF(M1535&lt;&gt;M1534,INDEX(CustInfo!$A$2:$A$1001,RANDBETWEEN(1,1000)),N1534)</f>
        <v>11103</v>
      </c>
      <c r="O1535" t="s">
        <v>1001</v>
      </c>
      <c r="P1535">
        <v>52937669</v>
      </c>
    </row>
    <row r="1536" spans="1:16" x14ac:dyDescent="0.35">
      <c r="A1536">
        <v>93827212575</v>
      </c>
      <c r="C1536" s="2" t="s">
        <v>883</v>
      </c>
      <c r="D1536">
        <v>1</v>
      </c>
      <c r="E1536">
        <v>76891213452</v>
      </c>
      <c r="F1536">
        <f t="shared" ca="1" si="46"/>
        <v>72</v>
      </c>
      <c r="G1536">
        <f ca="1">VLOOKUP(E1536,PurchItem!$A$2:$H$508,8,0)</f>
        <v>6346.9434428168151</v>
      </c>
      <c r="H1536">
        <v>0.05</v>
      </c>
      <c r="I1536" t="s">
        <v>244</v>
      </c>
      <c r="J1536" s="5">
        <v>44569.594524409724</v>
      </c>
      <c r="K1536" s="5">
        <v>44570.189048819448</v>
      </c>
      <c r="M1536">
        <f t="shared" si="47"/>
        <v>10029727805</v>
      </c>
      <c r="N1536">
        <f ca="1">IF(M1536&lt;&gt;M1535,INDEX(CustInfo!$A$2:$A$1001,RANDBETWEEN(1,1000)),N1535)</f>
        <v>11399</v>
      </c>
      <c r="O1536" t="s">
        <v>1001</v>
      </c>
      <c r="P1536">
        <v>52937670</v>
      </c>
    </row>
    <row r="1537" spans="1:16" x14ac:dyDescent="0.35">
      <c r="A1537">
        <v>93827212575</v>
      </c>
      <c r="C1537" s="2" t="s">
        <v>883</v>
      </c>
      <c r="D1537">
        <v>2</v>
      </c>
      <c r="E1537">
        <v>76891213288</v>
      </c>
      <c r="F1537">
        <f t="shared" ca="1" si="46"/>
        <v>27</v>
      </c>
      <c r="G1537">
        <f ca="1">VLOOKUP(E1537,PurchItem!$A$2:$H$508,8,0)</f>
        <v>6634.5213683580823</v>
      </c>
      <c r="H1537">
        <v>0.04</v>
      </c>
      <c r="I1537" t="s">
        <v>244</v>
      </c>
      <c r="J1537" s="5">
        <v>45334.594524409724</v>
      </c>
      <c r="K1537" s="5">
        <v>45335.189048819448</v>
      </c>
      <c r="M1537">
        <f t="shared" si="47"/>
        <v>10029727805</v>
      </c>
      <c r="N1537">
        <f ca="1">IF(M1537&lt;&gt;M1536,INDEX(CustInfo!$A$2:$A$1001,RANDBETWEEN(1,1000)),N1536)</f>
        <v>11399</v>
      </c>
      <c r="O1537" t="s">
        <v>1001</v>
      </c>
      <c r="P1537">
        <v>52937671</v>
      </c>
    </row>
    <row r="1538" spans="1:16" x14ac:dyDescent="0.35">
      <c r="A1538">
        <v>93827212575</v>
      </c>
      <c r="C1538" s="2" t="s">
        <v>883</v>
      </c>
      <c r="D1538">
        <v>3</v>
      </c>
      <c r="E1538">
        <v>76891213431</v>
      </c>
      <c r="F1538">
        <f t="shared" ca="1" si="46"/>
        <v>99</v>
      </c>
      <c r="G1538">
        <f ca="1">VLOOKUP(E1538,PurchItem!$A$2:$H$508,8,0)</f>
        <v>7429.4769713944388</v>
      </c>
      <c r="H1538">
        <v>0.04</v>
      </c>
      <c r="I1538" t="s">
        <v>244</v>
      </c>
      <c r="J1538" s="5">
        <v>44631.594524409724</v>
      </c>
      <c r="K1538" s="5">
        <v>44632.189048819448</v>
      </c>
      <c r="M1538">
        <f t="shared" si="47"/>
        <v>10029727805</v>
      </c>
      <c r="N1538">
        <f ca="1">IF(M1538&lt;&gt;M1537,INDEX(CustInfo!$A$2:$A$1001,RANDBETWEEN(1,1000)),N1537)</f>
        <v>11399</v>
      </c>
      <c r="O1538" t="s">
        <v>1001</v>
      </c>
      <c r="P1538">
        <v>52937672</v>
      </c>
    </row>
    <row r="1539" spans="1:16" x14ac:dyDescent="0.35">
      <c r="A1539">
        <v>93827212575</v>
      </c>
      <c r="C1539" s="2" t="s">
        <v>883</v>
      </c>
      <c r="D1539">
        <v>4</v>
      </c>
      <c r="E1539">
        <v>76891213194</v>
      </c>
      <c r="F1539">
        <f t="shared" ref="F1539:F1602" ca="1" si="48">RANDBETWEEN(1,100)</f>
        <v>1</v>
      </c>
      <c r="G1539">
        <f ca="1">VLOOKUP(E1539,PurchItem!$A$2:$H$508,8,0)</f>
        <v>5025.963820946351</v>
      </c>
      <c r="H1539">
        <v>0.04</v>
      </c>
      <c r="I1539" t="s">
        <v>244</v>
      </c>
      <c r="J1539" s="5">
        <v>45575.594524409724</v>
      </c>
      <c r="K1539" s="5">
        <v>45578.189048819448</v>
      </c>
      <c r="M1539">
        <f t="shared" si="47"/>
        <v>10029727805</v>
      </c>
      <c r="N1539">
        <f ca="1">IF(M1539&lt;&gt;M1538,INDEX(CustInfo!$A$2:$A$1001,RANDBETWEEN(1,1000)),N1538)</f>
        <v>11399</v>
      </c>
      <c r="O1539" t="s">
        <v>1001</v>
      </c>
      <c r="P1539">
        <v>52937673</v>
      </c>
    </row>
    <row r="1540" spans="1:16" x14ac:dyDescent="0.35">
      <c r="A1540">
        <v>93827212576</v>
      </c>
      <c r="C1540" s="2" t="s">
        <v>883</v>
      </c>
      <c r="D1540">
        <v>1</v>
      </c>
      <c r="E1540">
        <v>76891213145</v>
      </c>
      <c r="F1540">
        <f t="shared" ca="1" si="48"/>
        <v>86</v>
      </c>
      <c r="G1540">
        <f ca="1">VLOOKUP(E1540,PurchItem!$A$2:$H$508,8,0)</f>
        <v>9273.3061751805526</v>
      </c>
      <c r="H1540">
        <v>0.06</v>
      </c>
      <c r="I1540" t="s">
        <v>244</v>
      </c>
      <c r="J1540" s="5">
        <v>44984.594524409724</v>
      </c>
      <c r="K1540" s="5">
        <v>44986.189048819448</v>
      </c>
      <c r="M1540">
        <f t="shared" si="47"/>
        <v>10029727806</v>
      </c>
      <c r="N1540">
        <f ca="1">IF(M1540&lt;&gt;M1539,INDEX(CustInfo!$A$2:$A$1001,RANDBETWEEN(1,1000)),N1539)</f>
        <v>11929</v>
      </c>
      <c r="O1540" t="s">
        <v>1003</v>
      </c>
      <c r="P1540">
        <v>52937674</v>
      </c>
    </row>
    <row r="1541" spans="1:16" x14ac:dyDescent="0.35">
      <c r="A1541">
        <v>93827212576</v>
      </c>
      <c r="C1541" s="2" t="s">
        <v>883</v>
      </c>
      <c r="D1541">
        <v>2</v>
      </c>
      <c r="E1541">
        <v>76891213568</v>
      </c>
      <c r="F1541">
        <f t="shared" ca="1" si="48"/>
        <v>1</v>
      </c>
      <c r="G1541">
        <f ca="1">VLOOKUP(E1541,PurchItem!$A$2:$H$508,8,0)</f>
        <v>7832.221940741756</v>
      </c>
      <c r="H1541">
        <v>0.05</v>
      </c>
      <c r="I1541" t="s">
        <v>244</v>
      </c>
      <c r="J1541" s="5">
        <v>45056.594524409724</v>
      </c>
      <c r="K1541" s="5">
        <v>45058.189048819448</v>
      </c>
      <c r="M1541">
        <f t="shared" ref="M1541:M1604" si="49">IF(A1541&lt;&gt;A1540,M1540+1,M1540)</f>
        <v>10029727806</v>
      </c>
      <c r="N1541">
        <f ca="1">IF(M1541&lt;&gt;M1540,INDEX(CustInfo!$A$2:$A$1001,RANDBETWEEN(1,1000)),N1540)</f>
        <v>11929</v>
      </c>
      <c r="O1541" t="s">
        <v>1003</v>
      </c>
      <c r="P1541">
        <v>52937675</v>
      </c>
    </row>
    <row r="1542" spans="1:16" x14ac:dyDescent="0.35">
      <c r="A1542">
        <v>93827212576</v>
      </c>
      <c r="C1542" s="2" t="s">
        <v>883</v>
      </c>
      <c r="D1542">
        <v>3</v>
      </c>
      <c r="E1542">
        <v>76891213330</v>
      </c>
      <c r="F1542">
        <f t="shared" ca="1" si="48"/>
        <v>96</v>
      </c>
      <c r="G1542">
        <f ca="1">VLOOKUP(E1542,PurchItem!$A$2:$H$508,8,0)</f>
        <v>744.22383412775935</v>
      </c>
      <c r="H1542">
        <v>0.06</v>
      </c>
      <c r="I1542" t="s">
        <v>244</v>
      </c>
      <c r="J1542" s="5">
        <v>44807.594524409724</v>
      </c>
      <c r="K1542" s="5">
        <v>44808.189048819448</v>
      </c>
      <c r="M1542">
        <f t="shared" si="49"/>
        <v>10029727806</v>
      </c>
      <c r="N1542">
        <f ca="1">IF(M1542&lt;&gt;M1541,INDEX(CustInfo!$A$2:$A$1001,RANDBETWEEN(1,1000)),N1541)</f>
        <v>11929</v>
      </c>
      <c r="O1542" t="s">
        <v>1003</v>
      </c>
      <c r="P1542">
        <v>52937676</v>
      </c>
    </row>
    <row r="1543" spans="1:16" x14ac:dyDescent="0.35">
      <c r="A1543">
        <v>93827212576</v>
      </c>
      <c r="C1543" s="2" t="s">
        <v>883</v>
      </c>
      <c r="D1543">
        <v>4</v>
      </c>
      <c r="E1543">
        <v>76891213327</v>
      </c>
      <c r="F1543">
        <f t="shared" ca="1" si="48"/>
        <v>75</v>
      </c>
      <c r="G1543">
        <f ca="1">VLOOKUP(E1543,PurchItem!$A$2:$H$508,8,0)</f>
        <v>2188.043722839745</v>
      </c>
      <c r="H1543">
        <v>0.05</v>
      </c>
      <c r="I1543" t="s">
        <v>244</v>
      </c>
      <c r="J1543" s="5">
        <v>44624.594524409724</v>
      </c>
      <c r="K1543" s="5">
        <v>44628.189048819448</v>
      </c>
      <c r="M1543">
        <f t="shared" si="49"/>
        <v>10029727806</v>
      </c>
      <c r="N1543">
        <f ca="1">IF(M1543&lt;&gt;M1542,INDEX(CustInfo!$A$2:$A$1001,RANDBETWEEN(1,1000)),N1542)</f>
        <v>11929</v>
      </c>
      <c r="O1543" t="s">
        <v>1003</v>
      </c>
      <c r="P1543">
        <v>52937677</v>
      </c>
    </row>
    <row r="1544" spans="1:16" x14ac:dyDescent="0.35">
      <c r="A1544">
        <v>93827212577</v>
      </c>
      <c r="C1544" s="2" t="s">
        <v>883</v>
      </c>
      <c r="D1544">
        <v>1</v>
      </c>
      <c r="E1544">
        <v>76891213599</v>
      </c>
      <c r="F1544">
        <f t="shared" ca="1" si="48"/>
        <v>99</v>
      </c>
      <c r="G1544">
        <f ca="1">VLOOKUP(E1544,PurchItem!$A$2:$H$508,8,0)</f>
        <v>5445.9165158335209</v>
      </c>
      <c r="H1544">
        <v>0.06</v>
      </c>
      <c r="I1544" t="s">
        <v>244</v>
      </c>
      <c r="J1544" s="5">
        <v>44562.594524409724</v>
      </c>
      <c r="K1544" s="5">
        <v>44565.189048819448</v>
      </c>
      <c r="M1544">
        <f t="shared" si="49"/>
        <v>10029727807</v>
      </c>
      <c r="N1544">
        <f ca="1">IF(M1544&lt;&gt;M1543,INDEX(CustInfo!$A$2:$A$1001,RANDBETWEEN(1,1000)),N1543)</f>
        <v>11563</v>
      </c>
      <c r="O1544" t="s">
        <v>1003</v>
      </c>
      <c r="P1544">
        <v>52937678</v>
      </c>
    </row>
    <row r="1545" spans="1:16" x14ac:dyDescent="0.35">
      <c r="A1545">
        <v>93827212577</v>
      </c>
      <c r="C1545" s="2" t="s">
        <v>883</v>
      </c>
      <c r="D1545">
        <v>2</v>
      </c>
      <c r="E1545">
        <v>76891213301</v>
      </c>
      <c r="F1545">
        <f t="shared" ca="1" si="48"/>
        <v>50</v>
      </c>
      <c r="G1545">
        <f ca="1">VLOOKUP(E1545,PurchItem!$A$2:$H$508,8,0)</f>
        <v>7819.5992848678015</v>
      </c>
      <c r="H1545">
        <v>0.05</v>
      </c>
      <c r="I1545" t="s">
        <v>244</v>
      </c>
      <c r="J1545" s="5">
        <v>45285.594524409724</v>
      </c>
      <c r="K1545" s="5">
        <v>45289.189048819448</v>
      </c>
      <c r="M1545">
        <f t="shared" si="49"/>
        <v>10029727807</v>
      </c>
      <c r="N1545">
        <f ca="1">IF(M1545&lt;&gt;M1544,INDEX(CustInfo!$A$2:$A$1001,RANDBETWEEN(1,1000)),N1544)</f>
        <v>11563</v>
      </c>
      <c r="O1545" t="s">
        <v>1003</v>
      </c>
      <c r="P1545">
        <v>52937679</v>
      </c>
    </row>
    <row r="1546" spans="1:16" x14ac:dyDescent="0.35">
      <c r="A1546">
        <v>93827212578</v>
      </c>
      <c r="C1546" s="2" t="s">
        <v>883</v>
      </c>
      <c r="D1546">
        <v>1</v>
      </c>
      <c r="E1546">
        <v>76891213233</v>
      </c>
      <c r="F1546">
        <f t="shared" ca="1" si="48"/>
        <v>42</v>
      </c>
      <c r="G1546">
        <f ca="1">VLOOKUP(E1546,PurchItem!$A$2:$H$508,8,0)</f>
        <v>9181.2256991220602</v>
      </c>
      <c r="H1546">
        <v>0.05</v>
      </c>
      <c r="I1546" t="s">
        <v>244</v>
      </c>
      <c r="J1546" s="5">
        <v>44810.594524409724</v>
      </c>
      <c r="K1546" s="5">
        <v>44813.189048819448</v>
      </c>
      <c r="M1546">
        <f t="shared" si="49"/>
        <v>10029727808</v>
      </c>
      <c r="N1546">
        <f ca="1">IF(M1546&lt;&gt;M1545,INDEX(CustInfo!$A$2:$A$1001,RANDBETWEEN(1,1000)),N1545)</f>
        <v>11189</v>
      </c>
      <c r="O1546" t="s">
        <v>1001</v>
      </c>
      <c r="P1546">
        <v>52937680</v>
      </c>
    </row>
    <row r="1547" spans="1:16" x14ac:dyDescent="0.35">
      <c r="A1547">
        <v>93827212579</v>
      </c>
      <c r="C1547" s="2" t="s">
        <v>883</v>
      </c>
      <c r="D1547">
        <v>1</v>
      </c>
      <c r="E1547">
        <v>76891213329</v>
      </c>
      <c r="F1547">
        <f t="shared" ca="1" si="48"/>
        <v>87</v>
      </c>
      <c r="G1547">
        <f ca="1">VLOOKUP(E1547,PurchItem!$A$2:$H$508,8,0)</f>
        <v>3846.001981135933</v>
      </c>
      <c r="H1547">
        <v>0.04</v>
      </c>
      <c r="I1547" t="s">
        <v>244</v>
      </c>
      <c r="J1547" s="5">
        <v>45538.594524409724</v>
      </c>
      <c r="K1547" s="5">
        <v>45541.189048819448</v>
      </c>
      <c r="M1547">
        <f t="shared" si="49"/>
        <v>10029727809</v>
      </c>
      <c r="N1547">
        <f ca="1">IF(M1547&lt;&gt;M1546,INDEX(CustInfo!$A$2:$A$1001,RANDBETWEEN(1,1000)),N1546)</f>
        <v>11630</v>
      </c>
      <c r="O1547" t="s">
        <v>1002</v>
      </c>
      <c r="P1547">
        <v>52937681</v>
      </c>
    </row>
    <row r="1548" spans="1:16" x14ac:dyDescent="0.35">
      <c r="A1548">
        <v>93827212580</v>
      </c>
      <c r="C1548" s="2" t="s">
        <v>883</v>
      </c>
      <c r="D1548">
        <v>1</v>
      </c>
      <c r="E1548">
        <v>76891213621</v>
      </c>
      <c r="F1548">
        <f t="shared" ca="1" si="48"/>
        <v>8</v>
      </c>
      <c r="G1548">
        <f ca="1">VLOOKUP(E1548,PurchItem!$A$2:$H$508,8,0)</f>
        <v>383.23093758483282</v>
      </c>
      <c r="H1548">
        <v>0.05</v>
      </c>
      <c r="I1548" t="s">
        <v>244</v>
      </c>
      <c r="J1548" s="5">
        <v>44634.594524409724</v>
      </c>
      <c r="K1548" s="5">
        <v>44638.189048819448</v>
      </c>
      <c r="M1548">
        <f t="shared" si="49"/>
        <v>10029727810</v>
      </c>
      <c r="N1548">
        <f ca="1">IF(M1548&lt;&gt;M1547,INDEX(CustInfo!$A$2:$A$1001,RANDBETWEEN(1,1000)),N1547)</f>
        <v>11437</v>
      </c>
      <c r="O1548" t="s">
        <v>1001</v>
      </c>
      <c r="P1548">
        <v>52937682</v>
      </c>
    </row>
    <row r="1549" spans="1:16" x14ac:dyDescent="0.35">
      <c r="A1549">
        <v>93827212580</v>
      </c>
      <c r="C1549" s="2" t="s">
        <v>883</v>
      </c>
      <c r="D1549">
        <v>2</v>
      </c>
      <c r="E1549">
        <v>76891213293</v>
      </c>
      <c r="F1549">
        <f t="shared" ca="1" si="48"/>
        <v>48</v>
      </c>
      <c r="G1549">
        <f ca="1">VLOOKUP(E1549,PurchItem!$A$2:$H$508,8,0)</f>
        <v>1389.1874106181256</v>
      </c>
      <c r="H1549">
        <v>0.06</v>
      </c>
      <c r="I1549" t="s">
        <v>244</v>
      </c>
      <c r="J1549" s="5">
        <v>44593.594524409724</v>
      </c>
      <c r="K1549" s="5">
        <v>44594.189048819448</v>
      </c>
      <c r="M1549">
        <f t="shared" si="49"/>
        <v>10029727810</v>
      </c>
      <c r="N1549">
        <f ca="1">IF(M1549&lt;&gt;M1548,INDEX(CustInfo!$A$2:$A$1001,RANDBETWEEN(1,1000)),N1548)</f>
        <v>11437</v>
      </c>
      <c r="O1549" t="s">
        <v>1001</v>
      </c>
      <c r="P1549">
        <v>52937683</v>
      </c>
    </row>
    <row r="1550" spans="1:16" x14ac:dyDescent="0.35">
      <c r="A1550">
        <v>93827212580</v>
      </c>
      <c r="C1550" s="2" t="s">
        <v>883</v>
      </c>
      <c r="D1550">
        <v>3</v>
      </c>
      <c r="E1550">
        <v>76891213147</v>
      </c>
      <c r="F1550">
        <f t="shared" ca="1" si="48"/>
        <v>11</v>
      </c>
      <c r="G1550">
        <f ca="1">VLOOKUP(E1550,PurchItem!$A$2:$H$508,8,0)</f>
        <v>2264.3353543042599</v>
      </c>
      <c r="H1550">
        <v>0.04</v>
      </c>
      <c r="I1550" t="s">
        <v>244</v>
      </c>
      <c r="J1550" s="5">
        <v>44619.594524409724</v>
      </c>
      <c r="K1550" s="5">
        <v>44621.189048819448</v>
      </c>
      <c r="M1550">
        <f t="shared" si="49"/>
        <v>10029727810</v>
      </c>
      <c r="N1550">
        <f ca="1">IF(M1550&lt;&gt;M1549,INDEX(CustInfo!$A$2:$A$1001,RANDBETWEEN(1,1000)),N1549)</f>
        <v>11437</v>
      </c>
      <c r="O1550" t="s">
        <v>1001</v>
      </c>
      <c r="P1550">
        <v>52937684</v>
      </c>
    </row>
    <row r="1551" spans="1:16" x14ac:dyDescent="0.35">
      <c r="A1551">
        <v>93827212581</v>
      </c>
      <c r="C1551" s="2" t="s">
        <v>883</v>
      </c>
      <c r="D1551">
        <v>1</v>
      </c>
      <c r="E1551">
        <v>76891213152</v>
      </c>
      <c r="F1551">
        <f t="shared" ca="1" si="48"/>
        <v>45</v>
      </c>
      <c r="G1551">
        <f ca="1">VLOOKUP(E1551,PurchItem!$A$2:$H$508,8,0)</f>
        <v>169.38211785270536</v>
      </c>
      <c r="H1551">
        <v>0.05</v>
      </c>
      <c r="I1551" t="s">
        <v>244</v>
      </c>
      <c r="J1551" s="5">
        <v>45030.594524409724</v>
      </c>
      <c r="K1551" s="5">
        <v>45034.189048819448</v>
      </c>
      <c r="M1551">
        <f t="shared" si="49"/>
        <v>10029727811</v>
      </c>
      <c r="N1551">
        <f ca="1">IF(M1551&lt;&gt;M1550,INDEX(CustInfo!$A$2:$A$1001,RANDBETWEEN(1,1000)),N1550)</f>
        <v>11340</v>
      </c>
      <c r="O1551" t="s">
        <v>1001</v>
      </c>
      <c r="P1551">
        <v>52937685</v>
      </c>
    </row>
    <row r="1552" spans="1:16" x14ac:dyDescent="0.35">
      <c r="A1552">
        <v>93827212581</v>
      </c>
      <c r="C1552" s="2" t="s">
        <v>883</v>
      </c>
      <c r="D1552">
        <v>2</v>
      </c>
      <c r="E1552">
        <v>76891213543</v>
      </c>
      <c r="F1552">
        <f t="shared" ca="1" si="48"/>
        <v>49</v>
      </c>
      <c r="G1552">
        <f ca="1">VLOOKUP(E1552,PurchItem!$A$2:$H$508,8,0)</f>
        <v>645.98032194518066</v>
      </c>
      <c r="H1552">
        <v>0.05</v>
      </c>
      <c r="I1552" t="s">
        <v>244</v>
      </c>
      <c r="J1552" s="5">
        <v>45115.594524409724</v>
      </c>
      <c r="K1552" s="5">
        <v>45118.189048819448</v>
      </c>
      <c r="M1552">
        <f t="shared" si="49"/>
        <v>10029727811</v>
      </c>
      <c r="N1552">
        <f ca="1">IF(M1552&lt;&gt;M1551,INDEX(CustInfo!$A$2:$A$1001,RANDBETWEEN(1,1000)),N1551)</f>
        <v>11340</v>
      </c>
      <c r="O1552" t="s">
        <v>1001</v>
      </c>
      <c r="P1552">
        <v>52937686</v>
      </c>
    </row>
    <row r="1553" spans="1:16" x14ac:dyDescent="0.35">
      <c r="A1553">
        <v>93827212581</v>
      </c>
      <c r="C1553" s="2" t="s">
        <v>883</v>
      </c>
      <c r="D1553">
        <v>3</v>
      </c>
      <c r="E1553">
        <v>76891213287</v>
      </c>
      <c r="F1553">
        <f t="shared" ca="1" si="48"/>
        <v>76</v>
      </c>
      <c r="G1553">
        <f ca="1">VLOOKUP(E1553,PurchItem!$A$2:$H$508,8,0)</f>
        <v>9651.4910930548576</v>
      </c>
      <c r="H1553">
        <v>0.04</v>
      </c>
      <c r="I1553" t="s">
        <v>244</v>
      </c>
      <c r="J1553" s="5">
        <v>44870.594524409724</v>
      </c>
      <c r="K1553" s="5">
        <v>44873.189048819448</v>
      </c>
      <c r="M1553">
        <f t="shared" si="49"/>
        <v>10029727811</v>
      </c>
      <c r="N1553">
        <f ca="1">IF(M1553&lt;&gt;M1552,INDEX(CustInfo!$A$2:$A$1001,RANDBETWEEN(1,1000)),N1552)</f>
        <v>11340</v>
      </c>
      <c r="O1553" t="s">
        <v>1001</v>
      </c>
      <c r="P1553">
        <v>52937687</v>
      </c>
    </row>
    <row r="1554" spans="1:16" x14ac:dyDescent="0.35">
      <c r="A1554">
        <v>93827212582</v>
      </c>
      <c r="C1554" s="2" t="s">
        <v>883</v>
      </c>
      <c r="D1554">
        <v>1</v>
      </c>
      <c r="E1554">
        <v>76891213351</v>
      </c>
      <c r="F1554">
        <f t="shared" ca="1" si="48"/>
        <v>63</v>
      </c>
      <c r="G1554">
        <f ca="1">VLOOKUP(E1554,PurchItem!$A$2:$H$508,8,0)</f>
        <v>9428.1968109971458</v>
      </c>
      <c r="H1554">
        <v>0.06</v>
      </c>
      <c r="I1554" t="s">
        <v>244</v>
      </c>
      <c r="M1554">
        <f t="shared" si="49"/>
        <v>10029727812</v>
      </c>
      <c r="N1554">
        <f ca="1">IF(M1554&lt;&gt;M1553,INDEX(CustInfo!$A$2:$A$1001,RANDBETWEEN(1,1000)),N1553)</f>
        <v>11973</v>
      </c>
      <c r="O1554" t="s">
        <v>1003</v>
      </c>
      <c r="P1554">
        <v>52937688</v>
      </c>
    </row>
    <row r="1555" spans="1:16" x14ac:dyDescent="0.35">
      <c r="A1555">
        <v>93827212583</v>
      </c>
      <c r="C1555" s="2" t="s">
        <v>883</v>
      </c>
      <c r="D1555">
        <v>1</v>
      </c>
      <c r="E1555">
        <v>76891213625</v>
      </c>
      <c r="F1555">
        <f t="shared" ca="1" si="48"/>
        <v>72</v>
      </c>
      <c r="G1555">
        <f ca="1">VLOOKUP(E1555,PurchItem!$A$2:$H$508,8,0)</f>
        <v>197.86735476950216</v>
      </c>
      <c r="H1555">
        <v>0.05</v>
      </c>
      <c r="I1555" t="s">
        <v>244</v>
      </c>
      <c r="M1555">
        <f t="shared" si="49"/>
        <v>10029727813</v>
      </c>
      <c r="N1555">
        <f ca="1">IF(M1555&lt;&gt;M1554,INDEX(CustInfo!$A$2:$A$1001,RANDBETWEEN(1,1000)),N1554)</f>
        <v>11295</v>
      </c>
      <c r="O1555" t="s">
        <v>1002</v>
      </c>
      <c r="P1555">
        <v>52937689</v>
      </c>
    </row>
    <row r="1556" spans="1:16" x14ac:dyDescent="0.35">
      <c r="A1556">
        <v>93827212583</v>
      </c>
      <c r="C1556" s="2" t="s">
        <v>883</v>
      </c>
      <c r="D1556">
        <v>2</v>
      </c>
      <c r="E1556">
        <v>76891213508</v>
      </c>
      <c r="F1556">
        <f t="shared" ca="1" si="48"/>
        <v>94</v>
      </c>
      <c r="G1556">
        <f ca="1">VLOOKUP(E1556,PurchItem!$A$2:$H$508,8,0)</f>
        <v>3400.3105805686268</v>
      </c>
      <c r="H1556">
        <v>0.05</v>
      </c>
      <c r="I1556" t="s">
        <v>244</v>
      </c>
      <c r="M1556">
        <f t="shared" si="49"/>
        <v>10029727813</v>
      </c>
      <c r="N1556">
        <f ca="1">IF(M1556&lt;&gt;M1555,INDEX(CustInfo!$A$2:$A$1001,RANDBETWEEN(1,1000)),N1555)</f>
        <v>11295</v>
      </c>
      <c r="O1556" t="s">
        <v>1002</v>
      </c>
      <c r="P1556">
        <v>52937690</v>
      </c>
    </row>
    <row r="1557" spans="1:16" x14ac:dyDescent="0.35">
      <c r="A1557">
        <v>93827212583</v>
      </c>
      <c r="C1557" s="2" t="s">
        <v>883</v>
      </c>
      <c r="D1557">
        <v>3</v>
      </c>
      <c r="E1557">
        <v>76891213364</v>
      </c>
      <c r="F1557">
        <f t="shared" ca="1" si="48"/>
        <v>44</v>
      </c>
      <c r="G1557">
        <f ca="1">VLOOKUP(E1557,PurchItem!$A$2:$H$508,8,0)</f>
        <v>7469.4625439319479</v>
      </c>
      <c r="H1557">
        <v>0.06</v>
      </c>
      <c r="I1557" t="s">
        <v>244</v>
      </c>
      <c r="M1557">
        <f t="shared" si="49"/>
        <v>10029727813</v>
      </c>
      <c r="N1557">
        <f ca="1">IF(M1557&lt;&gt;M1556,INDEX(CustInfo!$A$2:$A$1001,RANDBETWEEN(1,1000)),N1556)</f>
        <v>11295</v>
      </c>
      <c r="O1557" t="s">
        <v>1002</v>
      </c>
      <c r="P1557">
        <v>52937691</v>
      </c>
    </row>
    <row r="1558" spans="1:16" x14ac:dyDescent="0.35">
      <c r="A1558">
        <v>93827212584</v>
      </c>
      <c r="C1558" s="2" t="s">
        <v>883</v>
      </c>
      <c r="D1558">
        <v>1</v>
      </c>
      <c r="E1558">
        <v>76891213212</v>
      </c>
      <c r="F1558">
        <f t="shared" ca="1" si="48"/>
        <v>2</v>
      </c>
      <c r="G1558">
        <f ca="1">VLOOKUP(E1558,PurchItem!$A$2:$H$508,8,0)</f>
        <v>2083.2723648365518</v>
      </c>
      <c r="H1558">
        <v>0.06</v>
      </c>
      <c r="I1558" t="s">
        <v>244</v>
      </c>
      <c r="M1558">
        <f t="shared" si="49"/>
        <v>10029727814</v>
      </c>
      <c r="N1558">
        <f ca="1">IF(M1558&lt;&gt;M1557,INDEX(CustInfo!$A$2:$A$1001,RANDBETWEEN(1,1000)),N1557)</f>
        <v>11907</v>
      </c>
      <c r="O1558" t="s">
        <v>1003</v>
      </c>
      <c r="P1558">
        <v>52937692</v>
      </c>
    </row>
    <row r="1559" spans="1:16" x14ac:dyDescent="0.35">
      <c r="A1559">
        <v>93827212584</v>
      </c>
      <c r="C1559" s="2" t="s">
        <v>883</v>
      </c>
      <c r="D1559">
        <v>2</v>
      </c>
      <c r="E1559">
        <v>76891213361</v>
      </c>
      <c r="F1559">
        <f t="shared" ca="1" si="48"/>
        <v>5</v>
      </c>
      <c r="G1559">
        <f ca="1">VLOOKUP(E1559,PurchItem!$A$2:$H$508,8,0)</f>
        <v>2867.170727452004</v>
      </c>
      <c r="H1559">
        <v>0.06</v>
      </c>
      <c r="I1559" t="s">
        <v>244</v>
      </c>
      <c r="M1559">
        <f t="shared" si="49"/>
        <v>10029727814</v>
      </c>
      <c r="N1559">
        <f ca="1">IF(M1559&lt;&gt;M1558,INDEX(CustInfo!$A$2:$A$1001,RANDBETWEEN(1,1000)),N1558)</f>
        <v>11907</v>
      </c>
      <c r="O1559" t="s">
        <v>1003</v>
      </c>
      <c r="P1559">
        <v>52937693</v>
      </c>
    </row>
    <row r="1560" spans="1:16" x14ac:dyDescent="0.35">
      <c r="A1560">
        <v>93827212584</v>
      </c>
      <c r="C1560" s="2" t="s">
        <v>883</v>
      </c>
      <c r="D1560">
        <v>3</v>
      </c>
      <c r="E1560">
        <v>76891213363</v>
      </c>
      <c r="F1560">
        <f t="shared" ca="1" si="48"/>
        <v>46</v>
      </c>
      <c r="G1560">
        <f ca="1">VLOOKUP(E1560,PurchItem!$A$2:$H$508,8,0)</f>
        <v>1463.7798305631063</v>
      </c>
      <c r="H1560">
        <v>0.05</v>
      </c>
      <c r="I1560" t="s">
        <v>244</v>
      </c>
      <c r="M1560">
        <f t="shared" si="49"/>
        <v>10029727814</v>
      </c>
      <c r="N1560">
        <f ca="1">IF(M1560&lt;&gt;M1559,INDEX(CustInfo!$A$2:$A$1001,RANDBETWEEN(1,1000)),N1559)</f>
        <v>11907</v>
      </c>
      <c r="O1560" t="s">
        <v>1003</v>
      </c>
      <c r="P1560">
        <v>52937694</v>
      </c>
    </row>
    <row r="1561" spans="1:16" x14ac:dyDescent="0.35">
      <c r="A1561">
        <v>93827212585</v>
      </c>
      <c r="C1561" s="2" t="s">
        <v>883</v>
      </c>
      <c r="D1561">
        <v>1</v>
      </c>
      <c r="E1561">
        <v>76891213172</v>
      </c>
      <c r="F1561">
        <f t="shared" ca="1" si="48"/>
        <v>45</v>
      </c>
      <c r="G1561">
        <f ca="1">VLOOKUP(E1561,PurchItem!$A$2:$H$508,8,0)</f>
        <v>942.3837622618131</v>
      </c>
      <c r="H1561">
        <v>0.06</v>
      </c>
      <c r="I1561" t="s">
        <v>244</v>
      </c>
      <c r="M1561">
        <f t="shared" si="49"/>
        <v>10029727815</v>
      </c>
      <c r="N1561">
        <f ca="1">IF(M1561&lt;&gt;M1560,INDEX(CustInfo!$A$2:$A$1001,RANDBETWEEN(1,1000)),N1560)</f>
        <v>11104</v>
      </c>
      <c r="O1561" t="s">
        <v>1002</v>
      </c>
      <c r="P1561">
        <v>52937695</v>
      </c>
    </row>
    <row r="1562" spans="1:16" x14ac:dyDescent="0.35">
      <c r="A1562">
        <v>93827212586</v>
      </c>
      <c r="C1562" s="2" t="s">
        <v>883</v>
      </c>
      <c r="D1562">
        <v>1</v>
      </c>
      <c r="E1562">
        <v>76891213363</v>
      </c>
      <c r="F1562">
        <f t="shared" ca="1" si="48"/>
        <v>18</v>
      </c>
      <c r="G1562">
        <f ca="1">VLOOKUP(E1562,PurchItem!$A$2:$H$508,8,0)</f>
        <v>1463.7798305631063</v>
      </c>
      <c r="H1562">
        <v>0.04</v>
      </c>
      <c r="I1562" t="s">
        <v>244</v>
      </c>
      <c r="M1562">
        <f t="shared" si="49"/>
        <v>10029727816</v>
      </c>
      <c r="N1562">
        <f ca="1">IF(M1562&lt;&gt;M1561,INDEX(CustInfo!$A$2:$A$1001,RANDBETWEEN(1,1000)),N1561)</f>
        <v>11469</v>
      </c>
      <c r="O1562" t="s">
        <v>1001</v>
      </c>
      <c r="P1562">
        <v>52937696</v>
      </c>
    </row>
    <row r="1563" spans="1:16" x14ac:dyDescent="0.35">
      <c r="A1563">
        <v>93827212586</v>
      </c>
      <c r="C1563" s="2" t="s">
        <v>883</v>
      </c>
      <c r="D1563">
        <v>2</v>
      </c>
      <c r="E1563">
        <v>76891213572</v>
      </c>
      <c r="F1563">
        <f t="shared" ca="1" si="48"/>
        <v>50</v>
      </c>
      <c r="G1563">
        <f ca="1">VLOOKUP(E1563,PurchItem!$A$2:$H$508,8,0)</f>
        <v>8369.1775258535399</v>
      </c>
      <c r="H1563">
        <v>0.05</v>
      </c>
      <c r="I1563" t="s">
        <v>244</v>
      </c>
      <c r="M1563">
        <f t="shared" si="49"/>
        <v>10029727816</v>
      </c>
      <c r="N1563">
        <f ca="1">IF(M1563&lt;&gt;M1562,INDEX(CustInfo!$A$2:$A$1001,RANDBETWEEN(1,1000)),N1562)</f>
        <v>11469</v>
      </c>
      <c r="O1563" t="s">
        <v>1001</v>
      </c>
      <c r="P1563">
        <v>52937697</v>
      </c>
    </row>
    <row r="1564" spans="1:16" x14ac:dyDescent="0.35">
      <c r="A1564">
        <v>93827212586</v>
      </c>
      <c r="C1564" s="2" t="s">
        <v>883</v>
      </c>
      <c r="D1564">
        <v>3</v>
      </c>
      <c r="E1564">
        <v>76891213584</v>
      </c>
      <c r="F1564">
        <f t="shared" ca="1" si="48"/>
        <v>29</v>
      </c>
      <c r="G1564">
        <f ca="1">VLOOKUP(E1564,PurchItem!$A$2:$H$508,8,0)</f>
        <v>6945.1848902307947</v>
      </c>
      <c r="H1564">
        <v>0.06</v>
      </c>
      <c r="I1564" t="s">
        <v>244</v>
      </c>
      <c r="M1564">
        <f t="shared" si="49"/>
        <v>10029727816</v>
      </c>
      <c r="N1564">
        <f ca="1">IF(M1564&lt;&gt;M1563,INDEX(CustInfo!$A$2:$A$1001,RANDBETWEEN(1,1000)),N1563)</f>
        <v>11469</v>
      </c>
      <c r="O1564" t="s">
        <v>1001</v>
      </c>
      <c r="P1564">
        <v>52937698</v>
      </c>
    </row>
    <row r="1565" spans="1:16" x14ac:dyDescent="0.35">
      <c r="A1565">
        <v>93827212587</v>
      </c>
      <c r="C1565" s="2" t="s">
        <v>883</v>
      </c>
      <c r="D1565">
        <v>1</v>
      </c>
      <c r="E1565">
        <v>76891213452</v>
      </c>
      <c r="F1565">
        <f t="shared" ca="1" si="48"/>
        <v>5</v>
      </c>
      <c r="G1565">
        <f ca="1">VLOOKUP(E1565,PurchItem!$A$2:$H$508,8,0)</f>
        <v>6346.9434428168151</v>
      </c>
      <c r="H1565">
        <v>0.05</v>
      </c>
      <c r="I1565" t="s">
        <v>244</v>
      </c>
      <c r="M1565">
        <f t="shared" si="49"/>
        <v>10029727817</v>
      </c>
      <c r="N1565">
        <f ca="1">IF(M1565&lt;&gt;M1564,INDEX(CustInfo!$A$2:$A$1001,RANDBETWEEN(1,1000)),N1564)</f>
        <v>11018</v>
      </c>
      <c r="O1565" t="s">
        <v>1002</v>
      </c>
      <c r="P1565">
        <v>52937699</v>
      </c>
    </row>
    <row r="1566" spans="1:16" x14ac:dyDescent="0.35">
      <c r="A1566">
        <v>93827212587</v>
      </c>
      <c r="C1566" s="2" t="s">
        <v>883</v>
      </c>
      <c r="D1566">
        <v>2</v>
      </c>
      <c r="E1566">
        <v>76891213262</v>
      </c>
      <c r="F1566">
        <f t="shared" ca="1" si="48"/>
        <v>75</v>
      </c>
      <c r="G1566">
        <f ca="1">VLOOKUP(E1566,PurchItem!$A$2:$H$508,8,0)</f>
        <v>3130.141280264294</v>
      </c>
      <c r="H1566">
        <v>0.04</v>
      </c>
      <c r="I1566" t="s">
        <v>244</v>
      </c>
      <c r="M1566">
        <f t="shared" si="49"/>
        <v>10029727817</v>
      </c>
      <c r="N1566">
        <f ca="1">IF(M1566&lt;&gt;M1565,INDEX(CustInfo!$A$2:$A$1001,RANDBETWEEN(1,1000)),N1565)</f>
        <v>11018</v>
      </c>
      <c r="O1566" t="s">
        <v>1002</v>
      </c>
      <c r="P1566">
        <v>52937700</v>
      </c>
    </row>
    <row r="1567" spans="1:16" x14ac:dyDescent="0.35">
      <c r="A1567">
        <v>93827212587</v>
      </c>
      <c r="C1567" s="2" t="s">
        <v>883</v>
      </c>
      <c r="D1567">
        <v>3</v>
      </c>
      <c r="E1567">
        <v>76891213235</v>
      </c>
      <c r="F1567">
        <f t="shared" ca="1" si="48"/>
        <v>76</v>
      </c>
      <c r="G1567">
        <f ca="1">VLOOKUP(E1567,PurchItem!$A$2:$H$508,8,0)</f>
        <v>383.4257319234585</v>
      </c>
      <c r="H1567">
        <v>0.05</v>
      </c>
      <c r="I1567" t="s">
        <v>244</v>
      </c>
      <c r="M1567">
        <f t="shared" si="49"/>
        <v>10029727817</v>
      </c>
      <c r="N1567">
        <f ca="1">IF(M1567&lt;&gt;M1566,INDEX(CustInfo!$A$2:$A$1001,RANDBETWEEN(1,1000)),N1566)</f>
        <v>11018</v>
      </c>
      <c r="O1567" t="s">
        <v>1002</v>
      </c>
      <c r="P1567">
        <v>52937701</v>
      </c>
    </row>
    <row r="1568" spans="1:16" x14ac:dyDescent="0.35">
      <c r="A1568">
        <v>93827212588</v>
      </c>
      <c r="C1568" s="2" t="s">
        <v>883</v>
      </c>
      <c r="D1568">
        <v>1</v>
      </c>
      <c r="E1568">
        <v>76891213196</v>
      </c>
      <c r="F1568">
        <f t="shared" ca="1" si="48"/>
        <v>54</v>
      </c>
      <c r="G1568">
        <f ca="1">VLOOKUP(E1568,PurchItem!$A$2:$H$508,8,0)</f>
        <v>7032.7904576117289</v>
      </c>
      <c r="H1568">
        <v>0.05</v>
      </c>
      <c r="I1568" t="s">
        <v>244</v>
      </c>
      <c r="M1568">
        <f t="shared" si="49"/>
        <v>10029727818</v>
      </c>
      <c r="N1568">
        <f ca="1">IF(M1568&lt;&gt;M1567,INDEX(CustInfo!$A$2:$A$1001,RANDBETWEEN(1,1000)),N1567)</f>
        <v>11619</v>
      </c>
      <c r="O1568" t="s">
        <v>1002</v>
      </c>
      <c r="P1568">
        <v>52937702</v>
      </c>
    </row>
    <row r="1569" spans="1:16" x14ac:dyDescent="0.35">
      <c r="A1569">
        <v>93827212588</v>
      </c>
      <c r="C1569" s="2" t="s">
        <v>883</v>
      </c>
      <c r="D1569">
        <v>2</v>
      </c>
      <c r="E1569">
        <v>76891213160</v>
      </c>
      <c r="F1569">
        <f t="shared" ca="1" si="48"/>
        <v>24</v>
      </c>
      <c r="G1569">
        <f ca="1">VLOOKUP(E1569,PurchItem!$A$2:$H$508,8,0)</f>
        <v>8462.9770245013115</v>
      </c>
      <c r="H1569">
        <v>0.04</v>
      </c>
      <c r="I1569" t="s">
        <v>244</v>
      </c>
      <c r="M1569">
        <f t="shared" si="49"/>
        <v>10029727818</v>
      </c>
      <c r="N1569">
        <f ca="1">IF(M1569&lt;&gt;M1568,INDEX(CustInfo!$A$2:$A$1001,RANDBETWEEN(1,1000)),N1568)</f>
        <v>11619</v>
      </c>
      <c r="O1569" t="s">
        <v>1002</v>
      </c>
      <c r="P1569">
        <v>52937703</v>
      </c>
    </row>
    <row r="1570" spans="1:16" x14ac:dyDescent="0.35">
      <c r="A1570">
        <v>93827212588</v>
      </c>
      <c r="C1570" s="2" t="s">
        <v>883</v>
      </c>
      <c r="D1570">
        <v>3</v>
      </c>
      <c r="E1570">
        <v>76891213557</v>
      </c>
      <c r="F1570">
        <f t="shared" ca="1" si="48"/>
        <v>24</v>
      </c>
      <c r="G1570">
        <f ca="1">VLOOKUP(E1570,PurchItem!$A$2:$H$508,8,0)</f>
        <v>942.60995441491764</v>
      </c>
      <c r="H1570">
        <v>0.04</v>
      </c>
      <c r="I1570" t="s">
        <v>244</v>
      </c>
      <c r="M1570">
        <f t="shared" si="49"/>
        <v>10029727818</v>
      </c>
      <c r="N1570">
        <f ca="1">IF(M1570&lt;&gt;M1569,INDEX(CustInfo!$A$2:$A$1001,RANDBETWEEN(1,1000)),N1569)</f>
        <v>11619</v>
      </c>
      <c r="O1570" t="s">
        <v>1002</v>
      </c>
      <c r="P1570">
        <v>52937704</v>
      </c>
    </row>
    <row r="1571" spans="1:16" x14ac:dyDescent="0.35">
      <c r="A1571">
        <v>93827212589</v>
      </c>
      <c r="C1571" s="2" t="s">
        <v>883</v>
      </c>
      <c r="D1571">
        <v>1</v>
      </c>
      <c r="E1571">
        <v>76891213196</v>
      </c>
      <c r="F1571">
        <f t="shared" ca="1" si="48"/>
        <v>78</v>
      </c>
      <c r="G1571">
        <f ca="1">VLOOKUP(E1571,PurchItem!$A$2:$H$508,8,0)</f>
        <v>7032.7904576117289</v>
      </c>
      <c r="H1571">
        <v>0.05</v>
      </c>
      <c r="I1571" t="s">
        <v>244</v>
      </c>
      <c r="M1571">
        <f t="shared" si="49"/>
        <v>10029727819</v>
      </c>
      <c r="N1571">
        <f ca="1">IF(M1571&lt;&gt;M1570,INDEX(CustInfo!$A$2:$A$1001,RANDBETWEEN(1,1000)),N1570)</f>
        <v>11607</v>
      </c>
      <c r="O1571" t="s">
        <v>1003</v>
      </c>
      <c r="P1571">
        <v>52937705</v>
      </c>
    </row>
    <row r="1572" spans="1:16" x14ac:dyDescent="0.35">
      <c r="A1572">
        <v>93827212590</v>
      </c>
      <c r="C1572" s="2" t="s">
        <v>883</v>
      </c>
      <c r="D1572">
        <v>1</v>
      </c>
      <c r="E1572">
        <v>76891213482</v>
      </c>
      <c r="F1572">
        <f t="shared" ca="1" si="48"/>
        <v>44</v>
      </c>
      <c r="G1572">
        <f ca="1">VLOOKUP(E1572,PurchItem!$A$2:$H$508,8,0)</f>
        <v>1942.5852998534569</v>
      </c>
      <c r="H1572">
        <v>0.06</v>
      </c>
      <c r="I1572" t="s">
        <v>244</v>
      </c>
      <c r="M1572">
        <f t="shared" si="49"/>
        <v>10029727820</v>
      </c>
      <c r="N1572">
        <f ca="1">IF(M1572&lt;&gt;M1571,INDEX(CustInfo!$A$2:$A$1001,RANDBETWEEN(1,1000)),N1571)</f>
        <v>11599</v>
      </c>
      <c r="O1572" t="s">
        <v>1001</v>
      </c>
      <c r="P1572">
        <v>52937706</v>
      </c>
    </row>
    <row r="1573" spans="1:16" x14ac:dyDescent="0.35">
      <c r="A1573">
        <v>93827212590</v>
      </c>
      <c r="C1573" s="2" t="s">
        <v>883</v>
      </c>
      <c r="D1573">
        <v>2</v>
      </c>
      <c r="E1573">
        <v>76891213613</v>
      </c>
      <c r="F1573">
        <f t="shared" ca="1" si="48"/>
        <v>61</v>
      </c>
      <c r="G1573">
        <f ca="1">VLOOKUP(E1573,PurchItem!$A$2:$H$508,8,0)</f>
        <v>6056.8631163138916</v>
      </c>
      <c r="H1573">
        <v>0.06</v>
      </c>
      <c r="I1573" t="s">
        <v>244</v>
      </c>
      <c r="M1573">
        <f t="shared" si="49"/>
        <v>10029727820</v>
      </c>
      <c r="N1573">
        <f ca="1">IF(M1573&lt;&gt;M1572,INDEX(CustInfo!$A$2:$A$1001,RANDBETWEEN(1,1000)),N1572)</f>
        <v>11599</v>
      </c>
      <c r="O1573" t="s">
        <v>1001</v>
      </c>
      <c r="P1573">
        <v>52937707</v>
      </c>
    </row>
    <row r="1574" spans="1:16" x14ac:dyDescent="0.35">
      <c r="A1574">
        <v>93827212591</v>
      </c>
      <c r="C1574" s="2" t="s">
        <v>883</v>
      </c>
      <c r="D1574">
        <v>1</v>
      </c>
      <c r="E1574">
        <v>76891213580</v>
      </c>
      <c r="F1574">
        <f t="shared" ca="1" si="48"/>
        <v>15</v>
      </c>
      <c r="G1574">
        <f ca="1">VLOOKUP(E1574,PurchItem!$A$2:$H$508,8,0)</f>
        <v>5355.6561404349168</v>
      </c>
      <c r="H1574">
        <v>0.05</v>
      </c>
      <c r="I1574" t="s">
        <v>244</v>
      </c>
      <c r="M1574">
        <f t="shared" si="49"/>
        <v>10029727821</v>
      </c>
      <c r="N1574">
        <f ca="1">IF(M1574&lt;&gt;M1573,INDEX(CustInfo!$A$2:$A$1001,RANDBETWEEN(1,1000)),N1573)</f>
        <v>11140</v>
      </c>
      <c r="O1574" t="s">
        <v>1001</v>
      </c>
      <c r="P1574">
        <v>52937708</v>
      </c>
    </row>
    <row r="1575" spans="1:16" x14ac:dyDescent="0.35">
      <c r="A1575">
        <v>93827212592</v>
      </c>
      <c r="C1575" s="2" t="s">
        <v>883</v>
      </c>
      <c r="D1575">
        <v>1</v>
      </c>
      <c r="E1575">
        <v>76891213325</v>
      </c>
      <c r="F1575">
        <f t="shared" ca="1" si="48"/>
        <v>42</v>
      </c>
      <c r="G1575">
        <f ca="1">VLOOKUP(E1575,PurchItem!$A$2:$H$508,8,0)</f>
        <v>7717.8815474662742</v>
      </c>
      <c r="H1575">
        <v>0.04</v>
      </c>
      <c r="I1575" t="s">
        <v>244</v>
      </c>
      <c r="M1575">
        <f t="shared" si="49"/>
        <v>10029727822</v>
      </c>
      <c r="N1575">
        <f ca="1">IF(M1575&lt;&gt;M1574,INDEX(CustInfo!$A$2:$A$1001,RANDBETWEEN(1,1000)),N1574)</f>
        <v>11681</v>
      </c>
      <c r="O1575" t="s">
        <v>1001</v>
      </c>
      <c r="P1575">
        <v>52937709</v>
      </c>
    </row>
    <row r="1576" spans="1:16" x14ac:dyDescent="0.35">
      <c r="A1576">
        <v>93827212592</v>
      </c>
      <c r="C1576" s="2" t="s">
        <v>883</v>
      </c>
      <c r="D1576">
        <v>2</v>
      </c>
      <c r="E1576">
        <v>76891213329</v>
      </c>
      <c r="F1576">
        <f t="shared" ca="1" si="48"/>
        <v>23</v>
      </c>
      <c r="G1576">
        <f ca="1">VLOOKUP(E1576,PurchItem!$A$2:$H$508,8,0)</f>
        <v>3846.001981135933</v>
      </c>
      <c r="H1576">
        <v>0.04</v>
      </c>
      <c r="I1576" t="s">
        <v>244</v>
      </c>
      <c r="M1576">
        <f t="shared" si="49"/>
        <v>10029727822</v>
      </c>
      <c r="N1576">
        <f ca="1">IF(M1576&lt;&gt;M1575,INDEX(CustInfo!$A$2:$A$1001,RANDBETWEEN(1,1000)),N1575)</f>
        <v>11681</v>
      </c>
      <c r="O1576" t="s">
        <v>1001</v>
      </c>
      <c r="P1576">
        <v>52937710</v>
      </c>
    </row>
    <row r="1577" spans="1:16" x14ac:dyDescent="0.35">
      <c r="A1577">
        <v>93827212592</v>
      </c>
      <c r="C1577" s="2" t="s">
        <v>883</v>
      </c>
      <c r="D1577">
        <v>3</v>
      </c>
      <c r="E1577">
        <v>76891213519</v>
      </c>
      <c r="F1577">
        <f t="shared" ca="1" si="48"/>
        <v>69</v>
      </c>
      <c r="G1577">
        <f ca="1">VLOOKUP(E1577,PurchItem!$A$2:$H$508,8,0)</f>
        <v>1938.636158170156</v>
      </c>
      <c r="H1577">
        <v>0.05</v>
      </c>
      <c r="I1577" t="s">
        <v>244</v>
      </c>
      <c r="M1577">
        <f t="shared" si="49"/>
        <v>10029727822</v>
      </c>
      <c r="N1577">
        <f ca="1">IF(M1577&lt;&gt;M1576,INDEX(CustInfo!$A$2:$A$1001,RANDBETWEEN(1,1000)),N1576)</f>
        <v>11681</v>
      </c>
      <c r="O1577" t="s">
        <v>1001</v>
      </c>
      <c r="P1577">
        <v>52937711</v>
      </c>
    </row>
    <row r="1578" spans="1:16" x14ac:dyDescent="0.35">
      <c r="A1578">
        <v>93827212592</v>
      </c>
      <c r="C1578" s="2" t="s">
        <v>883</v>
      </c>
      <c r="D1578">
        <v>4</v>
      </c>
      <c r="E1578">
        <v>76891213500</v>
      </c>
      <c r="F1578">
        <f t="shared" ca="1" si="48"/>
        <v>66</v>
      </c>
      <c r="G1578">
        <f ca="1">VLOOKUP(E1578,PurchItem!$A$2:$H$508,8,0)</f>
        <v>3624.8814666574617</v>
      </c>
      <c r="H1578">
        <v>0.06</v>
      </c>
      <c r="I1578" t="s">
        <v>244</v>
      </c>
      <c r="M1578">
        <f t="shared" si="49"/>
        <v>10029727822</v>
      </c>
      <c r="N1578">
        <f ca="1">IF(M1578&lt;&gt;M1577,INDEX(CustInfo!$A$2:$A$1001,RANDBETWEEN(1,1000)),N1577)</f>
        <v>11681</v>
      </c>
      <c r="O1578" t="s">
        <v>1001</v>
      </c>
      <c r="P1578">
        <v>52937712</v>
      </c>
    </row>
    <row r="1579" spans="1:16" x14ac:dyDescent="0.35">
      <c r="A1579">
        <v>93827212593</v>
      </c>
      <c r="C1579" s="2" t="s">
        <v>883</v>
      </c>
      <c r="D1579">
        <v>1</v>
      </c>
      <c r="E1579">
        <v>76891213346</v>
      </c>
      <c r="F1579">
        <f t="shared" ca="1" si="48"/>
        <v>18</v>
      </c>
      <c r="G1579">
        <f ca="1">VLOOKUP(E1579,PurchItem!$A$2:$H$508,8,0)</f>
        <v>7319.6019842468886</v>
      </c>
      <c r="H1579">
        <v>0.06</v>
      </c>
      <c r="I1579" t="s">
        <v>244</v>
      </c>
      <c r="M1579">
        <f t="shared" si="49"/>
        <v>10029727823</v>
      </c>
      <c r="N1579">
        <f ca="1">IF(M1579&lt;&gt;M1578,INDEX(CustInfo!$A$2:$A$1001,RANDBETWEEN(1,1000)),N1578)</f>
        <v>11633</v>
      </c>
      <c r="O1579" t="s">
        <v>1003</v>
      </c>
      <c r="P1579">
        <v>52937713</v>
      </c>
    </row>
    <row r="1580" spans="1:16" x14ac:dyDescent="0.35">
      <c r="A1580">
        <v>93827212593</v>
      </c>
      <c r="C1580" s="2" t="s">
        <v>883</v>
      </c>
      <c r="D1580">
        <v>2</v>
      </c>
      <c r="E1580">
        <v>76891213543</v>
      </c>
      <c r="F1580">
        <f t="shared" ca="1" si="48"/>
        <v>92</v>
      </c>
      <c r="G1580">
        <f ca="1">VLOOKUP(E1580,PurchItem!$A$2:$H$508,8,0)</f>
        <v>645.98032194518066</v>
      </c>
      <c r="H1580">
        <v>0.04</v>
      </c>
      <c r="I1580" t="s">
        <v>244</v>
      </c>
      <c r="M1580">
        <f t="shared" si="49"/>
        <v>10029727823</v>
      </c>
      <c r="N1580">
        <f ca="1">IF(M1580&lt;&gt;M1579,INDEX(CustInfo!$A$2:$A$1001,RANDBETWEEN(1,1000)),N1579)</f>
        <v>11633</v>
      </c>
      <c r="O1580" t="s">
        <v>1003</v>
      </c>
      <c r="P1580">
        <v>52937714</v>
      </c>
    </row>
    <row r="1581" spans="1:16" x14ac:dyDescent="0.35">
      <c r="A1581">
        <v>93827212594</v>
      </c>
      <c r="C1581" s="2" t="s">
        <v>883</v>
      </c>
      <c r="D1581">
        <v>1</v>
      </c>
      <c r="E1581">
        <v>76891213473</v>
      </c>
      <c r="F1581">
        <f t="shared" ca="1" si="48"/>
        <v>65</v>
      </c>
      <c r="G1581">
        <f ca="1">VLOOKUP(E1581,PurchItem!$A$2:$H$508,8,0)</f>
        <v>2246.8538983085609</v>
      </c>
      <c r="H1581">
        <v>0.06</v>
      </c>
      <c r="I1581" t="s">
        <v>244</v>
      </c>
      <c r="M1581">
        <f t="shared" si="49"/>
        <v>10029727824</v>
      </c>
      <c r="N1581">
        <f ca="1">IF(M1581&lt;&gt;M1580,INDEX(CustInfo!$A$2:$A$1001,RANDBETWEEN(1,1000)),N1580)</f>
        <v>11797</v>
      </c>
      <c r="O1581" t="s">
        <v>1003</v>
      </c>
      <c r="P1581">
        <v>52937715</v>
      </c>
    </row>
    <row r="1582" spans="1:16" x14ac:dyDescent="0.35">
      <c r="A1582">
        <v>93827212594</v>
      </c>
      <c r="C1582" s="2" t="s">
        <v>883</v>
      </c>
      <c r="D1582">
        <v>2</v>
      </c>
      <c r="E1582">
        <v>76891213553</v>
      </c>
      <c r="F1582">
        <f t="shared" ca="1" si="48"/>
        <v>72</v>
      </c>
      <c r="G1582">
        <f ca="1">VLOOKUP(E1582,PurchItem!$A$2:$H$508,8,0)</f>
        <v>6673.2582146081568</v>
      </c>
      <c r="H1582">
        <v>0.05</v>
      </c>
      <c r="I1582" t="s">
        <v>244</v>
      </c>
      <c r="M1582">
        <f t="shared" si="49"/>
        <v>10029727824</v>
      </c>
      <c r="N1582">
        <f ca="1">IF(M1582&lt;&gt;M1581,INDEX(CustInfo!$A$2:$A$1001,RANDBETWEEN(1,1000)),N1581)</f>
        <v>11797</v>
      </c>
      <c r="O1582" t="s">
        <v>1003</v>
      </c>
      <c r="P1582">
        <v>52937716</v>
      </c>
    </row>
    <row r="1583" spans="1:16" x14ac:dyDescent="0.35">
      <c r="A1583">
        <v>93827212594</v>
      </c>
      <c r="C1583" s="2" t="s">
        <v>883</v>
      </c>
      <c r="D1583">
        <v>3</v>
      </c>
      <c r="E1583">
        <v>76891213172</v>
      </c>
      <c r="F1583">
        <f t="shared" ca="1" si="48"/>
        <v>78</v>
      </c>
      <c r="G1583">
        <f ca="1">VLOOKUP(E1583,PurchItem!$A$2:$H$508,8,0)</f>
        <v>942.3837622618131</v>
      </c>
      <c r="H1583">
        <v>0.05</v>
      </c>
      <c r="I1583" t="s">
        <v>244</v>
      </c>
      <c r="M1583">
        <f t="shared" si="49"/>
        <v>10029727824</v>
      </c>
      <c r="N1583">
        <f ca="1">IF(M1583&lt;&gt;M1582,INDEX(CustInfo!$A$2:$A$1001,RANDBETWEEN(1,1000)),N1582)</f>
        <v>11797</v>
      </c>
      <c r="O1583" t="s">
        <v>1003</v>
      </c>
      <c r="P1583">
        <v>52937717</v>
      </c>
    </row>
    <row r="1584" spans="1:16" x14ac:dyDescent="0.35">
      <c r="A1584">
        <v>93827212595</v>
      </c>
      <c r="C1584" s="2" t="s">
        <v>883</v>
      </c>
      <c r="D1584">
        <v>1</v>
      </c>
      <c r="E1584">
        <v>76891213171</v>
      </c>
      <c r="F1584">
        <f t="shared" ca="1" si="48"/>
        <v>22</v>
      </c>
      <c r="G1584">
        <f ca="1">VLOOKUP(E1584,PurchItem!$A$2:$H$508,8,0)</f>
        <v>2108.5600192484262</v>
      </c>
      <c r="H1584">
        <v>0.04</v>
      </c>
      <c r="I1584" t="s">
        <v>244</v>
      </c>
      <c r="M1584">
        <f t="shared" si="49"/>
        <v>10029727825</v>
      </c>
      <c r="N1584">
        <f ca="1">IF(M1584&lt;&gt;M1583,INDEX(CustInfo!$A$2:$A$1001,RANDBETWEEN(1,1000)),N1583)</f>
        <v>11892</v>
      </c>
      <c r="O1584" t="s">
        <v>1003</v>
      </c>
      <c r="P1584">
        <v>52937718</v>
      </c>
    </row>
    <row r="1585" spans="1:16" x14ac:dyDescent="0.35">
      <c r="A1585">
        <v>93827212595</v>
      </c>
      <c r="C1585" s="2" t="s">
        <v>883</v>
      </c>
      <c r="D1585">
        <v>2</v>
      </c>
      <c r="E1585">
        <v>76891213226</v>
      </c>
      <c r="F1585">
        <f t="shared" ca="1" si="48"/>
        <v>94</v>
      </c>
      <c r="G1585">
        <f ca="1">VLOOKUP(E1585,PurchItem!$A$2:$H$508,8,0)</f>
        <v>7035.6498118842592</v>
      </c>
      <c r="H1585">
        <v>0.06</v>
      </c>
      <c r="I1585" t="s">
        <v>244</v>
      </c>
      <c r="M1585">
        <f t="shared" si="49"/>
        <v>10029727825</v>
      </c>
      <c r="N1585">
        <f ca="1">IF(M1585&lt;&gt;M1584,INDEX(CustInfo!$A$2:$A$1001,RANDBETWEEN(1,1000)),N1584)</f>
        <v>11892</v>
      </c>
      <c r="O1585" t="s">
        <v>1003</v>
      </c>
      <c r="P1585">
        <v>52937719</v>
      </c>
    </row>
    <row r="1586" spans="1:16" x14ac:dyDescent="0.35">
      <c r="A1586">
        <v>93827212595</v>
      </c>
      <c r="C1586" s="2" t="s">
        <v>883</v>
      </c>
      <c r="D1586">
        <v>3</v>
      </c>
      <c r="E1586">
        <v>76891213453</v>
      </c>
      <c r="F1586">
        <f t="shared" ca="1" si="48"/>
        <v>91</v>
      </c>
      <c r="G1586">
        <f ca="1">VLOOKUP(E1586,PurchItem!$A$2:$H$508,8,0)</f>
        <v>6408.1054848483063</v>
      </c>
      <c r="H1586">
        <v>0.06</v>
      </c>
      <c r="I1586" t="s">
        <v>244</v>
      </c>
      <c r="M1586">
        <f t="shared" si="49"/>
        <v>10029727825</v>
      </c>
      <c r="N1586">
        <f ca="1">IF(M1586&lt;&gt;M1585,INDEX(CustInfo!$A$2:$A$1001,RANDBETWEEN(1,1000)),N1585)</f>
        <v>11892</v>
      </c>
      <c r="O1586" t="s">
        <v>1003</v>
      </c>
      <c r="P1586">
        <v>52937720</v>
      </c>
    </row>
    <row r="1587" spans="1:16" x14ac:dyDescent="0.35">
      <c r="A1587">
        <v>93827212596</v>
      </c>
      <c r="C1587" s="2" t="s">
        <v>883</v>
      </c>
      <c r="D1587">
        <v>1</v>
      </c>
      <c r="E1587">
        <v>76891213451</v>
      </c>
      <c r="F1587">
        <f t="shared" ca="1" si="48"/>
        <v>78</v>
      </c>
      <c r="G1587">
        <f ca="1">VLOOKUP(E1587,PurchItem!$A$2:$H$508,8,0)</f>
        <v>5920.8667622686389</v>
      </c>
      <c r="H1587">
        <v>0.05</v>
      </c>
      <c r="I1587" t="s">
        <v>244</v>
      </c>
      <c r="M1587">
        <f t="shared" si="49"/>
        <v>10029727826</v>
      </c>
      <c r="N1587">
        <f ca="1">IF(M1587&lt;&gt;M1586,INDEX(CustInfo!$A$2:$A$1001,RANDBETWEEN(1,1000)),N1586)</f>
        <v>11850</v>
      </c>
      <c r="O1587" t="s">
        <v>1001</v>
      </c>
      <c r="P1587">
        <v>52937721</v>
      </c>
    </row>
    <row r="1588" spans="1:16" x14ac:dyDescent="0.35">
      <c r="A1588">
        <v>93827212597</v>
      </c>
      <c r="C1588" s="2" t="s">
        <v>883</v>
      </c>
      <c r="D1588">
        <v>1</v>
      </c>
      <c r="E1588">
        <v>76891213251</v>
      </c>
      <c r="F1588">
        <f t="shared" ca="1" si="48"/>
        <v>27</v>
      </c>
      <c r="G1588">
        <f ca="1">VLOOKUP(E1588,PurchItem!$A$2:$H$508,8,0)</f>
        <v>1404.0728362642287</v>
      </c>
      <c r="H1588">
        <v>0.06</v>
      </c>
      <c r="I1588" t="s">
        <v>244</v>
      </c>
      <c r="M1588">
        <f t="shared" si="49"/>
        <v>10029727827</v>
      </c>
      <c r="N1588">
        <f ca="1">IF(M1588&lt;&gt;M1587,INDEX(CustInfo!$A$2:$A$1001,RANDBETWEEN(1,1000)),N1587)</f>
        <v>11281</v>
      </c>
      <c r="O1588" t="s">
        <v>1003</v>
      </c>
      <c r="P1588">
        <v>52937722</v>
      </c>
    </row>
    <row r="1589" spans="1:16" x14ac:dyDescent="0.35">
      <c r="A1589">
        <v>93827212598</v>
      </c>
      <c r="C1589" s="2" t="s">
        <v>883</v>
      </c>
      <c r="D1589">
        <v>1</v>
      </c>
      <c r="E1589">
        <v>76891213157</v>
      </c>
      <c r="F1589">
        <f t="shared" ca="1" si="48"/>
        <v>41</v>
      </c>
      <c r="G1589">
        <f ca="1">VLOOKUP(E1589,PurchItem!$A$2:$H$508,8,0)</f>
        <v>8322.4899114284071</v>
      </c>
      <c r="H1589">
        <v>0.06</v>
      </c>
      <c r="I1589" t="s">
        <v>244</v>
      </c>
      <c r="M1589">
        <f t="shared" si="49"/>
        <v>10029727828</v>
      </c>
      <c r="N1589">
        <f ca="1">IF(M1589&lt;&gt;M1588,INDEX(CustInfo!$A$2:$A$1001,RANDBETWEEN(1,1000)),N1588)</f>
        <v>11203</v>
      </c>
      <c r="O1589" t="s">
        <v>1002</v>
      </c>
      <c r="P1589">
        <v>52937723</v>
      </c>
    </row>
    <row r="1590" spans="1:16" x14ac:dyDescent="0.35">
      <c r="A1590">
        <v>93827212598</v>
      </c>
      <c r="C1590" s="2" t="s">
        <v>883</v>
      </c>
      <c r="D1590">
        <v>2</v>
      </c>
      <c r="E1590">
        <v>76891213368</v>
      </c>
      <c r="F1590">
        <f t="shared" ca="1" si="48"/>
        <v>55</v>
      </c>
      <c r="G1590">
        <f ca="1">VLOOKUP(E1590,PurchItem!$A$2:$H$508,8,0)</f>
        <v>3312.7979678593924</v>
      </c>
      <c r="H1590">
        <v>0.05</v>
      </c>
      <c r="I1590" t="s">
        <v>244</v>
      </c>
      <c r="M1590">
        <f t="shared" si="49"/>
        <v>10029727828</v>
      </c>
      <c r="N1590">
        <f ca="1">IF(M1590&lt;&gt;M1589,INDEX(CustInfo!$A$2:$A$1001,RANDBETWEEN(1,1000)),N1589)</f>
        <v>11203</v>
      </c>
      <c r="O1590" t="s">
        <v>1002</v>
      </c>
      <c r="P1590">
        <v>52937724</v>
      </c>
    </row>
    <row r="1591" spans="1:16" x14ac:dyDescent="0.35">
      <c r="A1591">
        <v>93827212598</v>
      </c>
      <c r="C1591" s="2" t="s">
        <v>883</v>
      </c>
      <c r="D1591">
        <v>3</v>
      </c>
      <c r="E1591">
        <v>76891213266</v>
      </c>
      <c r="F1591">
        <f t="shared" ca="1" si="48"/>
        <v>43</v>
      </c>
      <c r="G1591">
        <f ca="1">VLOOKUP(E1591,PurchItem!$A$2:$H$508,8,0)</f>
        <v>1275.2501267518942</v>
      </c>
      <c r="H1591">
        <v>0.04</v>
      </c>
      <c r="I1591" t="s">
        <v>244</v>
      </c>
      <c r="M1591">
        <f t="shared" si="49"/>
        <v>10029727828</v>
      </c>
      <c r="N1591">
        <f ca="1">IF(M1591&lt;&gt;M1590,INDEX(CustInfo!$A$2:$A$1001,RANDBETWEEN(1,1000)),N1590)</f>
        <v>11203</v>
      </c>
      <c r="O1591" t="s">
        <v>1002</v>
      </c>
      <c r="P1591">
        <v>52937725</v>
      </c>
    </row>
    <row r="1592" spans="1:16" x14ac:dyDescent="0.35">
      <c r="A1592">
        <v>93827212599</v>
      </c>
      <c r="C1592" s="2" t="s">
        <v>883</v>
      </c>
      <c r="D1592">
        <v>1</v>
      </c>
      <c r="E1592">
        <v>76891213438</v>
      </c>
      <c r="F1592">
        <f t="shared" ca="1" si="48"/>
        <v>9</v>
      </c>
      <c r="G1592">
        <f ca="1">VLOOKUP(E1592,PurchItem!$A$2:$H$508,8,0)</f>
        <v>9563.5855628970003</v>
      </c>
      <c r="H1592">
        <v>0.06</v>
      </c>
      <c r="I1592" t="s">
        <v>244</v>
      </c>
      <c r="M1592">
        <f t="shared" si="49"/>
        <v>10029727829</v>
      </c>
      <c r="N1592">
        <f ca="1">IF(M1592&lt;&gt;M1591,INDEX(CustInfo!$A$2:$A$1001,RANDBETWEEN(1,1000)),N1591)</f>
        <v>11592</v>
      </c>
      <c r="O1592" t="s">
        <v>1003</v>
      </c>
      <c r="P1592">
        <v>52937726</v>
      </c>
    </row>
    <row r="1593" spans="1:16" x14ac:dyDescent="0.35">
      <c r="A1593">
        <v>93827212599</v>
      </c>
      <c r="C1593" s="2" t="s">
        <v>883</v>
      </c>
      <c r="D1593">
        <v>2</v>
      </c>
      <c r="E1593">
        <v>76891213184</v>
      </c>
      <c r="F1593">
        <f t="shared" ca="1" si="48"/>
        <v>50</v>
      </c>
      <c r="G1593">
        <f ca="1">VLOOKUP(E1593,PurchItem!$A$2:$H$508,8,0)</f>
        <v>5805.1190284202921</v>
      </c>
      <c r="H1593">
        <v>0.05</v>
      </c>
      <c r="I1593" t="s">
        <v>244</v>
      </c>
      <c r="M1593">
        <f t="shared" si="49"/>
        <v>10029727829</v>
      </c>
      <c r="N1593">
        <f ca="1">IF(M1593&lt;&gt;M1592,INDEX(CustInfo!$A$2:$A$1001,RANDBETWEEN(1,1000)),N1592)</f>
        <v>11592</v>
      </c>
      <c r="O1593" t="s">
        <v>1003</v>
      </c>
      <c r="P1593">
        <v>52937727</v>
      </c>
    </row>
    <row r="1594" spans="1:16" x14ac:dyDescent="0.35">
      <c r="A1594">
        <v>93827212599</v>
      </c>
      <c r="C1594" s="2" t="s">
        <v>883</v>
      </c>
      <c r="D1594">
        <v>3</v>
      </c>
      <c r="E1594">
        <v>76891213308</v>
      </c>
      <c r="F1594">
        <f t="shared" ca="1" si="48"/>
        <v>48</v>
      </c>
      <c r="G1594">
        <f ca="1">VLOOKUP(E1594,PurchItem!$A$2:$H$508,8,0)</f>
        <v>6506.0693874211602</v>
      </c>
      <c r="H1594">
        <v>0.06</v>
      </c>
      <c r="I1594" t="s">
        <v>244</v>
      </c>
      <c r="M1594">
        <f t="shared" si="49"/>
        <v>10029727829</v>
      </c>
      <c r="N1594">
        <f ca="1">IF(M1594&lt;&gt;M1593,INDEX(CustInfo!$A$2:$A$1001,RANDBETWEEN(1,1000)),N1593)</f>
        <v>11592</v>
      </c>
      <c r="O1594" t="s">
        <v>1003</v>
      </c>
      <c r="P1594">
        <v>52937728</v>
      </c>
    </row>
    <row r="1595" spans="1:16" x14ac:dyDescent="0.35">
      <c r="A1595">
        <v>93827212599</v>
      </c>
      <c r="C1595" s="2" t="s">
        <v>883</v>
      </c>
      <c r="D1595">
        <v>4</v>
      </c>
      <c r="E1595">
        <v>76891213435</v>
      </c>
      <c r="F1595">
        <f t="shared" ca="1" si="48"/>
        <v>61</v>
      </c>
      <c r="G1595">
        <f ca="1">VLOOKUP(E1595,PurchItem!$A$2:$H$508,8,0)</f>
        <v>1716.0407979817521</v>
      </c>
      <c r="H1595">
        <v>0.06</v>
      </c>
      <c r="I1595" t="s">
        <v>244</v>
      </c>
      <c r="M1595">
        <f t="shared" si="49"/>
        <v>10029727829</v>
      </c>
      <c r="N1595">
        <f ca="1">IF(M1595&lt;&gt;M1594,INDEX(CustInfo!$A$2:$A$1001,RANDBETWEEN(1,1000)),N1594)</f>
        <v>11592</v>
      </c>
      <c r="O1595" t="s">
        <v>1003</v>
      </c>
      <c r="P1595">
        <v>52937729</v>
      </c>
    </row>
    <row r="1596" spans="1:16" x14ac:dyDescent="0.35">
      <c r="A1596">
        <v>93827212600</v>
      </c>
      <c r="C1596" s="2" t="s">
        <v>883</v>
      </c>
      <c r="D1596">
        <v>1</v>
      </c>
      <c r="E1596">
        <v>76891213297</v>
      </c>
      <c r="F1596">
        <f t="shared" ca="1" si="48"/>
        <v>18</v>
      </c>
      <c r="G1596">
        <f ca="1">VLOOKUP(E1596,PurchItem!$A$2:$H$508,8,0)</f>
        <v>1230.6506719710349</v>
      </c>
      <c r="H1596">
        <v>0.05</v>
      </c>
      <c r="I1596" t="s">
        <v>244</v>
      </c>
      <c r="M1596">
        <f t="shared" si="49"/>
        <v>10029727830</v>
      </c>
      <c r="N1596">
        <f ca="1">IF(M1596&lt;&gt;M1595,INDEX(CustInfo!$A$2:$A$1001,RANDBETWEEN(1,1000)),N1595)</f>
        <v>11685</v>
      </c>
      <c r="O1596" t="s">
        <v>1002</v>
      </c>
      <c r="P1596">
        <v>52937730</v>
      </c>
    </row>
    <row r="1597" spans="1:16" x14ac:dyDescent="0.35">
      <c r="A1597">
        <v>93827212600</v>
      </c>
      <c r="C1597" s="2" t="s">
        <v>883</v>
      </c>
      <c r="D1597">
        <v>2</v>
      </c>
      <c r="E1597">
        <v>76891213585</v>
      </c>
      <c r="F1597">
        <f t="shared" ca="1" si="48"/>
        <v>5</v>
      </c>
      <c r="G1597">
        <f ca="1">VLOOKUP(E1597,PurchItem!$A$2:$H$508,8,0)</f>
        <v>7205.2405986070289</v>
      </c>
      <c r="H1597">
        <v>0.05</v>
      </c>
      <c r="I1597" t="s">
        <v>244</v>
      </c>
      <c r="M1597">
        <f t="shared" si="49"/>
        <v>10029727830</v>
      </c>
      <c r="N1597">
        <f ca="1">IF(M1597&lt;&gt;M1596,INDEX(CustInfo!$A$2:$A$1001,RANDBETWEEN(1,1000)),N1596)</f>
        <v>11685</v>
      </c>
      <c r="O1597" t="s">
        <v>1002</v>
      </c>
      <c r="P1597">
        <v>52937731</v>
      </c>
    </row>
    <row r="1598" spans="1:16" x14ac:dyDescent="0.35">
      <c r="A1598">
        <v>93827212600</v>
      </c>
      <c r="C1598" s="2" t="s">
        <v>883</v>
      </c>
      <c r="D1598">
        <v>3</v>
      </c>
      <c r="E1598">
        <v>76891213629</v>
      </c>
      <c r="F1598">
        <f t="shared" ca="1" si="48"/>
        <v>59</v>
      </c>
      <c r="G1598">
        <f ca="1">VLOOKUP(E1598,PurchItem!$A$2:$H$508,8,0)</f>
        <v>3163.7564415224051</v>
      </c>
      <c r="H1598">
        <v>0.04</v>
      </c>
      <c r="I1598" t="s">
        <v>244</v>
      </c>
      <c r="M1598">
        <f t="shared" si="49"/>
        <v>10029727830</v>
      </c>
      <c r="N1598">
        <f ca="1">IF(M1598&lt;&gt;M1597,INDEX(CustInfo!$A$2:$A$1001,RANDBETWEEN(1,1000)),N1597)</f>
        <v>11685</v>
      </c>
      <c r="O1598" t="s">
        <v>1002</v>
      </c>
      <c r="P1598">
        <v>52937732</v>
      </c>
    </row>
    <row r="1599" spans="1:16" x14ac:dyDescent="0.35">
      <c r="A1599">
        <v>93827212600</v>
      </c>
      <c r="C1599" s="2" t="s">
        <v>883</v>
      </c>
      <c r="D1599">
        <v>4</v>
      </c>
      <c r="E1599">
        <v>76891213268</v>
      </c>
      <c r="F1599">
        <f t="shared" ca="1" si="48"/>
        <v>62</v>
      </c>
      <c r="G1599">
        <f ca="1">VLOOKUP(E1599,PurchItem!$A$2:$H$508,8,0)</f>
        <v>3438.1492682800576</v>
      </c>
      <c r="H1599">
        <v>0.05</v>
      </c>
      <c r="I1599" t="s">
        <v>244</v>
      </c>
      <c r="M1599">
        <f t="shared" si="49"/>
        <v>10029727830</v>
      </c>
      <c r="N1599">
        <f ca="1">IF(M1599&lt;&gt;M1598,INDEX(CustInfo!$A$2:$A$1001,RANDBETWEEN(1,1000)),N1598)</f>
        <v>11685</v>
      </c>
      <c r="O1599" t="s">
        <v>1002</v>
      </c>
      <c r="P1599">
        <v>52937733</v>
      </c>
    </row>
    <row r="1600" spans="1:16" x14ac:dyDescent="0.35">
      <c r="A1600">
        <v>93827212601</v>
      </c>
      <c r="C1600" s="2" t="s">
        <v>883</v>
      </c>
      <c r="D1600">
        <v>1</v>
      </c>
      <c r="E1600">
        <v>76891213640</v>
      </c>
      <c r="F1600">
        <f t="shared" ca="1" si="48"/>
        <v>87</v>
      </c>
      <c r="G1600">
        <f ca="1">VLOOKUP(E1600,PurchItem!$A$2:$H$508,8,0)</f>
        <v>2958.2589954516907</v>
      </c>
      <c r="H1600">
        <v>0.04</v>
      </c>
      <c r="I1600" t="s">
        <v>244</v>
      </c>
      <c r="M1600">
        <f t="shared" si="49"/>
        <v>10029727831</v>
      </c>
      <c r="N1600">
        <f ca="1">IF(M1600&lt;&gt;M1599,INDEX(CustInfo!$A$2:$A$1001,RANDBETWEEN(1,1000)),N1599)</f>
        <v>11000</v>
      </c>
      <c r="O1600" t="s">
        <v>1001</v>
      </c>
      <c r="P1600">
        <v>52937734</v>
      </c>
    </row>
    <row r="1601" spans="1:16" x14ac:dyDescent="0.35">
      <c r="A1601">
        <v>93827212601</v>
      </c>
      <c r="C1601" s="2" t="s">
        <v>883</v>
      </c>
      <c r="D1601">
        <v>2</v>
      </c>
      <c r="E1601">
        <v>76891213388</v>
      </c>
      <c r="F1601">
        <f t="shared" ca="1" si="48"/>
        <v>75</v>
      </c>
      <c r="G1601">
        <f ca="1">VLOOKUP(E1601,PurchItem!$A$2:$H$508,8,0)</f>
        <v>1466.0763513227046</v>
      </c>
      <c r="H1601">
        <v>0.05</v>
      </c>
      <c r="I1601" t="s">
        <v>244</v>
      </c>
      <c r="M1601">
        <f t="shared" si="49"/>
        <v>10029727831</v>
      </c>
      <c r="N1601">
        <f ca="1">IF(M1601&lt;&gt;M1600,INDEX(CustInfo!$A$2:$A$1001,RANDBETWEEN(1,1000)),N1600)</f>
        <v>11000</v>
      </c>
      <c r="O1601" t="s">
        <v>1001</v>
      </c>
      <c r="P1601">
        <v>52937735</v>
      </c>
    </row>
    <row r="1602" spans="1:16" x14ac:dyDescent="0.35">
      <c r="A1602">
        <v>93827212601</v>
      </c>
      <c r="C1602" s="2" t="s">
        <v>883</v>
      </c>
      <c r="D1602">
        <v>3</v>
      </c>
      <c r="E1602">
        <v>76891213378</v>
      </c>
      <c r="F1602">
        <f t="shared" ca="1" si="48"/>
        <v>86</v>
      </c>
      <c r="G1602">
        <f ca="1">VLOOKUP(E1602,PurchItem!$A$2:$H$508,8,0)</f>
        <v>651.17318034422885</v>
      </c>
      <c r="H1602">
        <v>0.04</v>
      </c>
      <c r="I1602" t="s">
        <v>244</v>
      </c>
      <c r="M1602">
        <f t="shared" si="49"/>
        <v>10029727831</v>
      </c>
      <c r="N1602">
        <f ca="1">IF(M1602&lt;&gt;M1601,INDEX(CustInfo!$A$2:$A$1001,RANDBETWEEN(1,1000)),N1601)</f>
        <v>11000</v>
      </c>
      <c r="O1602" t="s">
        <v>1001</v>
      </c>
      <c r="P1602">
        <v>52937736</v>
      </c>
    </row>
    <row r="1603" spans="1:16" x14ac:dyDescent="0.35">
      <c r="A1603">
        <v>93827212601</v>
      </c>
      <c r="C1603" s="2" t="s">
        <v>883</v>
      </c>
      <c r="D1603">
        <v>4</v>
      </c>
      <c r="E1603">
        <v>76891213407</v>
      </c>
      <c r="F1603">
        <f t="shared" ref="F1603:F1666" ca="1" si="50">RANDBETWEEN(1,100)</f>
        <v>60</v>
      </c>
      <c r="G1603">
        <f ca="1">VLOOKUP(E1603,PurchItem!$A$2:$H$508,8,0)</f>
        <v>2479.2746542139621</v>
      </c>
      <c r="H1603">
        <v>0.06</v>
      </c>
      <c r="I1603" t="s">
        <v>244</v>
      </c>
      <c r="M1603">
        <f t="shared" si="49"/>
        <v>10029727831</v>
      </c>
      <c r="N1603">
        <f ca="1">IF(M1603&lt;&gt;M1602,INDEX(CustInfo!$A$2:$A$1001,RANDBETWEEN(1,1000)),N1602)</f>
        <v>11000</v>
      </c>
      <c r="O1603" t="s">
        <v>1001</v>
      </c>
      <c r="P1603">
        <v>52937737</v>
      </c>
    </row>
    <row r="1604" spans="1:16" x14ac:dyDescent="0.35">
      <c r="A1604">
        <v>93827212602</v>
      </c>
      <c r="C1604" s="2" t="s">
        <v>883</v>
      </c>
      <c r="D1604">
        <v>1</v>
      </c>
      <c r="E1604">
        <v>76891213144</v>
      </c>
      <c r="F1604">
        <f t="shared" ca="1" si="50"/>
        <v>66</v>
      </c>
      <c r="G1604">
        <f ca="1">VLOOKUP(E1604,PurchItem!$A$2:$H$508,8,0)</f>
        <v>4043.801529669609</v>
      </c>
      <c r="H1604">
        <v>0.04</v>
      </c>
      <c r="I1604" t="s">
        <v>244</v>
      </c>
      <c r="M1604">
        <f t="shared" si="49"/>
        <v>10029727832</v>
      </c>
      <c r="N1604">
        <f ca="1">IF(M1604&lt;&gt;M1603,INDEX(CustInfo!$A$2:$A$1001,RANDBETWEEN(1,1000)),N1603)</f>
        <v>11528</v>
      </c>
      <c r="O1604" t="s">
        <v>1003</v>
      </c>
      <c r="P1604">
        <v>52937738</v>
      </c>
    </row>
    <row r="1605" spans="1:16" x14ac:dyDescent="0.35">
      <c r="A1605">
        <v>93827212602</v>
      </c>
      <c r="C1605" s="2" t="s">
        <v>883</v>
      </c>
      <c r="D1605">
        <v>2</v>
      </c>
      <c r="E1605">
        <v>76891213145</v>
      </c>
      <c r="F1605">
        <f t="shared" ca="1" si="50"/>
        <v>42</v>
      </c>
      <c r="G1605">
        <f ca="1">VLOOKUP(E1605,PurchItem!$A$2:$H$508,8,0)</f>
        <v>9273.3061751805526</v>
      </c>
      <c r="H1605">
        <v>0.04</v>
      </c>
      <c r="I1605" t="s">
        <v>244</v>
      </c>
      <c r="M1605">
        <f t="shared" ref="M1605:M1668" si="51">IF(A1605&lt;&gt;A1604,M1604+1,M1604)</f>
        <v>10029727832</v>
      </c>
      <c r="N1605">
        <f ca="1">IF(M1605&lt;&gt;M1604,INDEX(CustInfo!$A$2:$A$1001,RANDBETWEEN(1,1000)),N1604)</f>
        <v>11528</v>
      </c>
      <c r="O1605" t="s">
        <v>1003</v>
      </c>
      <c r="P1605">
        <v>52937739</v>
      </c>
    </row>
    <row r="1606" spans="1:16" x14ac:dyDescent="0.35">
      <c r="A1606">
        <v>93827212603</v>
      </c>
      <c r="C1606" s="2" t="s">
        <v>883</v>
      </c>
      <c r="D1606">
        <v>1</v>
      </c>
      <c r="E1606">
        <v>76891213213</v>
      </c>
      <c r="F1606">
        <f t="shared" ca="1" si="50"/>
        <v>51</v>
      </c>
      <c r="G1606">
        <f ca="1">VLOOKUP(E1606,PurchItem!$A$2:$H$508,8,0)</f>
        <v>1235.2952885490945</v>
      </c>
      <c r="H1606">
        <v>0.04</v>
      </c>
      <c r="I1606" t="s">
        <v>244</v>
      </c>
      <c r="M1606">
        <f t="shared" si="51"/>
        <v>10029727833</v>
      </c>
      <c r="N1606">
        <f ca="1">IF(M1606&lt;&gt;M1605,INDEX(CustInfo!$A$2:$A$1001,RANDBETWEEN(1,1000)),N1605)</f>
        <v>11595</v>
      </c>
      <c r="O1606" t="s">
        <v>1001</v>
      </c>
      <c r="P1606">
        <v>52937740</v>
      </c>
    </row>
    <row r="1607" spans="1:16" x14ac:dyDescent="0.35">
      <c r="A1607">
        <v>93827212603</v>
      </c>
      <c r="C1607" s="2" t="s">
        <v>883</v>
      </c>
      <c r="D1607">
        <v>2</v>
      </c>
      <c r="E1607">
        <v>76891213220</v>
      </c>
      <c r="F1607">
        <f t="shared" ca="1" si="50"/>
        <v>77</v>
      </c>
      <c r="G1607">
        <f ca="1">VLOOKUP(E1607,PurchItem!$A$2:$H$508,8,0)</f>
        <v>2008.1764337227496</v>
      </c>
      <c r="H1607">
        <v>0.06</v>
      </c>
      <c r="I1607" t="s">
        <v>244</v>
      </c>
      <c r="M1607">
        <f t="shared" si="51"/>
        <v>10029727833</v>
      </c>
      <c r="N1607">
        <f ca="1">IF(M1607&lt;&gt;M1606,INDEX(CustInfo!$A$2:$A$1001,RANDBETWEEN(1,1000)),N1606)</f>
        <v>11595</v>
      </c>
      <c r="O1607" t="s">
        <v>1001</v>
      </c>
      <c r="P1607">
        <v>52937741</v>
      </c>
    </row>
    <row r="1608" spans="1:16" x14ac:dyDescent="0.35">
      <c r="A1608">
        <v>93827212604</v>
      </c>
      <c r="C1608" s="2" t="s">
        <v>883</v>
      </c>
      <c r="D1608">
        <v>1</v>
      </c>
      <c r="E1608">
        <v>76891213622</v>
      </c>
      <c r="F1608">
        <f t="shared" ca="1" si="50"/>
        <v>20</v>
      </c>
      <c r="G1608">
        <f ca="1">VLOOKUP(E1608,PurchItem!$A$2:$H$508,8,0)</f>
        <v>7391.767855280551</v>
      </c>
      <c r="H1608">
        <v>0.06</v>
      </c>
      <c r="I1608" t="s">
        <v>244</v>
      </c>
      <c r="M1608">
        <f t="shared" si="51"/>
        <v>10029727834</v>
      </c>
      <c r="N1608">
        <f ca="1">IF(M1608&lt;&gt;M1607,INDEX(CustInfo!$A$2:$A$1001,RANDBETWEEN(1,1000)),N1607)</f>
        <v>11305</v>
      </c>
      <c r="O1608" t="s">
        <v>1002</v>
      </c>
      <c r="P1608">
        <v>52937742</v>
      </c>
    </row>
    <row r="1609" spans="1:16" x14ac:dyDescent="0.35">
      <c r="A1609">
        <v>93827212604</v>
      </c>
      <c r="C1609" s="2" t="s">
        <v>883</v>
      </c>
      <c r="D1609">
        <v>2</v>
      </c>
      <c r="E1609">
        <v>76891213564</v>
      </c>
      <c r="F1609">
        <f t="shared" ca="1" si="50"/>
        <v>46</v>
      </c>
      <c r="G1609">
        <f ca="1">VLOOKUP(E1609,PurchItem!$A$2:$H$508,8,0)</f>
        <v>2954.3426312069478</v>
      </c>
      <c r="H1609">
        <v>0.04</v>
      </c>
      <c r="I1609" t="s">
        <v>244</v>
      </c>
      <c r="M1609">
        <f t="shared" si="51"/>
        <v>10029727834</v>
      </c>
      <c r="N1609">
        <f ca="1">IF(M1609&lt;&gt;M1608,INDEX(CustInfo!$A$2:$A$1001,RANDBETWEEN(1,1000)),N1608)</f>
        <v>11305</v>
      </c>
      <c r="O1609" t="s">
        <v>1002</v>
      </c>
      <c r="P1609">
        <v>52937743</v>
      </c>
    </row>
    <row r="1610" spans="1:16" x14ac:dyDescent="0.35">
      <c r="A1610">
        <v>93827212605</v>
      </c>
      <c r="C1610" s="2" t="s">
        <v>883</v>
      </c>
      <c r="D1610">
        <v>1</v>
      </c>
      <c r="E1610">
        <v>76891213637</v>
      </c>
      <c r="F1610">
        <f t="shared" ca="1" si="50"/>
        <v>57</v>
      </c>
      <c r="G1610">
        <f ca="1">VLOOKUP(E1610,PurchItem!$A$2:$H$508,8,0)</f>
        <v>5862.4718067063704</v>
      </c>
      <c r="H1610">
        <v>0.04</v>
      </c>
      <c r="I1610" t="s">
        <v>244</v>
      </c>
      <c r="M1610">
        <f t="shared" si="51"/>
        <v>10029727835</v>
      </c>
      <c r="N1610">
        <f ca="1">IF(M1610&lt;&gt;M1609,INDEX(CustInfo!$A$2:$A$1001,RANDBETWEEN(1,1000)),N1609)</f>
        <v>11739</v>
      </c>
      <c r="O1610" t="s">
        <v>1001</v>
      </c>
      <c r="P1610">
        <v>52937744</v>
      </c>
    </row>
    <row r="1611" spans="1:16" x14ac:dyDescent="0.35">
      <c r="A1611">
        <v>93827212606</v>
      </c>
      <c r="C1611" s="2" t="s">
        <v>883</v>
      </c>
      <c r="D1611">
        <v>1</v>
      </c>
      <c r="E1611">
        <v>76891213149</v>
      </c>
      <c r="F1611">
        <f t="shared" ca="1" si="50"/>
        <v>60</v>
      </c>
      <c r="G1611">
        <f ca="1">VLOOKUP(E1611,PurchItem!$A$2:$H$508,8,0)</f>
        <v>1501.6371834269539</v>
      </c>
      <c r="H1611">
        <v>0.05</v>
      </c>
      <c r="I1611" t="s">
        <v>244</v>
      </c>
      <c r="M1611">
        <f t="shared" si="51"/>
        <v>10029727836</v>
      </c>
      <c r="N1611">
        <f ca="1">IF(M1611&lt;&gt;M1610,INDEX(CustInfo!$A$2:$A$1001,RANDBETWEEN(1,1000)),N1610)</f>
        <v>11070</v>
      </c>
      <c r="O1611" t="s">
        <v>1002</v>
      </c>
      <c r="P1611">
        <v>52937745</v>
      </c>
    </row>
    <row r="1612" spans="1:16" x14ac:dyDescent="0.35">
      <c r="A1612">
        <v>93827212606</v>
      </c>
      <c r="C1612" s="2" t="s">
        <v>883</v>
      </c>
      <c r="D1612">
        <v>2</v>
      </c>
      <c r="E1612">
        <v>76891213283</v>
      </c>
      <c r="F1612">
        <f t="shared" ca="1" si="50"/>
        <v>10</v>
      </c>
      <c r="G1612">
        <f ca="1">VLOOKUP(E1612,PurchItem!$A$2:$H$508,8,0)</f>
        <v>871.93450976358122</v>
      </c>
      <c r="H1612">
        <v>0.06</v>
      </c>
      <c r="I1612" t="s">
        <v>244</v>
      </c>
      <c r="M1612">
        <f t="shared" si="51"/>
        <v>10029727836</v>
      </c>
      <c r="N1612">
        <f ca="1">IF(M1612&lt;&gt;M1611,INDEX(CustInfo!$A$2:$A$1001,RANDBETWEEN(1,1000)),N1611)</f>
        <v>11070</v>
      </c>
      <c r="O1612" t="s">
        <v>1002</v>
      </c>
      <c r="P1612">
        <v>52937746</v>
      </c>
    </row>
    <row r="1613" spans="1:16" x14ac:dyDescent="0.35">
      <c r="A1613">
        <v>93827212607</v>
      </c>
      <c r="C1613" s="2" t="s">
        <v>883</v>
      </c>
      <c r="D1613">
        <v>1</v>
      </c>
      <c r="E1613">
        <v>76891213284</v>
      </c>
      <c r="F1613">
        <f t="shared" ca="1" si="50"/>
        <v>87</v>
      </c>
      <c r="G1613">
        <f ca="1">VLOOKUP(E1613,PurchItem!$A$2:$H$508,8,0)</f>
        <v>8438.9292821455692</v>
      </c>
      <c r="H1613">
        <v>0.06</v>
      </c>
      <c r="I1613" t="s">
        <v>244</v>
      </c>
      <c r="M1613">
        <f t="shared" si="51"/>
        <v>10029727837</v>
      </c>
      <c r="N1613">
        <f ca="1">IF(M1613&lt;&gt;M1612,INDEX(CustInfo!$A$2:$A$1001,RANDBETWEEN(1,1000)),N1612)</f>
        <v>11604</v>
      </c>
      <c r="O1613" t="s">
        <v>1002</v>
      </c>
      <c r="P1613">
        <v>52937747</v>
      </c>
    </row>
    <row r="1614" spans="1:16" x14ac:dyDescent="0.35">
      <c r="A1614">
        <v>93827212608</v>
      </c>
      <c r="C1614" s="2" t="s">
        <v>883</v>
      </c>
      <c r="D1614">
        <v>1</v>
      </c>
      <c r="E1614">
        <v>76891213334</v>
      </c>
      <c r="F1614">
        <f t="shared" ca="1" si="50"/>
        <v>57</v>
      </c>
      <c r="G1614">
        <f ca="1">VLOOKUP(E1614,PurchItem!$A$2:$H$508,8,0)</f>
        <v>8701.4873817400676</v>
      </c>
      <c r="H1614">
        <v>0.06</v>
      </c>
      <c r="I1614" t="s">
        <v>244</v>
      </c>
      <c r="M1614">
        <f t="shared" si="51"/>
        <v>10029727838</v>
      </c>
      <c r="N1614">
        <f ca="1">IF(M1614&lt;&gt;M1613,INDEX(CustInfo!$A$2:$A$1001,RANDBETWEEN(1,1000)),N1613)</f>
        <v>11531</v>
      </c>
      <c r="O1614" t="s">
        <v>1002</v>
      </c>
      <c r="P1614">
        <v>52937748</v>
      </c>
    </row>
    <row r="1615" spans="1:16" x14ac:dyDescent="0.35">
      <c r="A1615">
        <v>93827212608</v>
      </c>
      <c r="C1615" s="2" t="s">
        <v>883</v>
      </c>
      <c r="D1615">
        <v>2</v>
      </c>
      <c r="E1615">
        <v>76891213155</v>
      </c>
      <c r="F1615">
        <f t="shared" ca="1" si="50"/>
        <v>10</v>
      </c>
      <c r="G1615">
        <f ca="1">VLOOKUP(E1615,PurchItem!$A$2:$H$508,8,0)</f>
        <v>3627.1918809763515</v>
      </c>
      <c r="H1615">
        <v>0.06</v>
      </c>
      <c r="I1615" t="s">
        <v>244</v>
      </c>
      <c r="M1615">
        <f t="shared" si="51"/>
        <v>10029727838</v>
      </c>
      <c r="N1615">
        <f ca="1">IF(M1615&lt;&gt;M1614,INDEX(CustInfo!$A$2:$A$1001,RANDBETWEEN(1,1000)),N1614)</f>
        <v>11531</v>
      </c>
      <c r="O1615" t="s">
        <v>1002</v>
      </c>
      <c r="P1615">
        <v>52937749</v>
      </c>
    </row>
    <row r="1616" spans="1:16" x14ac:dyDescent="0.35">
      <c r="A1616">
        <v>93827212609</v>
      </c>
      <c r="C1616" s="2" t="s">
        <v>883</v>
      </c>
      <c r="D1616">
        <v>1</v>
      </c>
      <c r="E1616">
        <v>76891213587</v>
      </c>
      <c r="F1616">
        <f t="shared" ca="1" si="50"/>
        <v>52</v>
      </c>
      <c r="G1616">
        <f ca="1">VLOOKUP(E1616,PurchItem!$A$2:$H$508,8,0)</f>
        <v>402.21981378530177</v>
      </c>
      <c r="H1616">
        <v>0.06</v>
      </c>
      <c r="I1616" t="s">
        <v>244</v>
      </c>
      <c r="M1616">
        <f t="shared" si="51"/>
        <v>10029727839</v>
      </c>
      <c r="N1616">
        <f ca="1">IF(M1616&lt;&gt;M1615,INDEX(CustInfo!$A$2:$A$1001,RANDBETWEEN(1,1000)),N1615)</f>
        <v>11539</v>
      </c>
      <c r="O1616" t="s">
        <v>1002</v>
      </c>
      <c r="P1616">
        <v>52937750</v>
      </c>
    </row>
    <row r="1617" spans="1:16" x14ac:dyDescent="0.35">
      <c r="A1617">
        <v>93827212609</v>
      </c>
      <c r="C1617" s="2" t="s">
        <v>883</v>
      </c>
      <c r="D1617">
        <v>2</v>
      </c>
      <c r="E1617">
        <v>76891213397</v>
      </c>
      <c r="F1617">
        <f t="shared" ca="1" si="50"/>
        <v>20</v>
      </c>
      <c r="G1617">
        <f ca="1">VLOOKUP(E1617,PurchItem!$A$2:$H$508,8,0)</f>
        <v>4664.724071929576</v>
      </c>
      <c r="H1617">
        <v>0.06</v>
      </c>
      <c r="I1617" t="s">
        <v>244</v>
      </c>
      <c r="M1617">
        <f t="shared" si="51"/>
        <v>10029727839</v>
      </c>
      <c r="N1617">
        <f ca="1">IF(M1617&lt;&gt;M1616,INDEX(CustInfo!$A$2:$A$1001,RANDBETWEEN(1,1000)),N1616)</f>
        <v>11539</v>
      </c>
      <c r="O1617" t="s">
        <v>1002</v>
      </c>
      <c r="P1617">
        <v>52937751</v>
      </c>
    </row>
    <row r="1618" spans="1:16" x14ac:dyDescent="0.35">
      <c r="A1618">
        <v>93827212610</v>
      </c>
      <c r="C1618" s="2" t="s">
        <v>883</v>
      </c>
      <c r="D1618">
        <v>1</v>
      </c>
      <c r="E1618">
        <v>76891213542</v>
      </c>
      <c r="F1618">
        <f t="shared" ca="1" si="50"/>
        <v>93</v>
      </c>
      <c r="G1618">
        <f ca="1">VLOOKUP(E1618,PurchItem!$A$2:$H$508,8,0)</f>
        <v>6787.2982998588732</v>
      </c>
      <c r="H1618">
        <v>0.04</v>
      </c>
      <c r="I1618" t="s">
        <v>244</v>
      </c>
      <c r="M1618">
        <f t="shared" si="51"/>
        <v>10029727840</v>
      </c>
      <c r="N1618">
        <f ca="1">IF(M1618&lt;&gt;M1617,INDEX(CustInfo!$A$2:$A$1001,RANDBETWEEN(1,1000)),N1617)</f>
        <v>11189</v>
      </c>
      <c r="O1618" t="s">
        <v>1002</v>
      </c>
      <c r="P1618">
        <v>52937752</v>
      </c>
    </row>
    <row r="1619" spans="1:16" x14ac:dyDescent="0.35">
      <c r="A1619">
        <v>93827212610</v>
      </c>
      <c r="C1619" s="2" t="s">
        <v>883</v>
      </c>
      <c r="D1619">
        <v>2</v>
      </c>
      <c r="E1619">
        <v>76891213225</v>
      </c>
      <c r="F1619">
        <f t="shared" ca="1" si="50"/>
        <v>49</v>
      </c>
      <c r="G1619">
        <f ca="1">VLOOKUP(E1619,PurchItem!$A$2:$H$508,8,0)</f>
        <v>8536.5473217392282</v>
      </c>
      <c r="H1619">
        <v>0.05</v>
      </c>
      <c r="I1619" t="s">
        <v>244</v>
      </c>
      <c r="M1619">
        <f t="shared" si="51"/>
        <v>10029727840</v>
      </c>
      <c r="N1619">
        <f ca="1">IF(M1619&lt;&gt;M1618,INDEX(CustInfo!$A$2:$A$1001,RANDBETWEEN(1,1000)),N1618)</f>
        <v>11189</v>
      </c>
      <c r="O1619" t="s">
        <v>1002</v>
      </c>
      <c r="P1619">
        <v>52937753</v>
      </c>
    </row>
    <row r="1620" spans="1:16" x14ac:dyDescent="0.35">
      <c r="A1620">
        <v>93827212610</v>
      </c>
      <c r="C1620" s="2" t="s">
        <v>883</v>
      </c>
      <c r="D1620">
        <v>3</v>
      </c>
      <c r="E1620">
        <v>76891213307</v>
      </c>
      <c r="F1620">
        <f t="shared" ca="1" si="50"/>
        <v>5</v>
      </c>
      <c r="G1620">
        <f ca="1">VLOOKUP(E1620,PurchItem!$A$2:$H$508,8,0)</f>
        <v>1208.3322908082841</v>
      </c>
      <c r="H1620">
        <v>0.06</v>
      </c>
      <c r="I1620" t="s">
        <v>244</v>
      </c>
      <c r="M1620">
        <f t="shared" si="51"/>
        <v>10029727840</v>
      </c>
      <c r="N1620">
        <f ca="1">IF(M1620&lt;&gt;M1619,INDEX(CustInfo!$A$2:$A$1001,RANDBETWEEN(1,1000)),N1619)</f>
        <v>11189</v>
      </c>
      <c r="O1620" t="s">
        <v>1002</v>
      </c>
      <c r="P1620">
        <v>52937754</v>
      </c>
    </row>
    <row r="1621" spans="1:16" x14ac:dyDescent="0.35">
      <c r="A1621">
        <v>93827212610</v>
      </c>
      <c r="C1621" s="2" t="s">
        <v>883</v>
      </c>
      <c r="D1621">
        <v>4</v>
      </c>
      <c r="E1621">
        <v>76891213455</v>
      </c>
      <c r="F1621">
        <f t="shared" ca="1" si="50"/>
        <v>24</v>
      </c>
      <c r="G1621">
        <f ca="1">VLOOKUP(E1621,PurchItem!$A$2:$H$508,8,0)</f>
        <v>783.48955625183578</v>
      </c>
      <c r="H1621">
        <v>0.06</v>
      </c>
      <c r="I1621" t="s">
        <v>244</v>
      </c>
      <c r="M1621">
        <f t="shared" si="51"/>
        <v>10029727840</v>
      </c>
      <c r="N1621">
        <f ca="1">IF(M1621&lt;&gt;M1620,INDEX(CustInfo!$A$2:$A$1001,RANDBETWEEN(1,1000)),N1620)</f>
        <v>11189</v>
      </c>
      <c r="O1621" t="s">
        <v>1002</v>
      </c>
      <c r="P1621">
        <v>52937755</v>
      </c>
    </row>
    <row r="1622" spans="1:16" x14ac:dyDescent="0.35">
      <c r="A1622">
        <v>93827212611</v>
      </c>
      <c r="C1622" s="2" t="s">
        <v>883</v>
      </c>
      <c r="D1622">
        <v>1</v>
      </c>
      <c r="E1622">
        <v>76891213193</v>
      </c>
      <c r="F1622">
        <f t="shared" ca="1" si="50"/>
        <v>64</v>
      </c>
      <c r="G1622">
        <f ca="1">VLOOKUP(E1622,PurchItem!$A$2:$H$508,8,0)</f>
        <v>6207.5236658812264</v>
      </c>
      <c r="H1622">
        <v>0.05</v>
      </c>
      <c r="I1622" t="s">
        <v>244</v>
      </c>
      <c r="M1622">
        <f t="shared" si="51"/>
        <v>10029727841</v>
      </c>
      <c r="N1622">
        <f ca="1">IF(M1622&lt;&gt;M1621,INDEX(CustInfo!$A$2:$A$1001,RANDBETWEEN(1,1000)),N1621)</f>
        <v>11883</v>
      </c>
      <c r="O1622" t="s">
        <v>1002</v>
      </c>
      <c r="P1622">
        <v>52937756</v>
      </c>
    </row>
    <row r="1623" spans="1:16" x14ac:dyDescent="0.35">
      <c r="A1623">
        <v>93827212611</v>
      </c>
      <c r="C1623" s="2" t="s">
        <v>883</v>
      </c>
      <c r="D1623">
        <v>2</v>
      </c>
      <c r="E1623">
        <v>76891213294</v>
      </c>
      <c r="F1623">
        <f t="shared" ca="1" si="50"/>
        <v>97</v>
      </c>
      <c r="G1623">
        <f ca="1">VLOOKUP(E1623,PurchItem!$A$2:$H$508,8,0)</f>
        <v>1758.1992003080466</v>
      </c>
      <c r="H1623">
        <v>0.06</v>
      </c>
      <c r="I1623" t="s">
        <v>244</v>
      </c>
      <c r="M1623">
        <f t="shared" si="51"/>
        <v>10029727841</v>
      </c>
      <c r="N1623">
        <f ca="1">IF(M1623&lt;&gt;M1622,INDEX(CustInfo!$A$2:$A$1001,RANDBETWEEN(1,1000)),N1622)</f>
        <v>11883</v>
      </c>
      <c r="O1623" t="s">
        <v>1002</v>
      </c>
      <c r="P1623">
        <v>52937757</v>
      </c>
    </row>
    <row r="1624" spans="1:16" x14ac:dyDescent="0.35">
      <c r="A1624">
        <v>93827212611</v>
      </c>
      <c r="C1624" s="2" t="s">
        <v>883</v>
      </c>
      <c r="D1624">
        <v>3</v>
      </c>
      <c r="E1624">
        <v>76891213204</v>
      </c>
      <c r="F1624">
        <f t="shared" ca="1" si="50"/>
        <v>58</v>
      </c>
      <c r="G1624">
        <f ca="1">VLOOKUP(E1624,PurchItem!$A$2:$H$508,8,0)</f>
        <v>463.02454813375948</v>
      </c>
      <c r="H1624">
        <v>0.06</v>
      </c>
      <c r="I1624" t="s">
        <v>244</v>
      </c>
      <c r="M1624">
        <f t="shared" si="51"/>
        <v>10029727841</v>
      </c>
      <c r="N1624">
        <f ca="1">IF(M1624&lt;&gt;M1623,INDEX(CustInfo!$A$2:$A$1001,RANDBETWEEN(1,1000)),N1623)</f>
        <v>11883</v>
      </c>
      <c r="O1624" t="s">
        <v>1002</v>
      </c>
      <c r="P1624">
        <v>52937758</v>
      </c>
    </row>
    <row r="1625" spans="1:16" x14ac:dyDescent="0.35">
      <c r="A1625">
        <v>93827212612</v>
      </c>
      <c r="C1625" s="2" t="s">
        <v>883</v>
      </c>
      <c r="D1625">
        <v>1</v>
      </c>
      <c r="E1625">
        <v>76891213298</v>
      </c>
      <c r="F1625">
        <f t="shared" ca="1" si="50"/>
        <v>71</v>
      </c>
      <c r="G1625">
        <f ca="1">VLOOKUP(E1625,PurchItem!$A$2:$H$508,8,0)</f>
        <v>8806.9548730318475</v>
      </c>
      <c r="H1625">
        <v>0.04</v>
      </c>
      <c r="I1625" t="s">
        <v>244</v>
      </c>
      <c r="M1625">
        <f t="shared" si="51"/>
        <v>10029727842</v>
      </c>
      <c r="N1625">
        <f ca="1">IF(M1625&lt;&gt;M1624,INDEX(CustInfo!$A$2:$A$1001,RANDBETWEEN(1,1000)),N1624)</f>
        <v>11077</v>
      </c>
      <c r="O1625" t="s">
        <v>1001</v>
      </c>
      <c r="P1625">
        <v>52937759</v>
      </c>
    </row>
    <row r="1626" spans="1:16" x14ac:dyDescent="0.35">
      <c r="A1626">
        <v>93827212612</v>
      </c>
      <c r="C1626" s="2" t="s">
        <v>883</v>
      </c>
      <c r="D1626">
        <v>2</v>
      </c>
      <c r="E1626">
        <v>76891213492</v>
      </c>
      <c r="F1626">
        <f t="shared" ca="1" si="50"/>
        <v>10</v>
      </c>
      <c r="G1626">
        <f ca="1">VLOOKUP(E1626,PurchItem!$A$2:$H$508,8,0)</f>
        <v>4212.9527121259771</v>
      </c>
      <c r="H1626">
        <v>0.04</v>
      </c>
      <c r="I1626" t="s">
        <v>244</v>
      </c>
      <c r="M1626">
        <f t="shared" si="51"/>
        <v>10029727842</v>
      </c>
      <c r="N1626">
        <f ca="1">IF(M1626&lt;&gt;M1625,INDEX(CustInfo!$A$2:$A$1001,RANDBETWEEN(1,1000)),N1625)</f>
        <v>11077</v>
      </c>
      <c r="O1626" t="s">
        <v>1001</v>
      </c>
      <c r="P1626">
        <v>52937760</v>
      </c>
    </row>
    <row r="1627" spans="1:16" x14ac:dyDescent="0.35">
      <c r="A1627">
        <v>93827212612</v>
      </c>
      <c r="C1627" s="2" t="s">
        <v>883</v>
      </c>
      <c r="D1627">
        <v>3</v>
      </c>
      <c r="E1627">
        <v>76891213313</v>
      </c>
      <c r="F1627">
        <f t="shared" ca="1" si="50"/>
        <v>80</v>
      </c>
      <c r="G1627">
        <f ca="1">VLOOKUP(E1627,PurchItem!$A$2:$H$508,8,0)</f>
        <v>5342.3019107040554</v>
      </c>
      <c r="H1627">
        <v>0.04</v>
      </c>
      <c r="I1627" t="s">
        <v>244</v>
      </c>
      <c r="M1627">
        <f t="shared" si="51"/>
        <v>10029727842</v>
      </c>
      <c r="N1627">
        <f ca="1">IF(M1627&lt;&gt;M1626,INDEX(CustInfo!$A$2:$A$1001,RANDBETWEEN(1,1000)),N1626)</f>
        <v>11077</v>
      </c>
      <c r="O1627" t="s">
        <v>1001</v>
      </c>
      <c r="P1627">
        <v>52937761</v>
      </c>
    </row>
    <row r="1628" spans="1:16" x14ac:dyDescent="0.35">
      <c r="A1628">
        <v>93827212613</v>
      </c>
      <c r="C1628" s="2" t="s">
        <v>883</v>
      </c>
      <c r="D1628">
        <v>1</v>
      </c>
      <c r="E1628">
        <v>76891213147</v>
      </c>
      <c r="F1628">
        <f t="shared" ca="1" si="50"/>
        <v>14</v>
      </c>
      <c r="G1628">
        <f ca="1">VLOOKUP(E1628,PurchItem!$A$2:$H$508,8,0)</f>
        <v>2264.3353543042599</v>
      </c>
      <c r="H1628">
        <v>0.04</v>
      </c>
      <c r="I1628" t="s">
        <v>244</v>
      </c>
      <c r="M1628">
        <f t="shared" si="51"/>
        <v>10029727843</v>
      </c>
      <c r="N1628">
        <f ca="1">IF(M1628&lt;&gt;M1627,INDEX(CustInfo!$A$2:$A$1001,RANDBETWEEN(1,1000)),N1627)</f>
        <v>11932</v>
      </c>
      <c r="O1628" t="s">
        <v>1001</v>
      </c>
      <c r="P1628">
        <v>52937762</v>
      </c>
    </row>
    <row r="1629" spans="1:16" x14ac:dyDescent="0.35">
      <c r="A1629">
        <v>93827212614</v>
      </c>
      <c r="C1629" s="2" t="s">
        <v>883</v>
      </c>
      <c r="D1629">
        <v>1</v>
      </c>
      <c r="E1629">
        <v>76891213328</v>
      </c>
      <c r="F1629">
        <f t="shared" ca="1" si="50"/>
        <v>68</v>
      </c>
      <c r="G1629">
        <f ca="1">VLOOKUP(E1629,PurchItem!$A$2:$H$508,8,0)</f>
        <v>8932.3921588224312</v>
      </c>
      <c r="H1629">
        <v>0.05</v>
      </c>
      <c r="I1629" t="s">
        <v>244</v>
      </c>
      <c r="M1629">
        <f t="shared" si="51"/>
        <v>10029727844</v>
      </c>
      <c r="N1629">
        <f ca="1">IF(M1629&lt;&gt;M1628,INDEX(CustInfo!$A$2:$A$1001,RANDBETWEEN(1,1000)),N1628)</f>
        <v>11816</v>
      </c>
      <c r="O1629" t="s">
        <v>1003</v>
      </c>
      <c r="P1629">
        <v>52937763</v>
      </c>
    </row>
    <row r="1630" spans="1:16" x14ac:dyDescent="0.35">
      <c r="A1630">
        <v>93827212614</v>
      </c>
      <c r="C1630" s="2" t="s">
        <v>883</v>
      </c>
      <c r="D1630">
        <v>2</v>
      </c>
      <c r="E1630">
        <v>76891213517</v>
      </c>
      <c r="F1630">
        <f t="shared" ca="1" si="50"/>
        <v>85</v>
      </c>
      <c r="G1630">
        <f ca="1">VLOOKUP(E1630,PurchItem!$A$2:$H$508,8,0)</f>
        <v>9112.1517814969393</v>
      </c>
      <c r="H1630">
        <v>0.05</v>
      </c>
      <c r="I1630" t="s">
        <v>244</v>
      </c>
      <c r="M1630">
        <f t="shared" si="51"/>
        <v>10029727844</v>
      </c>
      <c r="N1630">
        <f ca="1">IF(M1630&lt;&gt;M1629,INDEX(CustInfo!$A$2:$A$1001,RANDBETWEEN(1,1000)),N1629)</f>
        <v>11816</v>
      </c>
      <c r="O1630" t="s">
        <v>1003</v>
      </c>
      <c r="P1630">
        <v>52937764</v>
      </c>
    </row>
    <row r="1631" spans="1:16" x14ac:dyDescent="0.35">
      <c r="A1631">
        <v>93827212614</v>
      </c>
      <c r="C1631" s="2" t="s">
        <v>883</v>
      </c>
      <c r="D1631">
        <v>3</v>
      </c>
      <c r="E1631">
        <v>76891213554</v>
      </c>
      <c r="F1631">
        <f t="shared" ca="1" si="50"/>
        <v>61</v>
      </c>
      <c r="G1631">
        <f ca="1">VLOOKUP(E1631,PurchItem!$A$2:$H$508,8,0)</f>
        <v>951.21890056653785</v>
      </c>
      <c r="H1631">
        <v>0.05</v>
      </c>
      <c r="I1631" t="s">
        <v>244</v>
      </c>
      <c r="M1631">
        <f t="shared" si="51"/>
        <v>10029727844</v>
      </c>
      <c r="N1631">
        <f ca="1">IF(M1631&lt;&gt;M1630,INDEX(CustInfo!$A$2:$A$1001,RANDBETWEEN(1,1000)),N1630)</f>
        <v>11816</v>
      </c>
      <c r="O1631" t="s">
        <v>1003</v>
      </c>
      <c r="P1631">
        <v>52937765</v>
      </c>
    </row>
    <row r="1632" spans="1:16" x14ac:dyDescent="0.35">
      <c r="A1632">
        <v>93827212615</v>
      </c>
      <c r="C1632" s="2" t="s">
        <v>883</v>
      </c>
      <c r="D1632">
        <v>1</v>
      </c>
      <c r="E1632">
        <v>76891213278</v>
      </c>
      <c r="F1632">
        <f t="shared" ca="1" si="50"/>
        <v>22</v>
      </c>
      <c r="G1632">
        <f ca="1">VLOOKUP(E1632,PurchItem!$A$2:$H$508,8,0)</f>
        <v>5013.6146298172789</v>
      </c>
      <c r="H1632">
        <v>0.06</v>
      </c>
      <c r="I1632" t="s">
        <v>244</v>
      </c>
      <c r="M1632">
        <f t="shared" si="51"/>
        <v>10029727845</v>
      </c>
      <c r="N1632">
        <f ca="1">IF(M1632&lt;&gt;M1631,INDEX(CustInfo!$A$2:$A$1001,RANDBETWEEN(1,1000)),N1631)</f>
        <v>11265</v>
      </c>
      <c r="O1632" t="s">
        <v>1003</v>
      </c>
      <c r="P1632">
        <v>52937766</v>
      </c>
    </row>
    <row r="1633" spans="1:16" x14ac:dyDescent="0.35">
      <c r="A1633">
        <v>93827212615</v>
      </c>
      <c r="C1633" s="2" t="s">
        <v>883</v>
      </c>
      <c r="D1633">
        <v>2</v>
      </c>
      <c r="E1633">
        <v>76891213620</v>
      </c>
      <c r="F1633">
        <f t="shared" ca="1" si="50"/>
        <v>95</v>
      </c>
      <c r="G1633">
        <f ca="1">VLOOKUP(E1633,PurchItem!$A$2:$H$508,8,0)</f>
        <v>261.77946432896999</v>
      </c>
      <c r="H1633">
        <v>0.05</v>
      </c>
      <c r="I1633" t="s">
        <v>244</v>
      </c>
      <c r="M1633">
        <f t="shared" si="51"/>
        <v>10029727845</v>
      </c>
      <c r="N1633">
        <f ca="1">IF(M1633&lt;&gt;M1632,INDEX(CustInfo!$A$2:$A$1001,RANDBETWEEN(1,1000)),N1632)</f>
        <v>11265</v>
      </c>
      <c r="O1633" t="s">
        <v>1003</v>
      </c>
      <c r="P1633">
        <v>52937767</v>
      </c>
    </row>
    <row r="1634" spans="1:16" x14ac:dyDescent="0.35">
      <c r="A1634">
        <v>93827212615</v>
      </c>
      <c r="C1634" s="2" t="s">
        <v>883</v>
      </c>
      <c r="D1634">
        <v>3</v>
      </c>
      <c r="E1634">
        <v>76891213148</v>
      </c>
      <c r="F1634">
        <f t="shared" ca="1" si="50"/>
        <v>80</v>
      </c>
      <c r="G1634">
        <f ca="1">VLOOKUP(E1634,PurchItem!$A$2:$H$508,8,0)</f>
        <v>1059.7105318061322</v>
      </c>
      <c r="H1634">
        <v>0.04</v>
      </c>
      <c r="I1634" t="s">
        <v>244</v>
      </c>
      <c r="M1634">
        <f t="shared" si="51"/>
        <v>10029727845</v>
      </c>
      <c r="N1634">
        <f ca="1">IF(M1634&lt;&gt;M1633,INDEX(CustInfo!$A$2:$A$1001,RANDBETWEEN(1,1000)),N1633)</f>
        <v>11265</v>
      </c>
      <c r="O1634" t="s">
        <v>1003</v>
      </c>
      <c r="P1634">
        <v>52937768</v>
      </c>
    </row>
    <row r="1635" spans="1:16" x14ac:dyDescent="0.35">
      <c r="A1635">
        <v>93827212616</v>
      </c>
      <c r="C1635" s="2" t="s">
        <v>883</v>
      </c>
      <c r="D1635">
        <v>1</v>
      </c>
      <c r="E1635">
        <v>76891213542</v>
      </c>
      <c r="F1635">
        <f t="shared" ca="1" si="50"/>
        <v>49</v>
      </c>
      <c r="G1635">
        <f ca="1">VLOOKUP(E1635,PurchItem!$A$2:$H$508,8,0)</f>
        <v>6787.2982998588732</v>
      </c>
      <c r="H1635">
        <v>0.05</v>
      </c>
      <c r="I1635" t="s">
        <v>244</v>
      </c>
      <c r="M1635">
        <f t="shared" si="51"/>
        <v>10029727846</v>
      </c>
      <c r="N1635">
        <f ca="1">IF(M1635&lt;&gt;M1634,INDEX(CustInfo!$A$2:$A$1001,RANDBETWEEN(1,1000)),N1634)</f>
        <v>11094</v>
      </c>
      <c r="O1635" t="s">
        <v>1003</v>
      </c>
      <c r="P1635">
        <v>52937769</v>
      </c>
    </row>
    <row r="1636" spans="1:16" x14ac:dyDescent="0.35">
      <c r="A1636">
        <v>93827212616</v>
      </c>
      <c r="C1636" s="2" t="s">
        <v>883</v>
      </c>
      <c r="D1636">
        <v>2</v>
      </c>
      <c r="E1636">
        <v>76891213538</v>
      </c>
      <c r="F1636">
        <f t="shared" ca="1" si="50"/>
        <v>57</v>
      </c>
      <c r="G1636">
        <f ca="1">VLOOKUP(E1636,PurchItem!$A$2:$H$508,8,0)</f>
        <v>6616.0040221118334</v>
      </c>
      <c r="H1636">
        <v>0.05</v>
      </c>
      <c r="I1636" t="s">
        <v>244</v>
      </c>
      <c r="M1636">
        <f t="shared" si="51"/>
        <v>10029727846</v>
      </c>
      <c r="N1636">
        <f ca="1">IF(M1636&lt;&gt;M1635,INDEX(CustInfo!$A$2:$A$1001,RANDBETWEEN(1,1000)),N1635)</f>
        <v>11094</v>
      </c>
      <c r="O1636" t="s">
        <v>1003</v>
      </c>
      <c r="P1636">
        <v>52937770</v>
      </c>
    </row>
    <row r="1637" spans="1:16" x14ac:dyDescent="0.35">
      <c r="A1637">
        <v>93827212617</v>
      </c>
      <c r="C1637" s="2" t="s">
        <v>883</v>
      </c>
      <c r="D1637">
        <v>1</v>
      </c>
      <c r="E1637">
        <v>76891213549</v>
      </c>
      <c r="F1637">
        <f t="shared" ca="1" si="50"/>
        <v>91</v>
      </c>
      <c r="G1637">
        <f ca="1">VLOOKUP(E1637,PurchItem!$A$2:$H$508,8,0)</f>
        <v>5727.7008118950862</v>
      </c>
      <c r="H1637">
        <v>0.05</v>
      </c>
      <c r="I1637" t="s">
        <v>244</v>
      </c>
      <c r="M1637">
        <f t="shared" si="51"/>
        <v>10029727847</v>
      </c>
      <c r="N1637">
        <f ca="1">IF(M1637&lt;&gt;M1636,INDEX(CustInfo!$A$2:$A$1001,RANDBETWEEN(1,1000)),N1636)</f>
        <v>11052</v>
      </c>
      <c r="O1637" t="s">
        <v>1003</v>
      </c>
      <c r="P1637">
        <v>52937771</v>
      </c>
    </row>
    <row r="1638" spans="1:16" x14ac:dyDescent="0.35">
      <c r="A1638">
        <v>93827212617</v>
      </c>
      <c r="C1638" s="2" t="s">
        <v>883</v>
      </c>
      <c r="D1638">
        <v>2</v>
      </c>
      <c r="E1638">
        <v>76891213332</v>
      </c>
      <c r="F1638">
        <f t="shared" ca="1" si="50"/>
        <v>27</v>
      </c>
      <c r="G1638">
        <f ca="1">VLOOKUP(E1638,PurchItem!$A$2:$H$508,8,0)</f>
        <v>5811.6103447390888</v>
      </c>
      <c r="H1638">
        <v>0.04</v>
      </c>
      <c r="I1638" t="s">
        <v>244</v>
      </c>
      <c r="M1638">
        <f t="shared" si="51"/>
        <v>10029727847</v>
      </c>
      <c r="N1638">
        <f ca="1">IF(M1638&lt;&gt;M1637,INDEX(CustInfo!$A$2:$A$1001,RANDBETWEEN(1,1000)),N1637)</f>
        <v>11052</v>
      </c>
      <c r="O1638" t="s">
        <v>1003</v>
      </c>
      <c r="P1638">
        <v>52937772</v>
      </c>
    </row>
    <row r="1639" spans="1:16" x14ac:dyDescent="0.35">
      <c r="A1639">
        <v>93827212617</v>
      </c>
      <c r="C1639" s="2" t="s">
        <v>883</v>
      </c>
      <c r="D1639">
        <v>3</v>
      </c>
      <c r="E1639">
        <v>76891213321</v>
      </c>
      <c r="F1639">
        <f t="shared" ca="1" si="50"/>
        <v>11</v>
      </c>
      <c r="G1639">
        <f ca="1">VLOOKUP(E1639,PurchItem!$A$2:$H$508,8,0)</f>
        <v>9543.4672699482726</v>
      </c>
      <c r="H1639">
        <v>0.04</v>
      </c>
      <c r="I1639" t="s">
        <v>244</v>
      </c>
      <c r="M1639">
        <f t="shared" si="51"/>
        <v>10029727847</v>
      </c>
      <c r="N1639">
        <f ca="1">IF(M1639&lt;&gt;M1638,INDEX(CustInfo!$A$2:$A$1001,RANDBETWEEN(1,1000)),N1638)</f>
        <v>11052</v>
      </c>
      <c r="O1639" t="s">
        <v>1003</v>
      </c>
      <c r="P1639">
        <v>52937773</v>
      </c>
    </row>
    <row r="1640" spans="1:16" x14ac:dyDescent="0.35">
      <c r="A1640">
        <v>93827212618</v>
      </c>
      <c r="C1640" s="2" t="s">
        <v>883</v>
      </c>
      <c r="D1640">
        <v>1</v>
      </c>
      <c r="E1640">
        <v>76891213394</v>
      </c>
      <c r="F1640">
        <f t="shared" ca="1" si="50"/>
        <v>88</v>
      </c>
      <c r="G1640">
        <f ca="1">VLOOKUP(E1640,PurchItem!$A$2:$H$508,8,0)</f>
        <v>4295.2254967828821</v>
      </c>
      <c r="H1640">
        <v>0.06</v>
      </c>
      <c r="I1640" t="s">
        <v>244</v>
      </c>
      <c r="M1640">
        <f t="shared" si="51"/>
        <v>10029727848</v>
      </c>
      <c r="N1640">
        <f ca="1">IF(M1640&lt;&gt;M1639,INDEX(CustInfo!$A$2:$A$1001,RANDBETWEEN(1,1000)),N1639)</f>
        <v>11601</v>
      </c>
      <c r="O1640" t="s">
        <v>1003</v>
      </c>
      <c r="P1640">
        <v>52937774</v>
      </c>
    </row>
    <row r="1641" spans="1:16" x14ac:dyDescent="0.35">
      <c r="A1641">
        <v>93827212618</v>
      </c>
      <c r="C1641" s="2" t="s">
        <v>883</v>
      </c>
      <c r="D1641">
        <v>2</v>
      </c>
      <c r="E1641">
        <v>76891213148</v>
      </c>
      <c r="F1641">
        <f t="shared" ca="1" si="50"/>
        <v>95</v>
      </c>
      <c r="G1641">
        <f ca="1">VLOOKUP(E1641,PurchItem!$A$2:$H$508,8,0)</f>
        <v>1059.7105318061322</v>
      </c>
      <c r="H1641">
        <v>0.06</v>
      </c>
      <c r="I1641" t="s">
        <v>244</v>
      </c>
      <c r="M1641">
        <f t="shared" si="51"/>
        <v>10029727848</v>
      </c>
      <c r="N1641">
        <f ca="1">IF(M1641&lt;&gt;M1640,INDEX(CustInfo!$A$2:$A$1001,RANDBETWEEN(1,1000)),N1640)</f>
        <v>11601</v>
      </c>
      <c r="O1641" t="s">
        <v>1003</v>
      </c>
      <c r="P1641">
        <v>52937775</v>
      </c>
    </row>
    <row r="1642" spans="1:16" x14ac:dyDescent="0.35">
      <c r="A1642">
        <v>93827212618</v>
      </c>
      <c r="C1642" s="2" t="s">
        <v>883</v>
      </c>
      <c r="D1642">
        <v>3</v>
      </c>
      <c r="E1642">
        <v>76891213554</v>
      </c>
      <c r="F1642">
        <f t="shared" ca="1" si="50"/>
        <v>14</v>
      </c>
      <c r="G1642">
        <f ca="1">VLOOKUP(E1642,PurchItem!$A$2:$H$508,8,0)</f>
        <v>951.21890056653785</v>
      </c>
      <c r="H1642">
        <v>0.04</v>
      </c>
      <c r="I1642" t="s">
        <v>244</v>
      </c>
      <c r="M1642">
        <f t="shared" si="51"/>
        <v>10029727848</v>
      </c>
      <c r="N1642">
        <f ca="1">IF(M1642&lt;&gt;M1641,INDEX(CustInfo!$A$2:$A$1001,RANDBETWEEN(1,1000)),N1641)</f>
        <v>11601</v>
      </c>
      <c r="O1642" t="s">
        <v>1003</v>
      </c>
      <c r="P1642">
        <v>52937776</v>
      </c>
    </row>
    <row r="1643" spans="1:16" x14ac:dyDescent="0.35">
      <c r="A1643">
        <v>93827212618</v>
      </c>
      <c r="C1643" s="2" t="s">
        <v>883</v>
      </c>
      <c r="D1643">
        <v>4</v>
      </c>
      <c r="E1643">
        <v>76891213174</v>
      </c>
      <c r="F1643">
        <f t="shared" ca="1" si="50"/>
        <v>48</v>
      </c>
      <c r="G1643">
        <f ca="1">VLOOKUP(E1643,PurchItem!$A$2:$H$508,8,0)</f>
        <v>3971.755790241577</v>
      </c>
      <c r="H1643">
        <v>0.04</v>
      </c>
      <c r="I1643" t="s">
        <v>244</v>
      </c>
      <c r="M1643">
        <f t="shared" si="51"/>
        <v>10029727848</v>
      </c>
      <c r="N1643">
        <f ca="1">IF(M1643&lt;&gt;M1642,INDEX(CustInfo!$A$2:$A$1001,RANDBETWEEN(1,1000)),N1642)</f>
        <v>11601</v>
      </c>
      <c r="O1643" t="s">
        <v>1003</v>
      </c>
      <c r="P1643">
        <v>52937777</v>
      </c>
    </row>
    <row r="1644" spans="1:16" x14ac:dyDescent="0.35">
      <c r="A1644">
        <v>93827212619</v>
      </c>
      <c r="C1644" s="2" t="s">
        <v>883</v>
      </c>
      <c r="D1644">
        <v>1</v>
      </c>
      <c r="E1644">
        <v>76891213627</v>
      </c>
      <c r="F1644">
        <f t="shared" ca="1" si="50"/>
        <v>97</v>
      </c>
      <c r="G1644">
        <f ca="1">VLOOKUP(E1644,PurchItem!$A$2:$H$508,8,0)</f>
        <v>7533.0368434425118</v>
      </c>
      <c r="H1644">
        <v>0.05</v>
      </c>
      <c r="I1644" t="s">
        <v>244</v>
      </c>
      <c r="M1644">
        <f t="shared" si="51"/>
        <v>10029727849</v>
      </c>
      <c r="N1644">
        <f ca="1">IF(M1644&lt;&gt;M1643,INDEX(CustInfo!$A$2:$A$1001,RANDBETWEEN(1,1000)),N1643)</f>
        <v>11661</v>
      </c>
      <c r="O1644" t="s">
        <v>1001</v>
      </c>
      <c r="P1644">
        <v>52937778</v>
      </c>
    </row>
    <row r="1645" spans="1:16" x14ac:dyDescent="0.35">
      <c r="A1645">
        <v>93827212619</v>
      </c>
      <c r="C1645" s="2" t="s">
        <v>883</v>
      </c>
      <c r="D1645">
        <v>2</v>
      </c>
      <c r="E1645">
        <v>76891213528</v>
      </c>
      <c r="F1645">
        <f t="shared" ca="1" si="50"/>
        <v>56</v>
      </c>
      <c r="G1645">
        <f ca="1">VLOOKUP(E1645,PurchItem!$A$2:$H$508,8,0)</f>
        <v>8635.9221287063683</v>
      </c>
      <c r="H1645">
        <v>0.04</v>
      </c>
      <c r="I1645" t="s">
        <v>244</v>
      </c>
      <c r="M1645">
        <f t="shared" si="51"/>
        <v>10029727849</v>
      </c>
      <c r="N1645">
        <f ca="1">IF(M1645&lt;&gt;M1644,INDEX(CustInfo!$A$2:$A$1001,RANDBETWEEN(1,1000)),N1644)</f>
        <v>11661</v>
      </c>
      <c r="O1645" t="s">
        <v>1001</v>
      </c>
      <c r="P1645">
        <v>52937779</v>
      </c>
    </row>
    <row r="1646" spans="1:16" x14ac:dyDescent="0.35">
      <c r="A1646">
        <v>93827212619</v>
      </c>
      <c r="C1646" s="2" t="s">
        <v>883</v>
      </c>
      <c r="D1646">
        <v>3</v>
      </c>
      <c r="E1646">
        <v>76891213268</v>
      </c>
      <c r="F1646">
        <f t="shared" ca="1" si="50"/>
        <v>48</v>
      </c>
      <c r="G1646">
        <f ca="1">VLOOKUP(E1646,PurchItem!$A$2:$H$508,8,0)</f>
        <v>3438.1492682800576</v>
      </c>
      <c r="H1646">
        <v>0.04</v>
      </c>
      <c r="I1646" t="s">
        <v>244</v>
      </c>
      <c r="M1646">
        <f t="shared" si="51"/>
        <v>10029727849</v>
      </c>
      <c r="N1646">
        <f ca="1">IF(M1646&lt;&gt;M1645,INDEX(CustInfo!$A$2:$A$1001,RANDBETWEEN(1,1000)),N1645)</f>
        <v>11661</v>
      </c>
      <c r="O1646" t="s">
        <v>1001</v>
      </c>
      <c r="P1646">
        <v>52937780</v>
      </c>
    </row>
    <row r="1647" spans="1:16" x14ac:dyDescent="0.35">
      <c r="A1647">
        <v>93827212620</v>
      </c>
      <c r="C1647" s="2" t="s">
        <v>883</v>
      </c>
      <c r="D1647">
        <v>1</v>
      </c>
      <c r="E1647">
        <v>76891213461</v>
      </c>
      <c r="F1647">
        <f t="shared" ca="1" si="50"/>
        <v>41</v>
      </c>
      <c r="G1647">
        <f ca="1">VLOOKUP(E1647,PurchItem!$A$2:$H$508,8,0)</f>
        <v>9741.5601221964425</v>
      </c>
      <c r="H1647">
        <v>0.04</v>
      </c>
      <c r="I1647" t="s">
        <v>244</v>
      </c>
      <c r="M1647">
        <f t="shared" si="51"/>
        <v>10029727850</v>
      </c>
      <c r="N1647">
        <f ca="1">IF(M1647&lt;&gt;M1646,INDEX(CustInfo!$A$2:$A$1001,RANDBETWEEN(1,1000)),N1646)</f>
        <v>11959</v>
      </c>
      <c r="O1647" t="s">
        <v>1003</v>
      </c>
      <c r="P1647">
        <v>52937781</v>
      </c>
    </row>
    <row r="1648" spans="1:16" x14ac:dyDescent="0.35">
      <c r="A1648">
        <v>93827212620</v>
      </c>
      <c r="C1648" s="2" t="s">
        <v>883</v>
      </c>
      <c r="D1648">
        <v>2</v>
      </c>
      <c r="E1648">
        <v>76891213148</v>
      </c>
      <c r="F1648">
        <f t="shared" ca="1" si="50"/>
        <v>7</v>
      </c>
      <c r="G1648">
        <f ca="1">VLOOKUP(E1648,PurchItem!$A$2:$H$508,8,0)</f>
        <v>1059.7105318061322</v>
      </c>
      <c r="H1648">
        <v>0.04</v>
      </c>
      <c r="I1648" t="s">
        <v>244</v>
      </c>
      <c r="M1648">
        <f t="shared" si="51"/>
        <v>10029727850</v>
      </c>
      <c r="N1648">
        <f ca="1">IF(M1648&lt;&gt;M1647,INDEX(CustInfo!$A$2:$A$1001,RANDBETWEEN(1,1000)),N1647)</f>
        <v>11959</v>
      </c>
      <c r="O1648" t="s">
        <v>1003</v>
      </c>
      <c r="P1648">
        <v>52937782</v>
      </c>
    </row>
    <row r="1649" spans="1:16" x14ac:dyDescent="0.35">
      <c r="A1649">
        <v>93827212620</v>
      </c>
      <c r="C1649" s="2" t="s">
        <v>883</v>
      </c>
      <c r="D1649">
        <v>3</v>
      </c>
      <c r="E1649">
        <v>76891213448</v>
      </c>
      <c r="F1649">
        <f t="shared" ca="1" si="50"/>
        <v>78</v>
      </c>
      <c r="G1649">
        <f ca="1">VLOOKUP(E1649,PurchItem!$A$2:$H$508,8,0)</f>
        <v>3709.5224628310179</v>
      </c>
      <c r="H1649">
        <v>0.04</v>
      </c>
      <c r="I1649" t="s">
        <v>244</v>
      </c>
      <c r="M1649">
        <f t="shared" si="51"/>
        <v>10029727850</v>
      </c>
      <c r="N1649">
        <f ca="1">IF(M1649&lt;&gt;M1648,INDEX(CustInfo!$A$2:$A$1001,RANDBETWEEN(1,1000)),N1648)</f>
        <v>11959</v>
      </c>
      <c r="O1649" t="s">
        <v>1003</v>
      </c>
      <c r="P1649">
        <v>52937783</v>
      </c>
    </row>
    <row r="1650" spans="1:16" x14ac:dyDescent="0.35">
      <c r="A1650">
        <v>93827212620</v>
      </c>
      <c r="C1650" s="2" t="s">
        <v>883</v>
      </c>
      <c r="D1650">
        <v>4</v>
      </c>
      <c r="E1650">
        <v>76891213479</v>
      </c>
      <c r="F1650">
        <f t="shared" ca="1" si="50"/>
        <v>4</v>
      </c>
      <c r="G1650">
        <f ca="1">VLOOKUP(E1650,PurchItem!$A$2:$H$508,8,0)</f>
        <v>6220.9089937272938</v>
      </c>
      <c r="H1650">
        <v>0.05</v>
      </c>
      <c r="I1650" t="s">
        <v>244</v>
      </c>
      <c r="M1650">
        <f t="shared" si="51"/>
        <v>10029727850</v>
      </c>
      <c r="N1650">
        <f ca="1">IF(M1650&lt;&gt;M1649,INDEX(CustInfo!$A$2:$A$1001,RANDBETWEEN(1,1000)),N1649)</f>
        <v>11959</v>
      </c>
      <c r="O1650" t="s">
        <v>1003</v>
      </c>
      <c r="P1650">
        <v>52937784</v>
      </c>
    </row>
    <row r="1651" spans="1:16" x14ac:dyDescent="0.35">
      <c r="A1651">
        <v>93827212621</v>
      </c>
      <c r="C1651" s="2" t="s">
        <v>883</v>
      </c>
      <c r="D1651">
        <v>1</v>
      </c>
      <c r="E1651">
        <v>76891213620</v>
      </c>
      <c r="F1651">
        <f t="shared" ca="1" si="50"/>
        <v>95</v>
      </c>
      <c r="G1651">
        <f ca="1">VLOOKUP(E1651,PurchItem!$A$2:$H$508,8,0)</f>
        <v>261.77946432896999</v>
      </c>
      <c r="H1651">
        <v>0.05</v>
      </c>
      <c r="I1651" t="s">
        <v>244</v>
      </c>
      <c r="M1651">
        <f t="shared" si="51"/>
        <v>10029727851</v>
      </c>
      <c r="N1651">
        <f ca="1">IF(M1651&lt;&gt;M1650,INDEX(CustInfo!$A$2:$A$1001,RANDBETWEEN(1,1000)),N1650)</f>
        <v>11549</v>
      </c>
      <c r="O1651" t="s">
        <v>1002</v>
      </c>
      <c r="P1651">
        <v>52937785</v>
      </c>
    </row>
    <row r="1652" spans="1:16" x14ac:dyDescent="0.35">
      <c r="A1652">
        <v>93827212621</v>
      </c>
      <c r="C1652" s="2" t="s">
        <v>883</v>
      </c>
      <c r="D1652">
        <v>2</v>
      </c>
      <c r="E1652">
        <v>76891213421</v>
      </c>
      <c r="F1652">
        <f t="shared" ca="1" si="50"/>
        <v>3</v>
      </c>
      <c r="G1652">
        <f ca="1">VLOOKUP(E1652,PurchItem!$A$2:$H$508,8,0)</f>
        <v>5732.6026623855587</v>
      </c>
      <c r="H1652">
        <v>0.04</v>
      </c>
      <c r="I1652" t="s">
        <v>244</v>
      </c>
      <c r="M1652">
        <f t="shared" si="51"/>
        <v>10029727851</v>
      </c>
      <c r="N1652">
        <f ca="1">IF(M1652&lt;&gt;M1651,INDEX(CustInfo!$A$2:$A$1001,RANDBETWEEN(1,1000)),N1651)</f>
        <v>11549</v>
      </c>
      <c r="O1652" t="s">
        <v>1002</v>
      </c>
      <c r="P1652">
        <v>52937786</v>
      </c>
    </row>
    <row r="1653" spans="1:16" x14ac:dyDescent="0.35">
      <c r="A1653">
        <v>93827212621</v>
      </c>
      <c r="C1653" s="2" t="s">
        <v>883</v>
      </c>
      <c r="D1653">
        <v>3</v>
      </c>
      <c r="E1653">
        <v>76891213214</v>
      </c>
      <c r="F1653">
        <f t="shared" ca="1" si="50"/>
        <v>60</v>
      </c>
      <c r="G1653">
        <f ca="1">VLOOKUP(E1653,PurchItem!$A$2:$H$508,8,0)</f>
        <v>3862.299244354836</v>
      </c>
      <c r="H1653">
        <v>0.05</v>
      </c>
      <c r="I1653" t="s">
        <v>244</v>
      </c>
      <c r="M1653">
        <f t="shared" si="51"/>
        <v>10029727851</v>
      </c>
      <c r="N1653">
        <f ca="1">IF(M1653&lt;&gt;M1652,INDEX(CustInfo!$A$2:$A$1001,RANDBETWEEN(1,1000)),N1652)</f>
        <v>11549</v>
      </c>
      <c r="O1653" t="s">
        <v>1002</v>
      </c>
      <c r="P1653">
        <v>52937787</v>
      </c>
    </row>
    <row r="1654" spans="1:16" x14ac:dyDescent="0.35">
      <c r="A1654">
        <v>93827212621</v>
      </c>
      <c r="C1654" s="2" t="s">
        <v>883</v>
      </c>
      <c r="D1654">
        <v>4</v>
      </c>
      <c r="E1654">
        <v>76891213468</v>
      </c>
      <c r="F1654">
        <f t="shared" ca="1" si="50"/>
        <v>30</v>
      </c>
      <c r="G1654">
        <f ca="1">VLOOKUP(E1654,PurchItem!$A$2:$H$508,8,0)</f>
        <v>8720.5573870862172</v>
      </c>
      <c r="H1654">
        <v>0.04</v>
      </c>
      <c r="I1654" t="s">
        <v>244</v>
      </c>
      <c r="M1654">
        <f t="shared" si="51"/>
        <v>10029727851</v>
      </c>
      <c r="N1654">
        <f ca="1">IF(M1654&lt;&gt;M1653,INDEX(CustInfo!$A$2:$A$1001,RANDBETWEEN(1,1000)),N1653)</f>
        <v>11549</v>
      </c>
      <c r="O1654" t="s">
        <v>1002</v>
      </c>
      <c r="P1654">
        <v>52937788</v>
      </c>
    </row>
    <row r="1655" spans="1:16" x14ac:dyDescent="0.35">
      <c r="A1655">
        <v>93827212622</v>
      </c>
      <c r="C1655" s="2" t="s">
        <v>883</v>
      </c>
      <c r="D1655">
        <v>1</v>
      </c>
      <c r="E1655">
        <v>76891213343</v>
      </c>
      <c r="F1655">
        <f t="shared" ca="1" si="50"/>
        <v>56</v>
      </c>
      <c r="G1655">
        <f ca="1">VLOOKUP(E1655,PurchItem!$A$2:$H$508,8,0)</f>
        <v>425.5712480842156</v>
      </c>
      <c r="H1655">
        <v>0.05</v>
      </c>
      <c r="I1655" t="s">
        <v>244</v>
      </c>
      <c r="M1655">
        <f t="shared" si="51"/>
        <v>10029727852</v>
      </c>
      <c r="N1655">
        <f ca="1">IF(M1655&lt;&gt;M1654,INDEX(CustInfo!$A$2:$A$1001,RANDBETWEEN(1,1000)),N1654)</f>
        <v>11610</v>
      </c>
      <c r="O1655" t="s">
        <v>1002</v>
      </c>
      <c r="P1655">
        <v>52937789</v>
      </c>
    </row>
    <row r="1656" spans="1:16" x14ac:dyDescent="0.35">
      <c r="A1656">
        <v>93827212622</v>
      </c>
      <c r="C1656" s="2" t="s">
        <v>883</v>
      </c>
      <c r="D1656">
        <v>2</v>
      </c>
      <c r="E1656">
        <v>76891213519</v>
      </c>
      <c r="F1656">
        <f t="shared" ca="1" si="50"/>
        <v>55</v>
      </c>
      <c r="G1656">
        <f ca="1">VLOOKUP(E1656,PurchItem!$A$2:$H$508,8,0)</f>
        <v>1938.636158170156</v>
      </c>
      <c r="H1656">
        <v>0.04</v>
      </c>
      <c r="I1656" t="s">
        <v>244</v>
      </c>
      <c r="M1656">
        <f t="shared" si="51"/>
        <v>10029727852</v>
      </c>
      <c r="N1656">
        <f ca="1">IF(M1656&lt;&gt;M1655,INDEX(CustInfo!$A$2:$A$1001,RANDBETWEEN(1,1000)),N1655)</f>
        <v>11610</v>
      </c>
      <c r="O1656" t="s">
        <v>1002</v>
      </c>
      <c r="P1656">
        <v>52937790</v>
      </c>
    </row>
    <row r="1657" spans="1:16" x14ac:dyDescent="0.35">
      <c r="A1657">
        <v>93827212622</v>
      </c>
      <c r="C1657" s="2" t="s">
        <v>883</v>
      </c>
      <c r="D1657">
        <v>3</v>
      </c>
      <c r="E1657">
        <v>76891213469</v>
      </c>
      <c r="F1657">
        <f t="shared" ca="1" si="50"/>
        <v>93</v>
      </c>
      <c r="G1657">
        <f ca="1">VLOOKUP(E1657,PurchItem!$A$2:$H$508,8,0)</f>
        <v>3640.4377524868119</v>
      </c>
      <c r="H1657">
        <v>0.05</v>
      </c>
      <c r="I1657" t="s">
        <v>244</v>
      </c>
      <c r="M1657">
        <f t="shared" si="51"/>
        <v>10029727852</v>
      </c>
      <c r="N1657">
        <f ca="1">IF(M1657&lt;&gt;M1656,INDEX(CustInfo!$A$2:$A$1001,RANDBETWEEN(1,1000)),N1656)</f>
        <v>11610</v>
      </c>
      <c r="O1657" t="s">
        <v>1002</v>
      </c>
      <c r="P1657">
        <v>52937791</v>
      </c>
    </row>
    <row r="1658" spans="1:16" x14ac:dyDescent="0.35">
      <c r="A1658">
        <v>93827212623</v>
      </c>
      <c r="C1658" s="2" t="s">
        <v>883</v>
      </c>
      <c r="D1658">
        <v>1</v>
      </c>
      <c r="E1658">
        <v>76891213175</v>
      </c>
      <c r="F1658">
        <f t="shared" ca="1" si="50"/>
        <v>1</v>
      </c>
      <c r="G1658">
        <f ca="1">VLOOKUP(E1658,PurchItem!$A$2:$H$508,8,0)</f>
        <v>8239.6279667406998</v>
      </c>
      <c r="H1658">
        <v>0.05</v>
      </c>
      <c r="I1658" t="s">
        <v>244</v>
      </c>
      <c r="M1658">
        <f t="shared" si="51"/>
        <v>10029727853</v>
      </c>
      <c r="N1658">
        <f ca="1">IF(M1658&lt;&gt;M1657,INDEX(CustInfo!$A$2:$A$1001,RANDBETWEEN(1,1000)),N1657)</f>
        <v>11944</v>
      </c>
      <c r="O1658" t="s">
        <v>1002</v>
      </c>
      <c r="P1658">
        <v>52937792</v>
      </c>
    </row>
    <row r="1659" spans="1:16" x14ac:dyDescent="0.35">
      <c r="A1659">
        <v>93827212623</v>
      </c>
      <c r="C1659" s="2" t="s">
        <v>883</v>
      </c>
      <c r="D1659">
        <v>2</v>
      </c>
      <c r="E1659">
        <v>76891213621</v>
      </c>
      <c r="F1659">
        <f t="shared" ca="1" si="50"/>
        <v>18</v>
      </c>
      <c r="G1659">
        <f ca="1">VLOOKUP(E1659,PurchItem!$A$2:$H$508,8,0)</f>
        <v>383.23093758483282</v>
      </c>
      <c r="H1659">
        <v>0.04</v>
      </c>
      <c r="I1659" t="s">
        <v>244</v>
      </c>
      <c r="M1659">
        <f t="shared" si="51"/>
        <v>10029727853</v>
      </c>
      <c r="N1659">
        <f ca="1">IF(M1659&lt;&gt;M1658,INDEX(CustInfo!$A$2:$A$1001,RANDBETWEEN(1,1000)),N1658)</f>
        <v>11944</v>
      </c>
      <c r="O1659" t="s">
        <v>1002</v>
      </c>
      <c r="P1659">
        <v>52937793</v>
      </c>
    </row>
    <row r="1660" spans="1:16" x14ac:dyDescent="0.35">
      <c r="A1660">
        <v>93827212623</v>
      </c>
      <c r="C1660" s="2" t="s">
        <v>883</v>
      </c>
      <c r="D1660">
        <v>3</v>
      </c>
      <c r="E1660">
        <v>76891213595</v>
      </c>
      <c r="F1660">
        <f t="shared" ca="1" si="50"/>
        <v>56</v>
      </c>
      <c r="G1660">
        <f ca="1">VLOOKUP(E1660,PurchItem!$A$2:$H$508,8,0)</f>
        <v>2658.4140040926222</v>
      </c>
      <c r="H1660">
        <v>0.04</v>
      </c>
      <c r="I1660" t="s">
        <v>244</v>
      </c>
      <c r="M1660">
        <f t="shared" si="51"/>
        <v>10029727853</v>
      </c>
      <c r="N1660">
        <f ca="1">IF(M1660&lt;&gt;M1659,INDEX(CustInfo!$A$2:$A$1001,RANDBETWEEN(1,1000)),N1659)</f>
        <v>11944</v>
      </c>
      <c r="O1660" t="s">
        <v>1002</v>
      </c>
      <c r="P1660">
        <v>52937794</v>
      </c>
    </row>
    <row r="1661" spans="1:16" x14ac:dyDescent="0.35">
      <c r="A1661">
        <v>93827212623</v>
      </c>
      <c r="C1661" s="2" t="s">
        <v>883</v>
      </c>
      <c r="D1661">
        <v>4</v>
      </c>
      <c r="E1661">
        <v>76891213173</v>
      </c>
      <c r="F1661">
        <f t="shared" ca="1" si="50"/>
        <v>43</v>
      </c>
      <c r="G1661">
        <f ca="1">VLOOKUP(E1661,PurchItem!$A$2:$H$508,8,0)</f>
        <v>5579.6735499506967</v>
      </c>
      <c r="H1661">
        <v>0.04</v>
      </c>
      <c r="I1661" t="s">
        <v>244</v>
      </c>
      <c r="M1661">
        <f t="shared" si="51"/>
        <v>10029727853</v>
      </c>
      <c r="N1661">
        <f ca="1">IF(M1661&lt;&gt;M1660,INDEX(CustInfo!$A$2:$A$1001,RANDBETWEEN(1,1000)),N1660)</f>
        <v>11944</v>
      </c>
      <c r="O1661" t="s">
        <v>1002</v>
      </c>
      <c r="P1661">
        <v>52937795</v>
      </c>
    </row>
    <row r="1662" spans="1:16" x14ac:dyDescent="0.35">
      <c r="A1662">
        <v>93827212624</v>
      </c>
      <c r="C1662" s="2" t="s">
        <v>883</v>
      </c>
      <c r="D1662">
        <v>1</v>
      </c>
      <c r="E1662">
        <v>76891213552</v>
      </c>
      <c r="F1662">
        <f t="shared" ca="1" si="50"/>
        <v>9</v>
      </c>
      <c r="G1662">
        <f ca="1">VLOOKUP(E1662,PurchItem!$A$2:$H$508,8,0)</f>
        <v>1307.476350595766</v>
      </c>
      <c r="H1662">
        <v>0.04</v>
      </c>
      <c r="I1662" t="s">
        <v>244</v>
      </c>
      <c r="M1662">
        <f t="shared" si="51"/>
        <v>10029727854</v>
      </c>
      <c r="N1662">
        <f ca="1">IF(M1662&lt;&gt;M1661,INDEX(CustInfo!$A$2:$A$1001,RANDBETWEEN(1,1000)),N1661)</f>
        <v>11804</v>
      </c>
      <c r="O1662" t="s">
        <v>1003</v>
      </c>
      <c r="P1662">
        <v>52937796</v>
      </c>
    </row>
    <row r="1663" spans="1:16" x14ac:dyDescent="0.35">
      <c r="A1663">
        <v>93827212624</v>
      </c>
      <c r="C1663" s="2" t="s">
        <v>883</v>
      </c>
      <c r="D1663">
        <v>2</v>
      </c>
      <c r="E1663">
        <v>76891213275</v>
      </c>
      <c r="F1663">
        <f t="shared" ca="1" si="50"/>
        <v>55</v>
      </c>
      <c r="G1663">
        <f ca="1">VLOOKUP(E1663,PurchItem!$A$2:$H$508,8,0)</f>
        <v>2363.1921713388774</v>
      </c>
      <c r="H1663">
        <v>0.05</v>
      </c>
      <c r="I1663" t="s">
        <v>244</v>
      </c>
      <c r="M1663">
        <f t="shared" si="51"/>
        <v>10029727854</v>
      </c>
      <c r="N1663">
        <f ca="1">IF(M1663&lt;&gt;M1662,INDEX(CustInfo!$A$2:$A$1001,RANDBETWEEN(1,1000)),N1662)</f>
        <v>11804</v>
      </c>
      <c r="O1663" t="s">
        <v>1003</v>
      </c>
      <c r="P1663">
        <v>52937797</v>
      </c>
    </row>
    <row r="1664" spans="1:16" x14ac:dyDescent="0.35">
      <c r="A1664">
        <v>93827212624</v>
      </c>
      <c r="C1664" s="2" t="s">
        <v>883</v>
      </c>
      <c r="D1664">
        <v>3</v>
      </c>
      <c r="E1664">
        <v>76891213273</v>
      </c>
      <c r="F1664">
        <f t="shared" ca="1" si="50"/>
        <v>49</v>
      </c>
      <c r="G1664">
        <f ca="1">VLOOKUP(E1664,PurchItem!$A$2:$H$508,8,0)</f>
        <v>3906.5910334641267</v>
      </c>
      <c r="H1664">
        <v>0.05</v>
      </c>
      <c r="I1664" t="s">
        <v>244</v>
      </c>
      <c r="M1664">
        <f t="shared" si="51"/>
        <v>10029727854</v>
      </c>
      <c r="N1664">
        <f ca="1">IF(M1664&lt;&gt;M1663,INDEX(CustInfo!$A$2:$A$1001,RANDBETWEEN(1,1000)),N1663)</f>
        <v>11804</v>
      </c>
      <c r="O1664" t="s">
        <v>1003</v>
      </c>
      <c r="P1664">
        <v>52937798</v>
      </c>
    </row>
    <row r="1665" spans="1:16" x14ac:dyDescent="0.35">
      <c r="A1665">
        <v>93827212624</v>
      </c>
      <c r="C1665" s="2" t="s">
        <v>883</v>
      </c>
      <c r="D1665">
        <v>4</v>
      </c>
      <c r="E1665">
        <v>76891213338</v>
      </c>
      <c r="F1665">
        <f t="shared" ca="1" si="50"/>
        <v>95</v>
      </c>
      <c r="G1665">
        <f ca="1">VLOOKUP(E1665,PurchItem!$A$2:$H$508,8,0)</f>
        <v>4118.7626507182194</v>
      </c>
      <c r="H1665">
        <v>0.04</v>
      </c>
      <c r="I1665" t="s">
        <v>244</v>
      </c>
      <c r="M1665">
        <f t="shared" si="51"/>
        <v>10029727854</v>
      </c>
      <c r="N1665">
        <f ca="1">IF(M1665&lt;&gt;M1664,INDEX(CustInfo!$A$2:$A$1001,RANDBETWEEN(1,1000)),N1664)</f>
        <v>11804</v>
      </c>
      <c r="O1665" t="s">
        <v>1003</v>
      </c>
      <c r="P1665">
        <v>52937799</v>
      </c>
    </row>
    <row r="1666" spans="1:16" x14ac:dyDescent="0.35">
      <c r="A1666">
        <v>93827212625</v>
      </c>
      <c r="C1666" s="2" t="s">
        <v>883</v>
      </c>
      <c r="D1666">
        <v>1</v>
      </c>
      <c r="E1666">
        <v>76891213353</v>
      </c>
      <c r="F1666">
        <f t="shared" ca="1" si="50"/>
        <v>90</v>
      </c>
      <c r="G1666">
        <f ca="1">VLOOKUP(E1666,PurchItem!$A$2:$H$508,8,0)</f>
        <v>2138.4293662084629</v>
      </c>
      <c r="H1666">
        <v>0.06</v>
      </c>
      <c r="I1666" t="s">
        <v>244</v>
      </c>
      <c r="M1666">
        <f t="shared" si="51"/>
        <v>10029727855</v>
      </c>
      <c r="N1666">
        <f ca="1">IF(M1666&lt;&gt;M1665,INDEX(CustInfo!$A$2:$A$1001,RANDBETWEEN(1,1000)),N1665)</f>
        <v>11844</v>
      </c>
      <c r="O1666" t="s">
        <v>1002</v>
      </c>
      <c r="P1666">
        <v>52937800</v>
      </c>
    </row>
    <row r="1667" spans="1:16" x14ac:dyDescent="0.35">
      <c r="A1667">
        <v>93827212626</v>
      </c>
      <c r="C1667" s="2" t="s">
        <v>883</v>
      </c>
      <c r="D1667">
        <v>1</v>
      </c>
      <c r="E1667">
        <v>76891213167</v>
      </c>
      <c r="F1667">
        <f t="shared" ref="F1667:F1730" ca="1" si="52">RANDBETWEEN(1,100)</f>
        <v>56</v>
      </c>
      <c r="G1667">
        <f ca="1">VLOOKUP(E1667,PurchItem!$A$2:$H$508,8,0)</f>
        <v>6078.0406975240512</v>
      </c>
      <c r="H1667">
        <v>0.04</v>
      </c>
      <c r="I1667" t="s">
        <v>244</v>
      </c>
      <c r="M1667">
        <f t="shared" si="51"/>
        <v>10029727856</v>
      </c>
      <c r="N1667">
        <f ca="1">IF(M1667&lt;&gt;M1666,INDEX(CustInfo!$A$2:$A$1001,RANDBETWEEN(1,1000)),N1666)</f>
        <v>11974</v>
      </c>
      <c r="O1667" t="s">
        <v>1003</v>
      </c>
      <c r="P1667">
        <v>52937801</v>
      </c>
    </row>
    <row r="1668" spans="1:16" x14ac:dyDescent="0.35">
      <c r="A1668">
        <v>93827212626</v>
      </c>
      <c r="C1668" s="2" t="s">
        <v>883</v>
      </c>
      <c r="D1668">
        <v>2</v>
      </c>
      <c r="E1668">
        <v>76891213368</v>
      </c>
      <c r="F1668">
        <f t="shared" ca="1" si="52"/>
        <v>35</v>
      </c>
      <c r="G1668">
        <f ca="1">VLOOKUP(E1668,PurchItem!$A$2:$H$508,8,0)</f>
        <v>3312.7979678593924</v>
      </c>
      <c r="H1668">
        <v>0.04</v>
      </c>
      <c r="I1668" t="s">
        <v>244</v>
      </c>
      <c r="M1668">
        <f t="shared" si="51"/>
        <v>10029727856</v>
      </c>
      <c r="N1668">
        <f ca="1">IF(M1668&lt;&gt;M1667,INDEX(CustInfo!$A$2:$A$1001,RANDBETWEEN(1,1000)),N1667)</f>
        <v>11974</v>
      </c>
      <c r="O1668" t="s">
        <v>1003</v>
      </c>
      <c r="P1668">
        <v>52937802</v>
      </c>
    </row>
    <row r="1669" spans="1:16" x14ac:dyDescent="0.35">
      <c r="A1669">
        <v>93827212626</v>
      </c>
      <c r="C1669" s="2" t="s">
        <v>883</v>
      </c>
      <c r="D1669">
        <v>3</v>
      </c>
      <c r="E1669">
        <v>76891213542</v>
      </c>
      <c r="F1669">
        <f t="shared" ca="1" si="52"/>
        <v>83</v>
      </c>
      <c r="G1669">
        <f ca="1">VLOOKUP(E1669,PurchItem!$A$2:$H$508,8,0)</f>
        <v>6787.2982998588732</v>
      </c>
      <c r="H1669">
        <v>0.05</v>
      </c>
      <c r="I1669" t="s">
        <v>244</v>
      </c>
      <c r="M1669">
        <f t="shared" ref="M1669:M1732" si="53">IF(A1669&lt;&gt;A1668,M1668+1,M1668)</f>
        <v>10029727856</v>
      </c>
      <c r="N1669">
        <f ca="1">IF(M1669&lt;&gt;M1668,INDEX(CustInfo!$A$2:$A$1001,RANDBETWEEN(1,1000)),N1668)</f>
        <v>11974</v>
      </c>
      <c r="O1669" t="s">
        <v>1003</v>
      </c>
      <c r="P1669">
        <v>52937803</v>
      </c>
    </row>
    <row r="1670" spans="1:16" x14ac:dyDescent="0.35">
      <c r="A1670">
        <v>93827212627</v>
      </c>
      <c r="C1670" s="2" t="s">
        <v>883</v>
      </c>
      <c r="D1670">
        <v>1</v>
      </c>
      <c r="E1670">
        <v>76891213430</v>
      </c>
      <c r="F1670">
        <f t="shared" ca="1" si="52"/>
        <v>1</v>
      </c>
      <c r="G1670">
        <f ca="1">VLOOKUP(E1670,PurchItem!$A$2:$H$508,8,0)</f>
        <v>6813.6085833165471</v>
      </c>
      <c r="H1670">
        <v>0.06</v>
      </c>
      <c r="I1670" t="s">
        <v>244</v>
      </c>
      <c r="M1670">
        <f t="shared" si="53"/>
        <v>10029727857</v>
      </c>
      <c r="N1670">
        <f ca="1">IF(M1670&lt;&gt;M1669,INDEX(CustInfo!$A$2:$A$1001,RANDBETWEEN(1,1000)),N1669)</f>
        <v>11809</v>
      </c>
      <c r="O1670" t="s">
        <v>1001</v>
      </c>
      <c r="P1670">
        <v>52937804</v>
      </c>
    </row>
    <row r="1671" spans="1:16" x14ac:dyDescent="0.35">
      <c r="A1671">
        <v>93827212627</v>
      </c>
      <c r="C1671" s="2" t="s">
        <v>883</v>
      </c>
      <c r="D1671">
        <v>2</v>
      </c>
      <c r="E1671">
        <v>76891213167</v>
      </c>
      <c r="F1671">
        <f t="shared" ca="1" si="52"/>
        <v>41</v>
      </c>
      <c r="G1671">
        <f ca="1">VLOOKUP(E1671,PurchItem!$A$2:$H$508,8,0)</f>
        <v>6078.0406975240512</v>
      </c>
      <c r="H1671">
        <v>0.06</v>
      </c>
      <c r="I1671" t="s">
        <v>244</v>
      </c>
      <c r="M1671">
        <f t="shared" si="53"/>
        <v>10029727857</v>
      </c>
      <c r="N1671">
        <f ca="1">IF(M1671&lt;&gt;M1670,INDEX(CustInfo!$A$2:$A$1001,RANDBETWEEN(1,1000)),N1670)</f>
        <v>11809</v>
      </c>
      <c r="O1671" t="s">
        <v>1001</v>
      </c>
      <c r="P1671">
        <v>52937805</v>
      </c>
    </row>
    <row r="1672" spans="1:16" x14ac:dyDescent="0.35">
      <c r="A1672">
        <v>93827212627</v>
      </c>
      <c r="C1672" s="2" t="s">
        <v>883</v>
      </c>
      <c r="D1672">
        <v>3</v>
      </c>
      <c r="E1672">
        <v>76891213203</v>
      </c>
      <c r="F1672">
        <f t="shared" ca="1" si="52"/>
        <v>26</v>
      </c>
      <c r="G1672">
        <f ca="1">VLOOKUP(E1672,PurchItem!$A$2:$H$508,8,0)</f>
        <v>9569.6271266199019</v>
      </c>
      <c r="H1672">
        <v>0.06</v>
      </c>
      <c r="I1672" t="s">
        <v>244</v>
      </c>
      <c r="M1672">
        <f t="shared" si="53"/>
        <v>10029727857</v>
      </c>
      <c r="N1672">
        <f ca="1">IF(M1672&lt;&gt;M1671,INDEX(CustInfo!$A$2:$A$1001,RANDBETWEEN(1,1000)),N1671)</f>
        <v>11809</v>
      </c>
      <c r="O1672" t="s">
        <v>1001</v>
      </c>
      <c r="P1672">
        <v>52937806</v>
      </c>
    </row>
    <row r="1673" spans="1:16" x14ac:dyDescent="0.35">
      <c r="A1673">
        <v>93827212628</v>
      </c>
      <c r="C1673" s="2" t="s">
        <v>883</v>
      </c>
      <c r="D1673">
        <v>1</v>
      </c>
      <c r="E1673">
        <v>76891213172</v>
      </c>
      <c r="F1673">
        <f t="shared" ca="1" si="52"/>
        <v>53</v>
      </c>
      <c r="G1673">
        <f ca="1">VLOOKUP(E1673,PurchItem!$A$2:$H$508,8,0)</f>
        <v>942.3837622618131</v>
      </c>
      <c r="H1673">
        <v>0.04</v>
      </c>
      <c r="I1673" t="s">
        <v>244</v>
      </c>
      <c r="M1673">
        <f t="shared" si="53"/>
        <v>10029727858</v>
      </c>
      <c r="N1673">
        <f ca="1">IF(M1673&lt;&gt;M1672,INDEX(CustInfo!$A$2:$A$1001,RANDBETWEEN(1,1000)),N1672)</f>
        <v>11306</v>
      </c>
      <c r="O1673" t="s">
        <v>1002</v>
      </c>
      <c r="P1673">
        <v>52937807</v>
      </c>
    </row>
    <row r="1674" spans="1:16" x14ac:dyDescent="0.35">
      <c r="A1674">
        <v>93827212628</v>
      </c>
      <c r="C1674" s="2" t="s">
        <v>883</v>
      </c>
      <c r="D1674">
        <v>2</v>
      </c>
      <c r="E1674">
        <v>76891213535</v>
      </c>
      <c r="F1674">
        <f t="shared" ca="1" si="52"/>
        <v>57</v>
      </c>
      <c r="G1674">
        <f ca="1">VLOOKUP(E1674,PurchItem!$A$2:$H$508,8,0)</f>
        <v>468.81906553927877</v>
      </c>
      <c r="H1674">
        <v>0.05</v>
      </c>
      <c r="I1674" t="s">
        <v>244</v>
      </c>
      <c r="M1674">
        <f t="shared" si="53"/>
        <v>10029727858</v>
      </c>
      <c r="N1674">
        <f ca="1">IF(M1674&lt;&gt;M1673,INDEX(CustInfo!$A$2:$A$1001,RANDBETWEEN(1,1000)),N1673)</f>
        <v>11306</v>
      </c>
      <c r="O1674" t="s">
        <v>1002</v>
      </c>
      <c r="P1674">
        <v>52937808</v>
      </c>
    </row>
    <row r="1675" spans="1:16" x14ac:dyDescent="0.35">
      <c r="A1675">
        <v>93827212629</v>
      </c>
      <c r="C1675" s="2" t="s">
        <v>883</v>
      </c>
      <c r="D1675">
        <v>1</v>
      </c>
      <c r="E1675">
        <v>76891213377</v>
      </c>
      <c r="F1675">
        <f t="shared" ca="1" si="52"/>
        <v>18</v>
      </c>
      <c r="G1675">
        <f ca="1">VLOOKUP(E1675,PurchItem!$A$2:$H$508,8,0)</f>
        <v>747.79686367362922</v>
      </c>
      <c r="H1675">
        <v>0.06</v>
      </c>
      <c r="I1675" t="s">
        <v>244</v>
      </c>
      <c r="M1675">
        <f t="shared" si="53"/>
        <v>10029727859</v>
      </c>
      <c r="N1675">
        <f ca="1">IF(M1675&lt;&gt;M1674,INDEX(CustInfo!$A$2:$A$1001,RANDBETWEEN(1,1000)),N1674)</f>
        <v>11059</v>
      </c>
      <c r="O1675" t="s">
        <v>1001</v>
      </c>
      <c r="P1675">
        <v>52937809</v>
      </c>
    </row>
    <row r="1676" spans="1:16" x14ac:dyDescent="0.35">
      <c r="A1676">
        <v>93827212629</v>
      </c>
      <c r="C1676" s="2" t="s">
        <v>883</v>
      </c>
      <c r="D1676">
        <v>2</v>
      </c>
      <c r="E1676">
        <v>76891213373</v>
      </c>
      <c r="F1676">
        <f t="shared" ca="1" si="52"/>
        <v>74</v>
      </c>
      <c r="G1676">
        <f ca="1">VLOOKUP(E1676,PurchItem!$A$2:$H$508,8,0)</f>
        <v>9009.6691870189188</v>
      </c>
      <c r="H1676">
        <v>0.05</v>
      </c>
      <c r="I1676" t="s">
        <v>244</v>
      </c>
      <c r="M1676">
        <f t="shared" si="53"/>
        <v>10029727859</v>
      </c>
      <c r="N1676">
        <f ca="1">IF(M1676&lt;&gt;M1675,INDEX(CustInfo!$A$2:$A$1001,RANDBETWEEN(1,1000)),N1675)</f>
        <v>11059</v>
      </c>
      <c r="O1676" t="s">
        <v>1001</v>
      </c>
      <c r="P1676">
        <v>52937810</v>
      </c>
    </row>
    <row r="1677" spans="1:16" x14ac:dyDescent="0.35">
      <c r="A1677">
        <v>93827212629</v>
      </c>
      <c r="C1677" s="2" t="s">
        <v>883</v>
      </c>
      <c r="D1677">
        <v>3</v>
      </c>
      <c r="E1677">
        <v>76891213609</v>
      </c>
      <c r="F1677">
        <f t="shared" ca="1" si="52"/>
        <v>89</v>
      </c>
      <c r="G1677">
        <f ca="1">VLOOKUP(E1677,PurchItem!$A$2:$H$508,8,0)</f>
        <v>9297.028903944276</v>
      </c>
      <c r="H1677">
        <v>0.05</v>
      </c>
      <c r="I1677" t="s">
        <v>244</v>
      </c>
      <c r="M1677">
        <f t="shared" si="53"/>
        <v>10029727859</v>
      </c>
      <c r="N1677">
        <f ca="1">IF(M1677&lt;&gt;M1676,INDEX(CustInfo!$A$2:$A$1001,RANDBETWEEN(1,1000)),N1676)</f>
        <v>11059</v>
      </c>
      <c r="O1677" t="s">
        <v>1001</v>
      </c>
      <c r="P1677">
        <v>52937811</v>
      </c>
    </row>
    <row r="1678" spans="1:16" x14ac:dyDescent="0.35">
      <c r="A1678">
        <v>93827212629</v>
      </c>
      <c r="C1678" s="2" t="s">
        <v>883</v>
      </c>
      <c r="D1678">
        <v>4</v>
      </c>
      <c r="E1678">
        <v>76891213534</v>
      </c>
      <c r="F1678">
        <f t="shared" ca="1" si="52"/>
        <v>13</v>
      </c>
      <c r="G1678">
        <f ca="1">VLOOKUP(E1678,PurchItem!$A$2:$H$508,8,0)</f>
        <v>5879.3921130267236</v>
      </c>
      <c r="H1678">
        <v>0.06</v>
      </c>
      <c r="I1678" t="s">
        <v>244</v>
      </c>
      <c r="M1678">
        <f t="shared" si="53"/>
        <v>10029727859</v>
      </c>
      <c r="N1678">
        <f ca="1">IF(M1678&lt;&gt;M1677,INDEX(CustInfo!$A$2:$A$1001,RANDBETWEEN(1,1000)),N1677)</f>
        <v>11059</v>
      </c>
      <c r="O1678" t="s">
        <v>1001</v>
      </c>
      <c r="P1678">
        <v>52937812</v>
      </c>
    </row>
    <row r="1679" spans="1:16" x14ac:dyDescent="0.35">
      <c r="A1679">
        <v>93827212630</v>
      </c>
      <c r="C1679" s="2" t="s">
        <v>883</v>
      </c>
      <c r="D1679">
        <v>1</v>
      </c>
      <c r="E1679">
        <v>76891213375</v>
      </c>
      <c r="F1679">
        <f t="shared" ca="1" si="52"/>
        <v>14</v>
      </c>
      <c r="G1679">
        <f ca="1">VLOOKUP(E1679,PurchItem!$A$2:$H$508,8,0)</f>
        <v>7755.8413437200061</v>
      </c>
      <c r="H1679">
        <v>0.05</v>
      </c>
      <c r="I1679" t="s">
        <v>244</v>
      </c>
      <c r="M1679">
        <f t="shared" si="53"/>
        <v>10029727860</v>
      </c>
      <c r="N1679">
        <f ca="1">IF(M1679&lt;&gt;M1678,INDEX(CustInfo!$A$2:$A$1001,RANDBETWEEN(1,1000)),N1678)</f>
        <v>11901</v>
      </c>
      <c r="O1679" t="s">
        <v>1003</v>
      </c>
      <c r="P1679">
        <v>52937813</v>
      </c>
    </row>
    <row r="1680" spans="1:16" x14ac:dyDescent="0.35">
      <c r="A1680">
        <v>93827212630</v>
      </c>
      <c r="C1680" s="2" t="s">
        <v>883</v>
      </c>
      <c r="D1680">
        <v>2</v>
      </c>
      <c r="E1680">
        <v>76891213538</v>
      </c>
      <c r="F1680">
        <f t="shared" ca="1" si="52"/>
        <v>67</v>
      </c>
      <c r="G1680">
        <f ca="1">VLOOKUP(E1680,PurchItem!$A$2:$H$508,8,0)</f>
        <v>6616.0040221118334</v>
      </c>
      <c r="H1680">
        <v>0.05</v>
      </c>
      <c r="I1680" t="s">
        <v>244</v>
      </c>
      <c r="M1680">
        <f t="shared" si="53"/>
        <v>10029727860</v>
      </c>
      <c r="N1680">
        <f ca="1">IF(M1680&lt;&gt;M1679,INDEX(CustInfo!$A$2:$A$1001,RANDBETWEEN(1,1000)),N1679)</f>
        <v>11901</v>
      </c>
      <c r="O1680" t="s">
        <v>1003</v>
      </c>
      <c r="P1680">
        <v>52937814</v>
      </c>
    </row>
    <row r="1681" spans="1:16" x14ac:dyDescent="0.35">
      <c r="A1681">
        <v>93827212630</v>
      </c>
      <c r="C1681" s="2" t="s">
        <v>883</v>
      </c>
      <c r="D1681">
        <v>3</v>
      </c>
      <c r="E1681">
        <v>76891213190</v>
      </c>
      <c r="F1681">
        <f t="shared" ca="1" si="52"/>
        <v>93</v>
      </c>
      <c r="G1681">
        <f ca="1">VLOOKUP(E1681,PurchItem!$A$2:$H$508,8,0)</f>
        <v>2487.2197753691553</v>
      </c>
      <c r="H1681">
        <v>0.06</v>
      </c>
      <c r="I1681" t="s">
        <v>244</v>
      </c>
      <c r="M1681">
        <f t="shared" si="53"/>
        <v>10029727860</v>
      </c>
      <c r="N1681">
        <f ca="1">IF(M1681&lt;&gt;M1680,INDEX(CustInfo!$A$2:$A$1001,RANDBETWEEN(1,1000)),N1680)</f>
        <v>11901</v>
      </c>
      <c r="O1681" t="s">
        <v>1003</v>
      </c>
      <c r="P1681">
        <v>52937815</v>
      </c>
    </row>
    <row r="1682" spans="1:16" x14ac:dyDescent="0.35">
      <c r="A1682">
        <v>93827212631</v>
      </c>
      <c r="C1682" s="2" t="s">
        <v>883</v>
      </c>
      <c r="D1682">
        <v>1</v>
      </c>
      <c r="E1682">
        <v>76891213223</v>
      </c>
      <c r="F1682">
        <f t="shared" ca="1" si="52"/>
        <v>64</v>
      </c>
      <c r="G1682">
        <f ca="1">VLOOKUP(E1682,PurchItem!$A$2:$H$508,8,0)</f>
        <v>9143.6020748149404</v>
      </c>
      <c r="H1682">
        <v>0.04</v>
      </c>
      <c r="I1682" t="s">
        <v>244</v>
      </c>
      <c r="M1682">
        <f t="shared" si="53"/>
        <v>10029727861</v>
      </c>
      <c r="N1682">
        <f ca="1">IF(M1682&lt;&gt;M1681,INDEX(CustInfo!$A$2:$A$1001,RANDBETWEEN(1,1000)),N1681)</f>
        <v>11320</v>
      </c>
      <c r="O1682" t="s">
        <v>1001</v>
      </c>
      <c r="P1682">
        <v>52937816</v>
      </c>
    </row>
    <row r="1683" spans="1:16" x14ac:dyDescent="0.35">
      <c r="A1683">
        <v>93827212632</v>
      </c>
      <c r="C1683" s="2" t="s">
        <v>883</v>
      </c>
      <c r="D1683">
        <v>1</v>
      </c>
      <c r="E1683">
        <v>76891213240</v>
      </c>
      <c r="F1683">
        <f t="shared" ca="1" si="52"/>
        <v>48</v>
      </c>
      <c r="G1683">
        <f ca="1">VLOOKUP(E1683,PurchItem!$A$2:$H$508,8,0)</f>
        <v>4596.1547691769447</v>
      </c>
      <c r="H1683">
        <v>0.04</v>
      </c>
      <c r="I1683" t="s">
        <v>244</v>
      </c>
      <c r="M1683">
        <f t="shared" si="53"/>
        <v>10029727862</v>
      </c>
      <c r="N1683">
        <f ca="1">IF(M1683&lt;&gt;M1682,INDEX(CustInfo!$A$2:$A$1001,RANDBETWEEN(1,1000)),N1682)</f>
        <v>11082</v>
      </c>
      <c r="O1683" t="s">
        <v>1001</v>
      </c>
      <c r="P1683">
        <v>52937817</v>
      </c>
    </row>
    <row r="1684" spans="1:16" x14ac:dyDescent="0.35">
      <c r="A1684">
        <v>93827212633</v>
      </c>
      <c r="C1684" s="2" t="s">
        <v>883</v>
      </c>
      <c r="D1684">
        <v>1</v>
      </c>
      <c r="E1684">
        <v>76891213370</v>
      </c>
      <c r="F1684">
        <f t="shared" ca="1" si="52"/>
        <v>11</v>
      </c>
      <c r="G1684">
        <f ca="1">VLOOKUP(E1684,PurchItem!$A$2:$H$508,8,0)</f>
        <v>5363.0925561437452</v>
      </c>
      <c r="H1684">
        <v>0.05</v>
      </c>
      <c r="I1684" t="s">
        <v>244</v>
      </c>
      <c r="M1684">
        <f t="shared" si="53"/>
        <v>10029727863</v>
      </c>
      <c r="N1684">
        <f ca="1">IF(M1684&lt;&gt;M1683,INDEX(CustInfo!$A$2:$A$1001,RANDBETWEEN(1,1000)),N1683)</f>
        <v>11601</v>
      </c>
      <c r="O1684" t="s">
        <v>1001</v>
      </c>
      <c r="P1684">
        <v>52937818</v>
      </c>
    </row>
    <row r="1685" spans="1:16" x14ac:dyDescent="0.35">
      <c r="A1685">
        <v>93827212633</v>
      </c>
      <c r="C1685" s="2" t="s">
        <v>883</v>
      </c>
      <c r="D1685">
        <v>2</v>
      </c>
      <c r="E1685">
        <v>76891213571</v>
      </c>
      <c r="F1685">
        <f t="shared" ca="1" si="52"/>
        <v>21</v>
      </c>
      <c r="G1685">
        <f ca="1">VLOOKUP(E1685,PurchItem!$A$2:$H$508,8,0)</f>
        <v>3575.5287130457696</v>
      </c>
      <c r="H1685">
        <v>0.06</v>
      </c>
      <c r="I1685" t="s">
        <v>244</v>
      </c>
      <c r="M1685">
        <f t="shared" si="53"/>
        <v>10029727863</v>
      </c>
      <c r="N1685">
        <f ca="1">IF(M1685&lt;&gt;M1684,INDEX(CustInfo!$A$2:$A$1001,RANDBETWEEN(1,1000)),N1684)</f>
        <v>11601</v>
      </c>
      <c r="O1685" t="s">
        <v>1001</v>
      </c>
      <c r="P1685">
        <v>52937819</v>
      </c>
    </row>
    <row r="1686" spans="1:16" x14ac:dyDescent="0.35">
      <c r="A1686">
        <v>93827212633</v>
      </c>
      <c r="C1686" s="2" t="s">
        <v>883</v>
      </c>
      <c r="D1686">
        <v>3</v>
      </c>
      <c r="E1686">
        <v>76891213455</v>
      </c>
      <c r="F1686">
        <f t="shared" ca="1" si="52"/>
        <v>93</v>
      </c>
      <c r="G1686">
        <f ca="1">VLOOKUP(E1686,PurchItem!$A$2:$H$508,8,0)</f>
        <v>783.48955625183578</v>
      </c>
      <c r="H1686">
        <v>0.06</v>
      </c>
      <c r="I1686" t="s">
        <v>244</v>
      </c>
      <c r="M1686">
        <f t="shared" si="53"/>
        <v>10029727863</v>
      </c>
      <c r="N1686">
        <f ca="1">IF(M1686&lt;&gt;M1685,INDEX(CustInfo!$A$2:$A$1001,RANDBETWEEN(1,1000)),N1685)</f>
        <v>11601</v>
      </c>
      <c r="O1686" t="s">
        <v>1001</v>
      </c>
      <c r="P1686">
        <v>52937820</v>
      </c>
    </row>
    <row r="1687" spans="1:16" x14ac:dyDescent="0.35">
      <c r="A1687">
        <v>93827212634</v>
      </c>
      <c r="C1687" s="2" t="s">
        <v>883</v>
      </c>
      <c r="D1687">
        <v>1</v>
      </c>
      <c r="E1687">
        <v>76891213618</v>
      </c>
      <c r="F1687">
        <f t="shared" ca="1" si="52"/>
        <v>20</v>
      </c>
      <c r="G1687">
        <f ca="1">VLOOKUP(E1687,PurchItem!$A$2:$H$508,8,0)</f>
        <v>3216.4328612514669</v>
      </c>
      <c r="H1687">
        <v>0.04</v>
      </c>
      <c r="I1687" t="s">
        <v>244</v>
      </c>
      <c r="M1687">
        <f t="shared" si="53"/>
        <v>10029727864</v>
      </c>
      <c r="N1687">
        <f ca="1">IF(M1687&lt;&gt;M1686,INDEX(CustInfo!$A$2:$A$1001,RANDBETWEEN(1,1000)),N1686)</f>
        <v>11358</v>
      </c>
      <c r="O1687" t="s">
        <v>1002</v>
      </c>
      <c r="P1687">
        <v>52937821</v>
      </c>
    </row>
    <row r="1688" spans="1:16" x14ac:dyDescent="0.35">
      <c r="A1688">
        <v>93827212634</v>
      </c>
      <c r="C1688" s="2" t="s">
        <v>883</v>
      </c>
      <c r="D1688">
        <v>2</v>
      </c>
      <c r="E1688">
        <v>76891213282</v>
      </c>
      <c r="F1688">
        <f t="shared" ca="1" si="52"/>
        <v>48</v>
      </c>
      <c r="G1688">
        <f ca="1">VLOOKUP(E1688,PurchItem!$A$2:$H$508,8,0)</f>
        <v>7043.1528369539874</v>
      </c>
      <c r="H1688">
        <v>0.05</v>
      </c>
      <c r="I1688" t="s">
        <v>244</v>
      </c>
      <c r="M1688">
        <f t="shared" si="53"/>
        <v>10029727864</v>
      </c>
      <c r="N1688">
        <f ca="1">IF(M1688&lt;&gt;M1687,INDEX(CustInfo!$A$2:$A$1001,RANDBETWEEN(1,1000)),N1687)</f>
        <v>11358</v>
      </c>
      <c r="O1688" t="s">
        <v>1002</v>
      </c>
      <c r="P1688">
        <v>52937822</v>
      </c>
    </row>
    <row r="1689" spans="1:16" x14ac:dyDescent="0.35">
      <c r="A1689">
        <v>93827212634</v>
      </c>
      <c r="C1689" s="2" t="s">
        <v>883</v>
      </c>
      <c r="D1689">
        <v>3</v>
      </c>
      <c r="E1689">
        <v>76891213618</v>
      </c>
      <c r="F1689">
        <f t="shared" ca="1" si="52"/>
        <v>66</v>
      </c>
      <c r="G1689">
        <f ca="1">VLOOKUP(E1689,PurchItem!$A$2:$H$508,8,0)</f>
        <v>3216.4328612514669</v>
      </c>
      <c r="H1689">
        <v>0.06</v>
      </c>
      <c r="I1689" t="s">
        <v>244</v>
      </c>
      <c r="M1689">
        <f t="shared" si="53"/>
        <v>10029727864</v>
      </c>
      <c r="N1689">
        <f ca="1">IF(M1689&lt;&gt;M1688,INDEX(CustInfo!$A$2:$A$1001,RANDBETWEEN(1,1000)),N1688)</f>
        <v>11358</v>
      </c>
      <c r="O1689" t="s">
        <v>1002</v>
      </c>
      <c r="P1689">
        <v>52937823</v>
      </c>
    </row>
    <row r="1690" spans="1:16" x14ac:dyDescent="0.35">
      <c r="A1690">
        <v>93827212634</v>
      </c>
      <c r="C1690" s="2" t="s">
        <v>883</v>
      </c>
      <c r="D1690">
        <v>4</v>
      </c>
      <c r="E1690">
        <v>76891213564</v>
      </c>
      <c r="F1690">
        <f t="shared" ca="1" si="52"/>
        <v>10</v>
      </c>
      <c r="G1690">
        <f ca="1">VLOOKUP(E1690,PurchItem!$A$2:$H$508,8,0)</f>
        <v>2954.3426312069478</v>
      </c>
      <c r="H1690">
        <v>0.05</v>
      </c>
      <c r="I1690" t="s">
        <v>244</v>
      </c>
      <c r="M1690">
        <f t="shared" si="53"/>
        <v>10029727864</v>
      </c>
      <c r="N1690">
        <f ca="1">IF(M1690&lt;&gt;M1689,INDEX(CustInfo!$A$2:$A$1001,RANDBETWEEN(1,1000)),N1689)</f>
        <v>11358</v>
      </c>
      <c r="O1690" t="s">
        <v>1002</v>
      </c>
      <c r="P1690">
        <v>52937824</v>
      </c>
    </row>
    <row r="1691" spans="1:16" x14ac:dyDescent="0.35">
      <c r="A1691">
        <v>93827212635</v>
      </c>
      <c r="C1691" s="2" t="s">
        <v>883</v>
      </c>
      <c r="D1691">
        <v>1</v>
      </c>
      <c r="E1691">
        <v>76891213619</v>
      </c>
      <c r="F1691">
        <f t="shared" ca="1" si="52"/>
        <v>35</v>
      </c>
      <c r="G1691">
        <f ca="1">VLOOKUP(E1691,PurchItem!$A$2:$H$508,8,0)</f>
        <v>1441.1583775333718</v>
      </c>
      <c r="H1691">
        <v>0.05</v>
      </c>
      <c r="I1691" t="s">
        <v>244</v>
      </c>
      <c r="M1691">
        <f t="shared" si="53"/>
        <v>10029727865</v>
      </c>
      <c r="N1691">
        <f ca="1">IF(M1691&lt;&gt;M1690,INDEX(CustInfo!$A$2:$A$1001,RANDBETWEEN(1,1000)),N1690)</f>
        <v>11543</v>
      </c>
      <c r="O1691" t="s">
        <v>1003</v>
      </c>
      <c r="P1691">
        <v>52937825</v>
      </c>
    </row>
    <row r="1692" spans="1:16" x14ac:dyDescent="0.35">
      <c r="A1692">
        <v>93827212635</v>
      </c>
      <c r="C1692" s="2" t="s">
        <v>883</v>
      </c>
      <c r="D1692">
        <v>2</v>
      </c>
      <c r="E1692">
        <v>76891213467</v>
      </c>
      <c r="F1692">
        <f t="shared" ca="1" si="52"/>
        <v>92</v>
      </c>
      <c r="G1692">
        <f ca="1">VLOOKUP(E1692,PurchItem!$A$2:$H$508,8,0)</f>
        <v>7836.0924304775153</v>
      </c>
      <c r="H1692">
        <v>0.05</v>
      </c>
      <c r="I1692" t="s">
        <v>244</v>
      </c>
      <c r="M1692">
        <f t="shared" si="53"/>
        <v>10029727865</v>
      </c>
      <c r="N1692">
        <f ca="1">IF(M1692&lt;&gt;M1691,INDEX(CustInfo!$A$2:$A$1001,RANDBETWEEN(1,1000)),N1691)</f>
        <v>11543</v>
      </c>
      <c r="O1692" t="s">
        <v>1003</v>
      </c>
      <c r="P1692">
        <v>52937826</v>
      </c>
    </row>
    <row r="1693" spans="1:16" x14ac:dyDescent="0.35">
      <c r="A1693">
        <v>93827212635</v>
      </c>
      <c r="C1693" s="2" t="s">
        <v>883</v>
      </c>
      <c r="D1693">
        <v>3</v>
      </c>
      <c r="E1693">
        <v>76891213332</v>
      </c>
      <c r="F1693">
        <f t="shared" ca="1" si="52"/>
        <v>11</v>
      </c>
      <c r="G1693">
        <f ca="1">VLOOKUP(E1693,PurchItem!$A$2:$H$508,8,0)</f>
        <v>5811.6103447390888</v>
      </c>
      <c r="H1693">
        <v>0.05</v>
      </c>
      <c r="I1693" t="s">
        <v>244</v>
      </c>
      <c r="M1693">
        <f t="shared" si="53"/>
        <v>10029727865</v>
      </c>
      <c r="N1693">
        <f ca="1">IF(M1693&lt;&gt;M1692,INDEX(CustInfo!$A$2:$A$1001,RANDBETWEEN(1,1000)),N1692)</f>
        <v>11543</v>
      </c>
      <c r="O1693" t="s">
        <v>1003</v>
      </c>
      <c r="P1693">
        <v>52937827</v>
      </c>
    </row>
    <row r="1694" spans="1:16" x14ac:dyDescent="0.35">
      <c r="A1694">
        <v>93827212635</v>
      </c>
      <c r="C1694" s="2" t="s">
        <v>883</v>
      </c>
      <c r="D1694">
        <v>4</v>
      </c>
      <c r="E1694">
        <v>76891213174</v>
      </c>
      <c r="F1694">
        <f t="shared" ca="1" si="52"/>
        <v>67</v>
      </c>
      <c r="G1694">
        <f ca="1">VLOOKUP(E1694,PurchItem!$A$2:$H$508,8,0)</f>
        <v>3971.755790241577</v>
      </c>
      <c r="H1694">
        <v>0.05</v>
      </c>
      <c r="I1694" t="s">
        <v>244</v>
      </c>
      <c r="M1694">
        <f t="shared" si="53"/>
        <v>10029727865</v>
      </c>
      <c r="N1694">
        <f ca="1">IF(M1694&lt;&gt;M1693,INDEX(CustInfo!$A$2:$A$1001,RANDBETWEEN(1,1000)),N1693)</f>
        <v>11543</v>
      </c>
      <c r="O1694" t="s">
        <v>1003</v>
      </c>
      <c r="P1694">
        <v>52937828</v>
      </c>
    </row>
    <row r="1695" spans="1:16" x14ac:dyDescent="0.35">
      <c r="A1695">
        <v>93827212636</v>
      </c>
      <c r="C1695" s="2" t="s">
        <v>883</v>
      </c>
      <c r="D1695">
        <v>1</v>
      </c>
      <c r="E1695">
        <v>76891213169</v>
      </c>
      <c r="F1695">
        <f t="shared" ca="1" si="52"/>
        <v>14</v>
      </c>
      <c r="G1695">
        <f ca="1">VLOOKUP(E1695,PurchItem!$A$2:$H$508,8,0)</f>
        <v>1750.9223085517885</v>
      </c>
      <c r="H1695">
        <v>0.04</v>
      </c>
      <c r="I1695" t="s">
        <v>244</v>
      </c>
      <c r="M1695">
        <f t="shared" si="53"/>
        <v>10029727866</v>
      </c>
      <c r="N1695">
        <f ca="1">IF(M1695&lt;&gt;M1694,INDEX(CustInfo!$A$2:$A$1001,RANDBETWEEN(1,1000)),N1694)</f>
        <v>11346</v>
      </c>
      <c r="O1695" t="s">
        <v>1001</v>
      </c>
      <c r="P1695">
        <v>52937829</v>
      </c>
    </row>
    <row r="1696" spans="1:16" x14ac:dyDescent="0.35">
      <c r="A1696">
        <v>93827212637</v>
      </c>
      <c r="C1696" s="2" t="s">
        <v>883</v>
      </c>
      <c r="D1696">
        <v>1</v>
      </c>
      <c r="E1696">
        <v>76891213206</v>
      </c>
      <c r="F1696">
        <f t="shared" ca="1" si="52"/>
        <v>84</v>
      </c>
      <c r="G1696">
        <f ca="1">VLOOKUP(E1696,PurchItem!$A$2:$H$508,8,0)</f>
        <v>9040.8644747112157</v>
      </c>
      <c r="H1696">
        <v>0.06</v>
      </c>
      <c r="I1696" t="s">
        <v>244</v>
      </c>
      <c r="M1696">
        <f t="shared" si="53"/>
        <v>10029727867</v>
      </c>
      <c r="N1696">
        <f ca="1">IF(M1696&lt;&gt;M1695,INDEX(CustInfo!$A$2:$A$1001,RANDBETWEEN(1,1000)),N1695)</f>
        <v>11921</v>
      </c>
      <c r="O1696" t="s">
        <v>1002</v>
      </c>
      <c r="P1696">
        <v>52937830</v>
      </c>
    </row>
    <row r="1697" spans="1:16" x14ac:dyDescent="0.35">
      <c r="A1697">
        <v>93827212638</v>
      </c>
      <c r="C1697" s="2" t="s">
        <v>883</v>
      </c>
      <c r="D1697">
        <v>1</v>
      </c>
      <c r="E1697">
        <v>76891213592</v>
      </c>
      <c r="F1697">
        <f t="shared" ca="1" si="52"/>
        <v>26</v>
      </c>
      <c r="G1697">
        <f ca="1">VLOOKUP(E1697,PurchItem!$A$2:$H$508,8,0)</f>
        <v>4470.4135541857659</v>
      </c>
      <c r="H1697">
        <v>0.05</v>
      </c>
      <c r="I1697" t="s">
        <v>244</v>
      </c>
      <c r="M1697">
        <f t="shared" si="53"/>
        <v>10029727868</v>
      </c>
      <c r="N1697">
        <f ca="1">IF(M1697&lt;&gt;M1696,INDEX(CustInfo!$A$2:$A$1001,RANDBETWEEN(1,1000)),N1696)</f>
        <v>11910</v>
      </c>
      <c r="O1697" t="s">
        <v>1002</v>
      </c>
      <c r="P1697">
        <v>52937831</v>
      </c>
    </row>
    <row r="1698" spans="1:16" x14ac:dyDescent="0.35">
      <c r="A1698">
        <v>93827212638</v>
      </c>
      <c r="C1698" s="2" t="s">
        <v>883</v>
      </c>
      <c r="D1698">
        <v>2</v>
      </c>
      <c r="E1698">
        <v>76891213347</v>
      </c>
      <c r="F1698">
        <f t="shared" ca="1" si="52"/>
        <v>33</v>
      </c>
      <c r="G1698">
        <f ca="1">VLOOKUP(E1698,PurchItem!$A$2:$H$508,8,0)</f>
        <v>9140.0810974149535</v>
      </c>
      <c r="H1698">
        <v>0.05</v>
      </c>
      <c r="I1698" t="s">
        <v>244</v>
      </c>
      <c r="M1698">
        <f t="shared" si="53"/>
        <v>10029727868</v>
      </c>
      <c r="N1698">
        <f ca="1">IF(M1698&lt;&gt;M1697,INDEX(CustInfo!$A$2:$A$1001,RANDBETWEEN(1,1000)),N1697)</f>
        <v>11910</v>
      </c>
      <c r="O1698" t="s">
        <v>1002</v>
      </c>
      <c r="P1698">
        <v>52937832</v>
      </c>
    </row>
    <row r="1699" spans="1:16" x14ac:dyDescent="0.35">
      <c r="A1699">
        <v>93827212638</v>
      </c>
      <c r="C1699" s="2" t="s">
        <v>883</v>
      </c>
      <c r="D1699">
        <v>3</v>
      </c>
      <c r="E1699">
        <v>76891213586</v>
      </c>
      <c r="F1699">
        <f t="shared" ca="1" si="52"/>
        <v>84</v>
      </c>
      <c r="G1699">
        <f ca="1">VLOOKUP(E1699,PurchItem!$A$2:$H$508,8,0)</f>
        <v>8795.5935082912856</v>
      </c>
      <c r="H1699">
        <v>0.05</v>
      </c>
      <c r="I1699" t="s">
        <v>244</v>
      </c>
      <c r="M1699">
        <f t="shared" si="53"/>
        <v>10029727868</v>
      </c>
      <c r="N1699">
        <f ca="1">IF(M1699&lt;&gt;M1698,INDEX(CustInfo!$A$2:$A$1001,RANDBETWEEN(1,1000)),N1698)</f>
        <v>11910</v>
      </c>
      <c r="O1699" t="s">
        <v>1002</v>
      </c>
      <c r="P1699">
        <v>52937833</v>
      </c>
    </row>
    <row r="1700" spans="1:16" x14ac:dyDescent="0.35">
      <c r="A1700">
        <v>93827212639</v>
      </c>
      <c r="C1700" s="2" t="s">
        <v>883</v>
      </c>
      <c r="D1700">
        <v>1</v>
      </c>
      <c r="E1700">
        <v>76891213473</v>
      </c>
      <c r="F1700">
        <f t="shared" ca="1" si="52"/>
        <v>62</v>
      </c>
      <c r="G1700">
        <f ca="1">VLOOKUP(E1700,PurchItem!$A$2:$H$508,8,0)</f>
        <v>2246.8538983085609</v>
      </c>
      <c r="H1700">
        <v>0.06</v>
      </c>
      <c r="I1700" t="s">
        <v>244</v>
      </c>
      <c r="M1700">
        <f t="shared" si="53"/>
        <v>10029727869</v>
      </c>
      <c r="N1700">
        <f ca="1">IF(M1700&lt;&gt;M1699,INDEX(CustInfo!$A$2:$A$1001,RANDBETWEEN(1,1000)),N1699)</f>
        <v>11651</v>
      </c>
      <c r="O1700" t="s">
        <v>1003</v>
      </c>
      <c r="P1700">
        <v>52937834</v>
      </c>
    </row>
    <row r="1701" spans="1:16" x14ac:dyDescent="0.35">
      <c r="A1701">
        <v>93827212639</v>
      </c>
      <c r="C1701" s="2" t="s">
        <v>883</v>
      </c>
      <c r="D1701">
        <v>2</v>
      </c>
      <c r="E1701">
        <v>76891213590</v>
      </c>
      <c r="F1701">
        <f t="shared" ca="1" si="52"/>
        <v>75</v>
      </c>
      <c r="G1701">
        <f ca="1">VLOOKUP(E1701,PurchItem!$A$2:$H$508,8,0)</f>
        <v>7917.0484239555426</v>
      </c>
      <c r="H1701">
        <v>0.06</v>
      </c>
      <c r="I1701" t="s">
        <v>244</v>
      </c>
      <c r="M1701">
        <f t="shared" si="53"/>
        <v>10029727869</v>
      </c>
      <c r="N1701">
        <f ca="1">IF(M1701&lt;&gt;M1700,INDEX(CustInfo!$A$2:$A$1001,RANDBETWEEN(1,1000)),N1700)</f>
        <v>11651</v>
      </c>
      <c r="O1701" t="s">
        <v>1003</v>
      </c>
      <c r="P1701">
        <v>52937835</v>
      </c>
    </row>
    <row r="1702" spans="1:16" x14ac:dyDescent="0.35">
      <c r="A1702">
        <v>93827212640</v>
      </c>
      <c r="C1702" s="2" t="s">
        <v>883</v>
      </c>
      <c r="D1702">
        <v>1</v>
      </c>
      <c r="E1702">
        <v>76891213297</v>
      </c>
      <c r="F1702">
        <f t="shared" ca="1" si="52"/>
        <v>94</v>
      </c>
      <c r="G1702">
        <f ca="1">VLOOKUP(E1702,PurchItem!$A$2:$H$508,8,0)</f>
        <v>1230.6506719710349</v>
      </c>
      <c r="H1702">
        <v>0.06</v>
      </c>
      <c r="I1702" t="s">
        <v>244</v>
      </c>
      <c r="M1702">
        <f t="shared" si="53"/>
        <v>10029727870</v>
      </c>
      <c r="N1702">
        <f ca="1">IF(M1702&lt;&gt;M1701,INDEX(CustInfo!$A$2:$A$1001,RANDBETWEEN(1,1000)),N1701)</f>
        <v>11773</v>
      </c>
      <c r="O1702" t="s">
        <v>1003</v>
      </c>
      <c r="P1702">
        <v>52937836</v>
      </c>
    </row>
    <row r="1703" spans="1:16" x14ac:dyDescent="0.35">
      <c r="A1703">
        <v>93827212640</v>
      </c>
      <c r="C1703" s="2" t="s">
        <v>883</v>
      </c>
      <c r="D1703">
        <v>2</v>
      </c>
      <c r="E1703">
        <v>76891213146</v>
      </c>
      <c r="F1703">
        <f t="shared" ca="1" si="52"/>
        <v>85</v>
      </c>
      <c r="G1703">
        <f ca="1">VLOOKUP(E1703,PurchItem!$A$2:$H$508,8,0)</f>
        <v>5461.8260857472496</v>
      </c>
      <c r="H1703">
        <v>0.05</v>
      </c>
      <c r="I1703" t="s">
        <v>244</v>
      </c>
      <c r="M1703">
        <f t="shared" si="53"/>
        <v>10029727870</v>
      </c>
      <c r="N1703">
        <f ca="1">IF(M1703&lt;&gt;M1702,INDEX(CustInfo!$A$2:$A$1001,RANDBETWEEN(1,1000)),N1702)</f>
        <v>11773</v>
      </c>
      <c r="O1703" t="s">
        <v>1003</v>
      </c>
      <c r="P1703">
        <v>52937837</v>
      </c>
    </row>
    <row r="1704" spans="1:16" x14ac:dyDescent="0.35">
      <c r="A1704">
        <v>93827212640</v>
      </c>
      <c r="C1704" s="2" t="s">
        <v>883</v>
      </c>
      <c r="D1704">
        <v>3</v>
      </c>
      <c r="E1704">
        <v>76891213452</v>
      </c>
      <c r="F1704">
        <f t="shared" ca="1" si="52"/>
        <v>50</v>
      </c>
      <c r="G1704">
        <f ca="1">VLOOKUP(E1704,PurchItem!$A$2:$H$508,8,0)</f>
        <v>6346.9434428168151</v>
      </c>
      <c r="H1704">
        <v>0.06</v>
      </c>
      <c r="I1704" t="s">
        <v>244</v>
      </c>
      <c r="M1704">
        <f t="shared" si="53"/>
        <v>10029727870</v>
      </c>
      <c r="N1704">
        <f ca="1">IF(M1704&lt;&gt;M1703,INDEX(CustInfo!$A$2:$A$1001,RANDBETWEEN(1,1000)),N1703)</f>
        <v>11773</v>
      </c>
      <c r="O1704" t="s">
        <v>1003</v>
      </c>
      <c r="P1704">
        <v>52937838</v>
      </c>
    </row>
    <row r="1705" spans="1:16" x14ac:dyDescent="0.35">
      <c r="A1705">
        <v>93827212640</v>
      </c>
      <c r="C1705" s="2" t="s">
        <v>883</v>
      </c>
      <c r="D1705">
        <v>4</v>
      </c>
      <c r="E1705">
        <v>76891213208</v>
      </c>
      <c r="F1705">
        <f t="shared" ca="1" si="52"/>
        <v>83</v>
      </c>
      <c r="G1705">
        <f ca="1">VLOOKUP(E1705,PurchItem!$A$2:$H$508,8,0)</f>
        <v>657.49966460879534</v>
      </c>
      <c r="H1705">
        <v>0.05</v>
      </c>
      <c r="I1705" t="s">
        <v>244</v>
      </c>
      <c r="M1705">
        <f t="shared" si="53"/>
        <v>10029727870</v>
      </c>
      <c r="N1705">
        <f ca="1">IF(M1705&lt;&gt;M1704,INDEX(CustInfo!$A$2:$A$1001,RANDBETWEEN(1,1000)),N1704)</f>
        <v>11773</v>
      </c>
      <c r="O1705" t="s">
        <v>1003</v>
      </c>
      <c r="P1705">
        <v>52937839</v>
      </c>
    </row>
    <row r="1706" spans="1:16" x14ac:dyDescent="0.35">
      <c r="A1706">
        <v>93827212641</v>
      </c>
      <c r="C1706" s="2" t="s">
        <v>883</v>
      </c>
      <c r="D1706">
        <v>1</v>
      </c>
      <c r="E1706">
        <v>76891213148</v>
      </c>
      <c r="F1706">
        <f t="shared" ca="1" si="52"/>
        <v>82</v>
      </c>
      <c r="G1706">
        <f ca="1">VLOOKUP(E1706,PurchItem!$A$2:$H$508,8,0)</f>
        <v>1059.7105318061322</v>
      </c>
      <c r="H1706">
        <v>0.04</v>
      </c>
      <c r="I1706" t="s">
        <v>244</v>
      </c>
      <c r="M1706">
        <f t="shared" si="53"/>
        <v>10029727871</v>
      </c>
      <c r="N1706">
        <f ca="1">IF(M1706&lt;&gt;M1705,INDEX(CustInfo!$A$2:$A$1001,RANDBETWEEN(1,1000)),N1705)</f>
        <v>11737</v>
      </c>
      <c r="O1706" t="s">
        <v>1001</v>
      </c>
      <c r="P1706">
        <v>52937840</v>
      </c>
    </row>
    <row r="1707" spans="1:16" x14ac:dyDescent="0.35">
      <c r="A1707">
        <v>93827212641</v>
      </c>
      <c r="C1707" s="2" t="s">
        <v>883</v>
      </c>
      <c r="D1707">
        <v>2</v>
      </c>
      <c r="E1707">
        <v>76891213159</v>
      </c>
      <c r="F1707">
        <f t="shared" ca="1" si="52"/>
        <v>61</v>
      </c>
      <c r="G1707">
        <f ca="1">VLOOKUP(E1707,PurchItem!$A$2:$H$508,8,0)</f>
        <v>1020.1296091286805</v>
      </c>
      <c r="H1707">
        <v>0.04</v>
      </c>
      <c r="I1707" t="s">
        <v>244</v>
      </c>
      <c r="M1707">
        <f t="shared" si="53"/>
        <v>10029727871</v>
      </c>
      <c r="N1707">
        <f ca="1">IF(M1707&lt;&gt;M1706,INDEX(CustInfo!$A$2:$A$1001,RANDBETWEEN(1,1000)),N1706)</f>
        <v>11737</v>
      </c>
      <c r="O1707" t="s">
        <v>1001</v>
      </c>
      <c r="P1707">
        <v>52937841</v>
      </c>
    </row>
    <row r="1708" spans="1:16" x14ac:dyDescent="0.35">
      <c r="A1708">
        <v>93827212641</v>
      </c>
      <c r="C1708" s="2" t="s">
        <v>883</v>
      </c>
      <c r="D1708">
        <v>3</v>
      </c>
      <c r="E1708">
        <v>76891213468</v>
      </c>
      <c r="F1708">
        <f t="shared" ca="1" si="52"/>
        <v>34</v>
      </c>
      <c r="G1708">
        <f ca="1">VLOOKUP(E1708,PurchItem!$A$2:$H$508,8,0)</f>
        <v>8720.5573870862172</v>
      </c>
      <c r="H1708">
        <v>0.04</v>
      </c>
      <c r="I1708" t="s">
        <v>244</v>
      </c>
      <c r="M1708">
        <f t="shared" si="53"/>
        <v>10029727871</v>
      </c>
      <c r="N1708">
        <f ca="1">IF(M1708&lt;&gt;M1707,INDEX(CustInfo!$A$2:$A$1001,RANDBETWEEN(1,1000)),N1707)</f>
        <v>11737</v>
      </c>
      <c r="O1708" t="s">
        <v>1001</v>
      </c>
      <c r="P1708">
        <v>52937842</v>
      </c>
    </row>
    <row r="1709" spans="1:16" x14ac:dyDescent="0.35">
      <c r="A1709">
        <v>93827212642</v>
      </c>
      <c r="C1709" s="2" t="s">
        <v>883</v>
      </c>
      <c r="D1709">
        <v>1</v>
      </c>
      <c r="E1709">
        <v>76891213518</v>
      </c>
      <c r="F1709">
        <f t="shared" ca="1" si="52"/>
        <v>27</v>
      </c>
      <c r="G1709">
        <f ca="1">VLOOKUP(E1709,PurchItem!$A$2:$H$508,8,0)</f>
        <v>898.7544784261562</v>
      </c>
      <c r="H1709">
        <v>0.05</v>
      </c>
      <c r="I1709" t="s">
        <v>244</v>
      </c>
      <c r="M1709">
        <f t="shared" si="53"/>
        <v>10029727872</v>
      </c>
      <c r="N1709">
        <f ca="1">IF(M1709&lt;&gt;M1708,INDEX(CustInfo!$A$2:$A$1001,RANDBETWEEN(1,1000)),N1708)</f>
        <v>11563</v>
      </c>
      <c r="O1709" t="s">
        <v>1002</v>
      </c>
      <c r="P1709">
        <v>52937843</v>
      </c>
    </row>
    <row r="1710" spans="1:16" x14ac:dyDescent="0.35">
      <c r="A1710">
        <v>93827212642</v>
      </c>
      <c r="C1710" s="2" t="s">
        <v>883</v>
      </c>
      <c r="D1710">
        <v>2</v>
      </c>
      <c r="E1710">
        <v>76891213305</v>
      </c>
      <c r="F1710">
        <f t="shared" ca="1" si="52"/>
        <v>46</v>
      </c>
      <c r="G1710">
        <f ca="1">VLOOKUP(E1710,PurchItem!$A$2:$H$508,8,0)</f>
        <v>7454.0016740690317</v>
      </c>
      <c r="H1710">
        <v>0.05</v>
      </c>
      <c r="I1710" t="s">
        <v>244</v>
      </c>
      <c r="M1710">
        <f t="shared" si="53"/>
        <v>10029727872</v>
      </c>
      <c r="N1710">
        <f ca="1">IF(M1710&lt;&gt;M1709,INDEX(CustInfo!$A$2:$A$1001,RANDBETWEEN(1,1000)),N1709)</f>
        <v>11563</v>
      </c>
      <c r="O1710" t="s">
        <v>1002</v>
      </c>
      <c r="P1710">
        <v>52937844</v>
      </c>
    </row>
    <row r="1711" spans="1:16" x14ac:dyDescent="0.35">
      <c r="A1711">
        <v>93827212643</v>
      </c>
      <c r="C1711" s="2" t="s">
        <v>883</v>
      </c>
      <c r="D1711">
        <v>1</v>
      </c>
      <c r="E1711">
        <v>76891213399</v>
      </c>
      <c r="F1711">
        <f t="shared" ca="1" si="52"/>
        <v>16</v>
      </c>
      <c r="G1711">
        <f ca="1">VLOOKUP(E1711,PurchItem!$A$2:$H$508,8,0)</f>
        <v>847.70440937695787</v>
      </c>
      <c r="H1711">
        <v>0.04</v>
      </c>
      <c r="I1711" t="s">
        <v>244</v>
      </c>
      <c r="M1711">
        <f t="shared" si="53"/>
        <v>10029727873</v>
      </c>
      <c r="N1711">
        <f ca="1">IF(M1711&lt;&gt;M1710,INDEX(CustInfo!$A$2:$A$1001,RANDBETWEEN(1,1000)),N1710)</f>
        <v>11054</v>
      </c>
      <c r="O1711" t="s">
        <v>1003</v>
      </c>
      <c r="P1711">
        <v>52937845</v>
      </c>
    </row>
    <row r="1712" spans="1:16" x14ac:dyDescent="0.35">
      <c r="A1712">
        <v>93827212643</v>
      </c>
      <c r="C1712" s="2" t="s">
        <v>883</v>
      </c>
      <c r="D1712">
        <v>2</v>
      </c>
      <c r="E1712">
        <v>76891213617</v>
      </c>
      <c r="F1712">
        <f t="shared" ca="1" si="52"/>
        <v>95</v>
      </c>
      <c r="G1712">
        <f ca="1">VLOOKUP(E1712,PurchItem!$A$2:$H$508,8,0)</f>
        <v>9826.6313103954708</v>
      </c>
      <c r="H1712">
        <v>0.06</v>
      </c>
      <c r="I1712" t="s">
        <v>244</v>
      </c>
      <c r="M1712">
        <f t="shared" si="53"/>
        <v>10029727873</v>
      </c>
      <c r="N1712">
        <f ca="1">IF(M1712&lt;&gt;M1711,INDEX(CustInfo!$A$2:$A$1001,RANDBETWEEN(1,1000)),N1711)</f>
        <v>11054</v>
      </c>
      <c r="O1712" t="s">
        <v>1003</v>
      </c>
      <c r="P1712">
        <v>52937846</v>
      </c>
    </row>
    <row r="1713" spans="1:16" x14ac:dyDescent="0.35">
      <c r="A1713">
        <v>93827212643</v>
      </c>
      <c r="C1713" s="2" t="s">
        <v>883</v>
      </c>
      <c r="D1713">
        <v>3</v>
      </c>
      <c r="E1713">
        <v>76891213228</v>
      </c>
      <c r="F1713">
        <f t="shared" ca="1" si="52"/>
        <v>21</v>
      </c>
      <c r="G1713">
        <f ca="1">VLOOKUP(E1713,PurchItem!$A$2:$H$508,8,0)</f>
        <v>2204.5147768831243</v>
      </c>
      <c r="H1713">
        <v>0.05</v>
      </c>
      <c r="I1713" t="s">
        <v>244</v>
      </c>
      <c r="M1713">
        <f t="shared" si="53"/>
        <v>10029727873</v>
      </c>
      <c r="N1713">
        <f ca="1">IF(M1713&lt;&gt;M1712,INDEX(CustInfo!$A$2:$A$1001,RANDBETWEEN(1,1000)),N1712)</f>
        <v>11054</v>
      </c>
      <c r="O1713" t="s">
        <v>1003</v>
      </c>
      <c r="P1713">
        <v>52937847</v>
      </c>
    </row>
    <row r="1714" spans="1:16" x14ac:dyDescent="0.35">
      <c r="A1714">
        <v>93827212644</v>
      </c>
      <c r="C1714" s="2" t="s">
        <v>883</v>
      </c>
      <c r="D1714">
        <v>1</v>
      </c>
      <c r="E1714">
        <v>76891213246</v>
      </c>
      <c r="F1714">
        <f t="shared" ca="1" si="52"/>
        <v>68</v>
      </c>
      <c r="G1714">
        <f ca="1">VLOOKUP(E1714,PurchItem!$A$2:$H$508,8,0)</f>
        <v>2892.1791857409398</v>
      </c>
      <c r="H1714">
        <v>0.06</v>
      </c>
      <c r="I1714" t="s">
        <v>244</v>
      </c>
      <c r="M1714">
        <f t="shared" si="53"/>
        <v>10029727874</v>
      </c>
      <c r="N1714">
        <f ca="1">IF(M1714&lt;&gt;M1713,INDEX(CustInfo!$A$2:$A$1001,RANDBETWEEN(1,1000)),N1713)</f>
        <v>11035</v>
      </c>
      <c r="O1714" t="s">
        <v>1002</v>
      </c>
      <c r="P1714">
        <v>52937848</v>
      </c>
    </row>
    <row r="1715" spans="1:16" x14ac:dyDescent="0.35">
      <c r="A1715">
        <v>93827212644</v>
      </c>
      <c r="C1715" s="2" t="s">
        <v>883</v>
      </c>
      <c r="D1715">
        <v>2</v>
      </c>
      <c r="E1715">
        <v>76891213638</v>
      </c>
      <c r="F1715">
        <f t="shared" ca="1" si="52"/>
        <v>40</v>
      </c>
      <c r="G1715">
        <f ca="1">VLOOKUP(E1715,PurchItem!$A$2:$H$508,8,0)</f>
        <v>7759.84821332092</v>
      </c>
      <c r="H1715">
        <v>0.05</v>
      </c>
      <c r="I1715" t="s">
        <v>244</v>
      </c>
      <c r="M1715">
        <f t="shared" si="53"/>
        <v>10029727874</v>
      </c>
      <c r="N1715">
        <f ca="1">IF(M1715&lt;&gt;M1714,INDEX(CustInfo!$A$2:$A$1001,RANDBETWEEN(1,1000)),N1714)</f>
        <v>11035</v>
      </c>
      <c r="O1715" t="s">
        <v>1002</v>
      </c>
      <c r="P1715">
        <v>52937849</v>
      </c>
    </row>
    <row r="1716" spans="1:16" x14ac:dyDescent="0.35">
      <c r="A1716">
        <v>93827212644</v>
      </c>
      <c r="C1716" s="2" t="s">
        <v>883</v>
      </c>
      <c r="D1716">
        <v>3</v>
      </c>
      <c r="E1716">
        <v>76891213611</v>
      </c>
      <c r="F1716">
        <f t="shared" ca="1" si="52"/>
        <v>100</v>
      </c>
      <c r="G1716">
        <f ca="1">VLOOKUP(E1716,PurchItem!$A$2:$H$508,8,0)</f>
        <v>4928.5850256166741</v>
      </c>
      <c r="H1716">
        <v>0.04</v>
      </c>
      <c r="I1716" t="s">
        <v>244</v>
      </c>
      <c r="M1716">
        <f t="shared" si="53"/>
        <v>10029727874</v>
      </c>
      <c r="N1716">
        <f ca="1">IF(M1716&lt;&gt;M1715,INDEX(CustInfo!$A$2:$A$1001,RANDBETWEEN(1,1000)),N1715)</f>
        <v>11035</v>
      </c>
      <c r="O1716" t="s">
        <v>1002</v>
      </c>
      <c r="P1716">
        <v>52937850</v>
      </c>
    </row>
    <row r="1717" spans="1:16" x14ac:dyDescent="0.35">
      <c r="A1717">
        <v>93827212644</v>
      </c>
      <c r="C1717" s="2" t="s">
        <v>883</v>
      </c>
      <c r="D1717">
        <v>4</v>
      </c>
      <c r="E1717">
        <v>76891213422</v>
      </c>
      <c r="F1717">
        <f t="shared" ca="1" si="52"/>
        <v>13</v>
      </c>
      <c r="G1717">
        <f ca="1">VLOOKUP(E1717,PurchItem!$A$2:$H$508,8,0)</f>
        <v>2902.3044736195407</v>
      </c>
      <c r="H1717">
        <v>0.05</v>
      </c>
      <c r="I1717" t="s">
        <v>244</v>
      </c>
      <c r="M1717">
        <f t="shared" si="53"/>
        <v>10029727874</v>
      </c>
      <c r="N1717">
        <f ca="1">IF(M1717&lt;&gt;M1716,INDEX(CustInfo!$A$2:$A$1001,RANDBETWEEN(1,1000)),N1716)</f>
        <v>11035</v>
      </c>
      <c r="O1717" t="s">
        <v>1002</v>
      </c>
      <c r="P1717">
        <v>52937851</v>
      </c>
    </row>
    <row r="1718" spans="1:16" x14ac:dyDescent="0.35">
      <c r="A1718">
        <v>93827212645</v>
      </c>
      <c r="C1718" s="2" t="s">
        <v>883</v>
      </c>
      <c r="D1718">
        <v>1</v>
      </c>
      <c r="E1718">
        <v>76891213638</v>
      </c>
      <c r="F1718">
        <f t="shared" ca="1" si="52"/>
        <v>76</v>
      </c>
      <c r="G1718">
        <f ca="1">VLOOKUP(E1718,PurchItem!$A$2:$H$508,8,0)</f>
        <v>7759.84821332092</v>
      </c>
      <c r="H1718">
        <v>0.06</v>
      </c>
      <c r="I1718" t="s">
        <v>244</v>
      </c>
      <c r="M1718">
        <f t="shared" si="53"/>
        <v>10029727875</v>
      </c>
      <c r="N1718">
        <f ca="1">IF(M1718&lt;&gt;M1717,INDEX(CustInfo!$A$2:$A$1001,RANDBETWEEN(1,1000)),N1717)</f>
        <v>11647</v>
      </c>
      <c r="O1718" t="s">
        <v>1001</v>
      </c>
      <c r="P1718">
        <v>52937852</v>
      </c>
    </row>
    <row r="1719" spans="1:16" x14ac:dyDescent="0.35">
      <c r="A1719">
        <v>93827212646</v>
      </c>
      <c r="C1719" s="2" t="s">
        <v>883</v>
      </c>
      <c r="D1719">
        <v>1</v>
      </c>
      <c r="E1719">
        <v>76891213636</v>
      </c>
      <c r="F1719">
        <f t="shared" ca="1" si="52"/>
        <v>97</v>
      </c>
      <c r="G1719">
        <f ca="1">VLOOKUP(E1719,PurchItem!$A$2:$H$508,8,0)</f>
        <v>7418.628439377374</v>
      </c>
      <c r="H1719">
        <v>0.05</v>
      </c>
      <c r="I1719" t="s">
        <v>244</v>
      </c>
      <c r="M1719">
        <f t="shared" si="53"/>
        <v>10029727876</v>
      </c>
      <c r="N1719">
        <f ca="1">IF(M1719&lt;&gt;M1718,INDEX(CustInfo!$A$2:$A$1001,RANDBETWEEN(1,1000)),N1718)</f>
        <v>11680</v>
      </c>
      <c r="O1719" t="s">
        <v>1001</v>
      </c>
      <c r="P1719">
        <v>52937853</v>
      </c>
    </row>
    <row r="1720" spans="1:16" x14ac:dyDescent="0.35">
      <c r="A1720">
        <v>93827212646</v>
      </c>
      <c r="C1720" s="2" t="s">
        <v>883</v>
      </c>
      <c r="D1720">
        <v>2</v>
      </c>
      <c r="E1720">
        <v>76891213305</v>
      </c>
      <c r="F1720">
        <f t="shared" ca="1" si="52"/>
        <v>37</v>
      </c>
      <c r="G1720">
        <f ca="1">VLOOKUP(E1720,PurchItem!$A$2:$H$508,8,0)</f>
        <v>7454.0016740690317</v>
      </c>
      <c r="H1720">
        <v>0.04</v>
      </c>
      <c r="I1720" t="s">
        <v>244</v>
      </c>
      <c r="M1720">
        <f t="shared" si="53"/>
        <v>10029727876</v>
      </c>
      <c r="N1720">
        <f ca="1">IF(M1720&lt;&gt;M1719,INDEX(CustInfo!$A$2:$A$1001,RANDBETWEEN(1,1000)),N1719)</f>
        <v>11680</v>
      </c>
      <c r="O1720" t="s">
        <v>1001</v>
      </c>
      <c r="P1720">
        <v>52937854</v>
      </c>
    </row>
    <row r="1721" spans="1:16" x14ac:dyDescent="0.35">
      <c r="A1721">
        <v>93827212646</v>
      </c>
      <c r="C1721" s="2" t="s">
        <v>883</v>
      </c>
      <c r="D1721">
        <v>3</v>
      </c>
      <c r="E1721">
        <v>76891213465</v>
      </c>
      <c r="F1721">
        <f t="shared" ca="1" si="52"/>
        <v>29</v>
      </c>
      <c r="G1721">
        <f ca="1">VLOOKUP(E1721,PurchItem!$A$2:$H$508,8,0)</f>
        <v>9342.670790746768</v>
      </c>
      <c r="H1721">
        <v>0.06</v>
      </c>
      <c r="I1721" t="s">
        <v>244</v>
      </c>
      <c r="M1721">
        <f t="shared" si="53"/>
        <v>10029727876</v>
      </c>
      <c r="N1721">
        <f ca="1">IF(M1721&lt;&gt;M1720,INDEX(CustInfo!$A$2:$A$1001,RANDBETWEEN(1,1000)),N1720)</f>
        <v>11680</v>
      </c>
      <c r="O1721" t="s">
        <v>1001</v>
      </c>
      <c r="P1721">
        <v>52937855</v>
      </c>
    </row>
    <row r="1722" spans="1:16" x14ac:dyDescent="0.35">
      <c r="A1722">
        <v>93827212646</v>
      </c>
      <c r="C1722" s="2" t="s">
        <v>883</v>
      </c>
      <c r="D1722">
        <v>4</v>
      </c>
      <c r="E1722">
        <v>76891213552</v>
      </c>
      <c r="F1722">
        <f t="shared" ca="1" si="52"/>
        <v>63</v>
      </c>
      <c r="G1722">
        <f ca="1">VLOOKUP(E1722,PurchItem!$A$2:$H$508,8,0)</f>
        <v>1307.476350595766</v>
      </c>
      <c r="H1722">
        <v>0.06</v>
      </c>
      <c r="I1722" t="s">
        <v>244</v>
      </c>
      <c r="M1722">
        <f t="shared" si="53"/>
        <v>10029727876</v>
      </c>
      <c r="N1722">
        <f ca="1">IF(M1722&lt;&gt;M1721,INDEX(CustInfo!$A$2:$A$1001,RANDBETWEEN(1,1000)),N1721)</f>
        <v>11680</v>
      </c>
      <c r="O1722" t="s">
        <v>1001</v>
      </c>
      <c r="P1722">
        <v>52937856</v>
      </c>
    </row>
    <row r="1723" spans="1:16" x14ac:dyDescent="0.35">
      <c r="A1723">
        <v>93827212647</v>
      </c>
      <c r="C1723" s="2" t="s">
        <v>883</v>
      </c>
      <c r="D1723">
        <v>1</v>
      </c>
      <c r="E1723">
        <v>76891213442</v>
      </c>
      <c r="F1723">
        <f t="shared" ca="1" si="52"/>
        <v>10</v>
      </c>
      <c r="G1723">
        <f ca="1">VLOOKUP(E1723,PurchItem!$A$2:$H$508,8,0)</f>
        <v>3996.4553378666742</v>
      </c>
      <c r="H1723">
        <v>0.06</v>
      </c>
      <c r="I1723" t="s">
        <v>244</v>
      </c>
      <c r="M1723">
        <f t="shared" si="53"/>
        <v>10029727877</v>
      </c>
      <c r="N1723">
        <f ca="1">IF(M1723&lt;&gt;M1722,INDEX(CustInfo!$A$2:$A$1001,RANDBETWEEN(1,1000)),N1722)</f>
        <v>11529</v>
      </c>
      <c r="O1723" t="s">
        <v>1003</v>
      </c>
      <c r="P1723">
        <v>52937857</v>
      </c>
    </row>
    <row r="1724" spans="1:16" x14ac:dyDescent="0.35">
      <c r="A1724">
        <v>93827212647</v>
      </c>
      <c r="C1724" s="2" t="s">
        <v>883</v>
      </c>
      <c r="D1724">
        <v>2</v>
      </c>
      <c r="E1724">
        <v>76891213275</v>
      </c>
      <c r="F1724">
        <f t="shared" ca="1" si="52"/>
        <v>97</v>
      </c>
      <c r="G1724">
        <f ca="1">VLOOKUP(E1724,PurchItem!$A$2:$H$508,8,0)</f>
        <v>2363.1921713388774</v>
      </c>
      <c r="H1724">
        <v>0.04</v>
      </c>
      <c r="I1724" t="s">
        <v>244</v>
      </c>
      <c r="M1724">
        <f t="shared" si="53"/>
        <v>10029727877</v>
      </c>
      <c r="N1724">
        <f ca="1">IF(M1724&lt;&gt;M1723,INDEX(CustInfo!$A$2:$A$1001,RANDBETWEEN(1,1000)),N1723)</f>
        <v>11529</v>
      </c>
      <c r="O1724" t="s">
        <v>1003</v>
      </c>
      <c r="P1724">
        <v>52937858</v>
      </c>
    </row>
    <row r="1725" spans="1:16" x14ac:dyDescent="0.35">
      <c r="A1725">
        <v>93827212647</v>
      </c>
      <c r="C1725" s="2" t="s">
        <v>883</v>
      </c>
      <c r="D1725">
        <v>3</v>
      </c>
      <c r="E1725">
        <v>76891213271</v>
      </c>
      <c r="F1725">
        <f t="shared" ca="1" si="52"/>
        <v>25</v>
      </c>
      <c r="G1725">
        <f ca="1">VLOOKUP(E1725,PurchItem!$A$2:$H$508,8,0)</f>
        <v>2763.8336375941471</v>
      </c>
      <c r="H1725">
        <v>0.04</v>
      </c>
      <c r="I1725" t="s">
        <v>244</v>
      </c>
      <c r="M1725">
        <f t="shared" si="53"/>
        <v>10029727877</v>
      </c>
      <c r="N1725">
        <f ca="1">IF(M1725&lt;&gt;M1724,INDEX(CustInfo!$A$2:$A$1001,RANDBETWEEN(1,1000)),N1724)</f>
        <v>11529</v>
      </c>
      <c r="O1725" t="s">
        <v>1003</v>
      </c>
      <c r="P1725">
        <v>52937859</v>
      </c>
    </row>
    <row r="1726" spans="1:16" x14ac:dyDescent="0.35">
      <c r="A1726">
        <v>93827212647</v>
      </c>
      <c r="C1726" s="2" t="s">
        <v>883</v>
      </c>
      <c r="D1726">
        <v>4</v>
      </c>
      <c r="E1726">
        <v>76891213385</v>
      </c>
      <c r="F1726">
        <f t="shared" ca="1" si="52"/>
        <v>47</v>
      </c>
      <c r="G1726">
        <f ca="1">VLOOKUP(E1726,PurchItem!$A$2:$H$508,8,0)</f>
        <v>6325.6133263002412</v>
      </c>
      <c r="H1726">
        <v>0.06</v>
      </c>
      <c r="I1726" t="s">
        <v>244</v>
      </c>
      <c r="M1726">
        <f t="shared" si="53"/>
        <v>10029727877</v>
      </c>
      <c r="N1726">
        <f ca="1">IF(M1726&lt;&gt;M1725,INDEX(CustInfo!$A$2:$A$1001,RANDBETWEEN(1,1000)),N1725)</f>
        <v>11529</v>
      </c>
      <c r="O1726" t="s">
        <v>1003</v>
      </c>
      <c r="P1726">
        <v>52937860</v>
      </c>
    </row>
    <row r="1727" spans="1:16" x14ac:dyDescent="0.35">
      <c r="A1727">
        <v>93827212648</v>
      </c>
      <c r="C1727" s="2" t="s">
        <v>883</v>
      </c>
      <c r="D1727">
        <v>1</v>
      </c>
      <c r="E1727">
        <v>76891213512</v>
      </c>
      <c r="F1727">
        <f t="shared" ca="1" si="52"/>
        <v>13</v>
      </c>
      <c r="G1727">
        <f ca="1">VLOOKUP(E1727,PurchItem!$A$2:$H$508,8,0)</f>
        <v>9875.6826871447392</v>
      </c>
      <c r="H1727">
        <v>0.05</v>
      </c>
      <c r="I1727" t="s">
        <v>244</v>
      </c>
      <c r="M1727">
        <f t="shared" si="53"/>
        <v>10029727878</v>
      </c>
      <c r="N1727">
        <f ca="1">IF(M1727&lt;&gt;M1726,INDEX(CustInfo!$A$2:$A$1001,RANDBETWEEN(1,1000)),N1726)</f>
        <v>11390</v>
      </c>
      <c r="O1727" t="s">
        <v>1002</v>
      </c>
      <c r="P1727">
        <v>52937861</v>
      </c>
    </row>
    <row r="1728" spans="1:16" x14ac:dyDescent="0.35">
      <c r="A1728">
        <v>93827212649</v>
      </c>
      <c r="C1728" s="2" t="s">
        <v>883</v>
      </c>
      <c r="D1728">
        <v>1</v>
      </c>
      <c r="E1728">
        <v>76891213346</v>
      </c>
      <c r="F1728">
        <f t="shared" ca="1" si="52"/>
        <v>47</v>
      </c>
      <c r="G1728">
        <f ca="1">VLOOKUP(E1728,PurchItem!$A$2:$H$508,8,0)</f>
        <v>7319.6019842468886</v>
      </c>
      <c r="H1728">
        <v>0.06</v>
      </c>
      <c r="I1728" t="s">
        <v>244</v>
      </c>
      <c r="M1728">
        <f t="shared" si="53"/>
        <v>10029727879</v>
      </c>
      <c r="N1728">
        <f ca="1">IF(M1728&lt;&gt;M1727,INDEX(CustInfo!$A$2:$A$1001,RANDBETWEEN(1,1000)),N1727)</f>
        <v>11764</v>
      </c>
      <c r="O1728" t="s">
        <v>1001</v>
      </c>
      <c r="P1728">
        <v>52937862</v>
      </c>
    </row>
    <row r="1729" spans="1:16" x14ac:dyDescent="0.35">
      <c r="A1729">
        <v>93827212649</v>
      </c>
      <c r="C1729" s="2" t="s">
        <v>883</v>
      </c>
      <c r="D1729">
        <v>2</v>
      </c>
      <c r="E1729">
        <v>76891213393</v>
      </c>
      <c r="F1729">
        <f t="shared" ca="1" si="52"/>
        <v>64</v>
      </c>
      <c r="G1729">
        <f ca="1">VLOOKUP(E1729,PurchItem!$A$2:$H$508,8,0)</f>
        <v>1578.8037302555053</v>
      </c>
      <c r="H1729">
        <v>0.06</v>
      </c>
      <c r="I1729" t="s">
        <v>244</v>
      </c>
      <c r="M1729">
        <f t="shared" si="53"/>
        <v>10029727879</v>
      </c>
      <c r="N1729">
        <f ca="1">IF(M1729&lt;&gt;M1728,INDEX(CustInfo!$A$2:$A$1001,RANDBETWEEN(1,1000)),N1728)</f>
        <v>11764</v>
      </c>
      <c r="O1729" t="s">
        <v>1001</v>
      </c>
      <c r="P1729">
        <v>52937863</v>
      </c>
    </row>
    <row r="1730" spans="1:16" x14ac:dyDescent="0.35">
      <c r="A1730">
        <v>93827212650</v>
      </c>
      <c r="C1730" s="2" t="s">
        <v>883</v>
      </c>
      <c r="D1730">
        <v>1</v>
      </c>
      <c r="E1730">
        <v>76891213511</v>
      </c>
      <c r="F1730">
        <f t="shared" ca="1" si="52"/>
        <v>42</v>
      </c>
      <c r="G1730">
        <f ca="1">VLOOKUP(E1730,PurchItem!$A$2:$H$508,8,0)</f>
        <v>6497.3010263499036</v>
      </c>
      <c r="H1730">
        <v>0.05</v>
      </c>
      <c r="I1730" t="s">
        <v>244</v>
      </c>
      <c r="M1730">
        <f t="shared" si="53"/>
        <v>10029727880</v>
      </c>
      <c r="N1730">
        <f ca="1">IF(M1730&lt;&gt;M1729,INDEX(CustInfo!$A$2:$A$1001,RANDBETWEEN(1,1000)),N1729)</f>
        <v>11057</v>
      </c>
      <c r="O1730" t="s">
        <v>1002</v>
      </c>
      <c r="P1730">
        <v>52937864</v>
      </c>
    </row>
    <row r="1731" spans="1:16" x14ac:dyDescent="0.35">
      <c r="A1731">
        <v>93827212650</v>
      </c>
      <c r="C1731" s="2" t="s">
        <v>883</v>
      </c>
      <c r="D1731">
        <v>2</v>
      </c>
      <c r="E1731">
        <v>76891213146</v>
      </c>
      <c r="F1731">
        <f t="shared" ref="F1731:F1794" ca="1" si="54">RANDBETWEEN(1,100)</f>
        <v>17</v>
      </c>
      <c r="G1731">
        <f ca="1">VLOOKUP(E1731,PurchItem!$A$2:$H$508,8,0)</f>
        <v>5461.8260857472496</v>
      </c>
      <c r="H1731">
        <v>0.05</v>
      </c>
      <c r="I1731" t="s">
        <v>244</v>
      </c>
      <c r="M1731">
        <f t="shared" si="53"/>
        <v>10029727880</v>
      </c>
      <c r="N1731">
        <f ca="1">IF(M1731&lt;&gt;M1730,INDEX(CustInfo!$A$2:$A$1001,RANDBETWEEN(1,1000)),N1730)</f>
        <v>11057</v>
      </c>
      <c r="O1731" t="s">
        <v>1002</v>
      </c>
      <c r="P1731">
        <v>52937865</v>
      </c>
    </row>
    <row r="1732" spans="1:16" x14ac:dyDescent="0.35">
      <c r="A1732">
        <v>93827212651</v>
      </c>
      <c r="C1732" s="2" t="s">
        <v>883</v>
      </c>
      <c r="D1732">
        <v>1</v>
      </c>
      <c r="E1732">
        <v>76891213497</v>
      </c>
      <c r="F1732">
        <f t="shared" ca="1" si="54"/>
        <v>57</v>
      </c>
      <c r="G1732">
        <f ca="1">VLOOKUP(E1732,PurchItem!$A$2:$H$508,8,0)</f>
        <v>4357.8229058400011</v>
      </c>
      <c r="H1732">
        <v>0.04</v>
      </c>
      <c r="I1732" t="s">
        <v>244</v>
      </c>
      <c r="M1732">
        <f t="shared" si="53"/>
        <v>10029727881</v>
      </c>
      <c r="N1732">
        <f ca="1">IF(M1732&lt;&gt;M1731,INDEX(CustInfo!$A$2:$A$1001,RANDBETWEEN(1,1000)),N1731)</f>
        <v>11600</v>
      </c>
      <c r="O1732" t="s">
        <v>1003</v>
      </c>
      <c r="P1732">
        <v>52937866</v>
      </c>
    </row>
    <row r="1733" spans="1:16" x14ac:dyDescent="0.35">
      <c r="A1733">
        <v>93827212651</v>
      </c>
      <c r="C1733" s="2" t="s">
        <v>883</v>
      </c>
      <c r="D1733">
        <v>2</v>
      </c>
      <c r="E1733">
        <v>76891213238</v>
      </c>
      <c r="F1733">
        <f t="shared" ca="1" si="54"/>
        <v>39</v>
      </c>
      <c r="G1733">
        <f ca="1">VLOOKUP(E1733,PurchItem!$A$2:$H$508,8,0)</f>
        <v>1532.7056343143986</v>
      </c>
      <c r="H1733">
        <v>0.06</v>
      </c>
      <c r="I1733" t="s">
        <v>244</v>
      </c>
      <c r="M1733">
        <f t="shared" ref="M1733:M1796" si="55">IF(A1733&lt;&gt;A1732,M1732+1,M1732)</f>
        <v>10029727881</v>
      </c>
      <c r="N1733">
        <f ca="1">IF(M1733&lt;&gt;M1732,INDEX(CustInfo!$A$2:$A$1001,RANDBETWEEN(1,1000)),N1732)</f>
        <v>11600</v>
      </c>
      <c r="O1733" t="s">
        <v>1003</v>
      </c>
      <c r="P1733">
        <v>52937867</v>
      </c>
    </row>
    <row r="1734" spans="1:16" x14ac:dyDescent="0.35">
      <c r="A1734">
        <v>93827212651</v>
      </c>
      <c r="C1734" s="2" t="s">
        <v>883</v>
      </c>
      <c r="D1734">
        <v>3</v>
      </c>
      <c r="E1734">
        <v>76891213510</v>
      </c>
      <c r="F1734">
        <f t="shared" ca="1" si="54"/>
        <v>79</v>
      </c>
      <c r="G1734">
        <f ca="1">VLOOKUP(E1734,PurchItem!$A$2:$H$508,8,0)</f>
        <v>838.06469872887874</v>
      </c>
      <c r="H1734">
        <v>0.04</v>
      </c>
      <c r="I1734" t="s">
        <v>244</v>
      </c>
      <c r="M1734">
        <f t="shared" si="55"/>
        <v>10029727881</v>
      </c>
      <c r="N1734">
        <f ca="1">IF(M1734&lt;&gt;M1733,INDEX(CustInfo!$A$2:$A$1001,RANDBETWEEN(1,1000)),N1733)</f>
        <v>11600</v>
      </c>
      <c r="O1734" t="s">
        <v>1003</v>
      </c>
      <c r="P1734">
        <v>52937868</v>
      </c>
    </row>
    <row r="1735" spans="1:16" x14ac:dyDescent="0.35">
      <c r="A1735">
        <v>93827212652</v>
      </c>
      <c r="C1735" s="2" t="s">
        <v>883</v>
      </c>
      <c r="D1735">
        <v>1</v>
      </c>
      <c r="E1735">
        <v>76891213508</v>
      </c>
      <c r="F1735">
        <f t="shared" ca="1" si="54"/>
        <v>78</v>
      </c>
      <c r="G1735">
        <f ca="1">VLOOKUP(E1735,PurchItem!$A$2:$H$508,8,0)</f>
        <v>3400.3105805686268</v>
      </c>
      <c r="H1735">
        <v>0.04</v>
      </c>
      <c r="I1735" t="s">
        <v>244</v>
      </c>
      <c r="M1735">
        <f t="shared" si="55"/>
        <v>10029727882</v>
      </c>
      <c r="N1735">
        <f ca="1">IF(M1735&lt;&gt;M1734,INDEX(CustInfo!$A$2:$A$1001,RANDBETWEEN(1,1000)),N1734)</f>
        <v>11162</v>
      </c>
      <c r="O1735" t="s">
        <v>1001</v>
      </c>
      <c r="P1735">
        <v>52937869</v>
      </c>
    </row>
    <row r="1736" spans="1:16" x14ac:dyDescent="0.35">
      <c r="A1736">
        <v>93827212653</v>
      </c>
      <c r="C1736" s="2" t="s">
        <v>883</v>
      </c>
      <c r="D1736">
        <v>1</v>
      </c>
      <c r="E1736">
        <v>76891213192</v>
      </c>
      <c r="F1736">
        <f t="shared" ca="1" si="54"/>
        <v>66</v>
      </c>
      <c r="G1736">
        <f ca="1">VLOOKUP(E1736,PurchItem!$A$2:$H$508,8,0)</f>
        <v>6234.1103190362737</v>
      </c>
      <c r="H1736">
        <v>0.05</v>
      </c>
      <c r="I1736" t="s">
        <v>244</v>
      </c>
      <c r="M1736">
        <f t="shared" si="55"/>
        <v>10029727883</v>
      </c>
      <c r="N1736">
        <f ca="1">IF(M1736&lt;&gt;M1735,INDEX(CustInfo!$A$2:$A$1001,RANDBETWEEN(1,1000)),N1735)</f>
        <v>11549</v>
      </c>
      <c r="O1736" t="s">
        <v>1001</v>
      </c>
      <c r="P1736">
        <v>52937870</v>
      </c>
    </row>
    <row r="1737" spans="1:16" x14ac:dyDescent="0.35">
      <c r="A1737">
        <v>93827212653</v>
      </c>
      <c r="C1737" s="2" t="s">
        <v>883</v>
      </c>
      <c r="D1737">
        <v>2</v>
      </c>
      <c r="E1737">
        <v>76891213526</v>
      </c>
      <c r="F1737">
        <f t="shared" ca="1" si="54"/>
        <v>60</v>
      </c>
      <c r="G1737">
        <f ca="1">VLOOKUP(E1737,PurchItem!$A$2:$H$508,8,0)</f>
        <v>8212.8049543445304</v>
      </c>
      <c r="H1737">
        <v>0.06</v>
      </c>
      <c r="I1737" t="s">
        <v>244</v>
      </c>
      <c r="M1737">
        <f t="shared" si="55"/>
        <v>10029727883</v>
      </c>
      <c r="N1737">
        <f ca="1">IF(M1737&lt;&gt;M1736,INDEX(CustInfo!$A$2:$A$1001,RANDBETWEEN(1,1000)),N1736)</f>
        <v>11549</v>
      </c>
      <c r="O1737" t="s">
        <v>1001</v>
      </c>
      <c r="P1737">
        <v>52937871</v>
      </c>
    </row>
    <row r="1738" spans="1:16" x14ac:dyDescent="0.35">
      <c r="A1738">
        <v>93827212653</v>
      </c>
      <c r="C1738" s="2" t="s">
        <v>883</v>
      </c>
      <c r="D1738">
        <v>3</v>
      </c>
      <c r="E1738">
        <v>76891213191</v>
      </c>
      <c r="F1738">
        <f t="shared" ca="1" si="54"/>
        <v>61</v>
      </c>
      <c r="G1738">
        <f ca="1">VLOOKUP(E1738,PurchItem!$A$2:$H$508,8,0)</f>
        <v>6690.2041643424755</v>
      </c>
      <c r="H1738">
        <v>0.05</v>
      </c>
      <c r="I1738" t="s">
        <v>244</v>
      </c>
      <c r="M1738">
        <f t="shared" si="55"/>
        <v>10029727883</v>
      </c>
      <c r="N1738">
        <f ca="1">IF(M1738&lt;&gt;M1737,INDEX(CustInfo!$A$2:$A$1001,RANDBETWEEN(1,1000)),N1737)</f>
        <v>11549</v>
      </c>
      <c r="O1738" t="s">
        <v>1001</v>
      </c>
      <c r="P1738">
        <v>52937872</v>
      </c>
    </row>
    <row r="1739" spans="1:16" x14ac:dyDescent="0.35">
      <c r="A1739">
        <v>93827212653</v>
      </c>
      <c r="C1739" s="2" t="s">
        <v>883</v>
      </c>
      <c r="D1739">
        <v>4</v>
      </c>
      <c r="E1739">
        <v>76891213633</v>
      </c>
      <c r="F1739">
        <f t="shared" ca="1" si="54"/>
        <v>98</v>
      </c>
      <c r="G1739">
        <f ca="1">VLOOKUP(E1739,PurchItem!$A$2:$H$508,8,0)</f>
        <v>4821.8382192090185</v>
      </c>
      <c r="H1739">
        <v>0.05</v>
      </c>
      <c r="I1739" t="s">
        <v>244</v>
      </c>
      <c r="M1739">
        <f t="shared" si="55"/>
        <v>10029727883</v>
      </c>
      <c r="N1739">
        <f ca="1">IF(M1739&lt;&gt;M1738,INDEX(CustInfo!$A$2:$A$1001,RANDBETWEEN(1,1000)),N1738)</f>
        <v>11549</v>
      </c>
      <c r="O1739" t="s">
        <v>1001</v>
      </c>
      <c r="P1739">
        <v>52937873</v>
      </c>
    </row>
    <row r="1740" spans="1:16" x14ac:dyDescent="0.35">
      <c r="A1740">
        <v>93827212654</v>
      </c>
      <c r="C1740" s="2" t="s">
        <v>883</v>
      </c>
      <c r="D1740">
        <v>1</v>
      </c>
      <c r="E1740">
        <v>76891213508</v>
      </c>
      <c r="F1740">
        <f t="shared" ca="1" si="54"/>
        <v>64</v>
      </c>
      <c r="G1740">
        <f ca="1">VLOOKUP(E1740,PurchItem!$A$2:$H$508,8,0)</f>
        <v>3400.3105805686268</v>
      </c>
      <c r="H1740">
        <v>0.05</v>
      </c>
      <c r="I1740" t="s">
        <v>244</v>
      </c>
      <c r="M1740">
        <f t="shared" si="55"/>
        <v>10029727884</v>
      </c>
      <c r="N1740">
        <f ca="1">IF(M1740&lt;&gt;M1739,INDEX(CustInfo!$A$2:$A$1001,RANDBETWEEN(1,1000)),N1739)</f>
        <v>11182</v>
      </c>
      <c r="O1740" t="s">
        <v>1002</v>
      </c>
      <c r="P1740">
        <v>52937874</v>
      </c>
    </row>
    <row r="1741" spans="1:16" x14ac:dyDescent="0.35">
      <c r="A1741">
        <v>93827212654</v>
      </c>
      <c r="C1741" s="2" t="s">
        <v>883</v>
      </c>
      <c r="D1741">
        <v>2</v>
      </c>
      <c r="E1741">
        <v>76891213169</v>
      </c>
      <c r="F1741">
        <f t="shared" ca="1" si="54"/>
        <v>4</v>
      </c>
      <c r="G1741">
        <f ca="1">VLOOKUP(E1741,PurchItem!$A$2:$H$508,8,0)</f>
        <v>1750.9223085517885</v>
      </c>
      <c r="H1741">
        <v>0.05</v>
      </c>
      <c r="I1741" t="s">
        <v>244</v>
      </c>
      <c r="M1741">
        <f t="shared" si="55"/>
        <v>10029727884</v>
      </c>
      <c r="N1741">
        <f ca="1">IF(M1741&lt;&gt;M1740,INDEX(CustInfo!$A$2:$A$1001,RANDBETWEEN(1,1000)),N1740)</f>
        <v>11182</v>
      </c>
      <c r="O1741" t="s">
        <v>1002</v>
      </c>
      <c r="P1741">
        <v>52937875</v>
      </c>
    </row>
    <row r="1742" spans="1:16" x14ac:dyDescent="0.35">
      <c r="A1742">
        <v>93827212654</v>
      </c>
      <c r="C1742" s="2" t="s">
        <v>883</v>
      </c>
      <c r="D1742">
        <v>3</v>
      </c>
      <c r="E1742">
        <v>76891213423</v>
      </c>
      <c r="F1742">
        <f t="shared" ca="1" si="54"/>
        <v>54</v>
      </c>
      <c r="G1742">
        <f ca="1">VLOOKUP(E1742,PurchItem!$A$2:$H$508,8,0)</f>
        <v>1141.5267093600655</v>
      </c>
      <c r="H1742">
        <v>0.04</v>
      </c>
      <c r="I1742" t="s">
        <v>244</v>
      </c>
      <c r="M1742">
        <f t="shared" si="55"/>
        <v>10029727884</v>
      </c>
      <c r="N1742">
        <f ca="1">IF(M1742&lt;&gt;M1741,INDEX(CustInfo!$A$2:$A$1001,RANDBETWEEN(1,1000)),N1741)</f>
        <v>11182</v>
      </c>
      <c r="O1742" t="s">
        <v>1002</v>
      </c>
      <c r="P1742">
        <v>52937876</v>
      </c>
    </row>
    <row r="1743" spans="1:16" x14ac:dyDescent="0.35">
      <c r="A1743">
        <v>93827212654</v>
      </c>
      <c r="C1743" s="2" t="s">
        <v>883</v>
      </c>
      <c r="D1743">
        <v>4</v>
      </c>
      <c r="E1743">
        <v>76891213589</v>
      </c>
      <c r="F1743">
        <f t="shared" ca="1" si="54"/>
        <v>63</v>
      </c>
      <c r="G1743">
        <f ca="1">VLOOKUP(E1743,PurchItem!$A$2:$H$508,8,0)</f>
        <v>3128.167531064591</v>
      </c>
      <c r="H1743">
        <v>0.06</v>
      </c>
      <c r="I1743" t="s">
        <v>244</v>
      </c>
      <c r="M1743">
        <f t="shared" si="55"/>
        <v>10029727884</v>
      </c>
      <c r="N1743">
        <f ca="1">IF(M1743&lt;&gt;M1742,INDEX(CustInfo!$A$2:$A$1001,RANDBETWEEN(1,1000)),N1742)</f>
        <v>11182</v>
      </c>
      <c r="O1743" t="s">
        <v>1002</v>
      </c>
      <c r="P1743">
        <v>52937877</v>
      </c>
    </row>
    <row r="1744" spans="1:16" x14ac:dyDescent="0.35">
      <c r="A1744">
        <v>93827212655</v>
      </c>
      <c r="C1744" s="2" t="s">
        <v>883</v>
      </c>
      <c r="D1744">
        <v>1</v>
      </c>
      <c r="E1744">
        <v>76891213574</v>
      </c>
      <c r="F1744">
        <f t="shared" ca="1" si="54"/>
        <v>99</v>
      </c>
      <c r="G1744">
        <f ca="1">VLOOKUP(E1744,PurchItem!$A$2:$H$508,8,0)</f>
        <v>464.77139842259504</v>
      </c>
      <c r="H1744">
        <v>0.04</v>
      </c>
      <c r="I1744" t="s">
        <v>244</v>
      </c>
      <c r="M1744">
        <f t="shared" si="55"/>
        <v>10029727885</v>
      </c>
      <c r="N1744">
        <f ca="1">IF(M1744&lt;&gt;M1743,INDEX(CustInfo!$A$2:$A$1001,RANDBETWEEN(1,1000)),N1743)</f>
        <v>11859</v>
      </c>
      <c r="O1744" t="s">
        <v>1001</v>
      </c>
      <c r="P1744">
        <v>52937878</v>
      </c>
    </row>
    <row r="1745" spans="1:16" x14ac:dyDescent="0.35">
      <c r="A1745">
        <v>93827212655</v>
      </c>
      <c r="C1745" s="2" t="s">
        <v>883</v>
      </c>
      <c r="D1745">
        <v>2</v>
      </c>
      <c r="E1745">
        <v>76891213167</v>
      </c>
      <c r="F1745">
        <f t="shared" ca="1" si="54"/>
        <v>9</v>
      </c>
      <c r="G1745">
        <f ca="1">VLOOKUP(E1745,PurchItem!$A$2:$H$508,8,0)</f>
        <v>6078.0406975240512</v>
      </c>
      <c r="H1745">
        <v>0.04</v>
      </c>
      <c r="I1745" t="s">
        <v>244</v>
      </c>
      <c r="M1745">
        <f t="shared" si="55"/>
        <v>10029727885</v>
      </c>
      <c r="N1745">
        <f ca="1">IF(M1745&lt;&gt;M1744,INDEX(CustInfo!$A$2:$A$1001,RANDBETWEEN(1,1000)),N1744)</f>
        <v>11859</v>
      </c>
      <c r="O1745" t="s">
        <v>1001</v>
      </c>
      <c r="P1745">
        <v>52937879</v>
      </c>
    </row>
    <row r="1746" spans="1:16" x14ac:dyDescent="0.35">
      <c r="A1746">
        <v>93827212656</v>
      </c>
      <c r="C1746" s="2" t="s">
        <v>883</v>
      </c>
      <c r="D1746">
        <v>1</v>
      </c>
      <c r="E1746">
        <v>76891213497</v>
      </c>
      <c r="F1746">
        <f t="shared" ca="1" si="54"/>
        <v>32</v>
      </c>
      <c r="G1746">
        <f ca="1">VLOOKUP(E1746,PurchItem!$A$2:$H$508,8,0)</f>
        <v>4357.8229058400011</v>
      </c>
      <c r="H1746">
        <v>0.04</v>
      </c>
      <c r="I1746" t="s">
        <v>244</v>
      </c>
      <c r="M1746">
        <f t="shared" si="55"/>
        <v>10029727886</v>
      </c>
      <c r="N1746">
        <f ca="1">IF(M1746&lt;&gt;M1745,INDEX(CustInfo!$A$2:$A$1001,RANDBETWEEN(1,1000)),N1745)</f>
        <v>11694</v>
      </c>
      <c r="O1746" t="s">
        <v>1001</v>
      </c>
      <c r="P1746">
        <v>52937880</v>
      </c>
    </row>
    <row r="1747" spans="1:16" x14ac:dyDescent="0.35">
      <c r="A1747">
        <v>93827212656</v>
      </c>
      <c r="C1747" s="2" t="s">
        <v>883</v>
      </c>
      <c r="D1747">
        <v>2</v>
      </c>
      <c r="E1747">
        <v>76891213273</v>
      </c>
      <c r="F1747">
        <f t="shared" ca="1" si="54"/>
        <v>49</v>
      </c>
      <c r="G1747">
        <f ca="1">VLOOKUP(E1747,PurchItem!$A$2:$H$508,8,0)</f>
        <v>3906.5910334641267</v>
      </c>
      <c r="H1747">
        <v>0.06</v>
      </c>
      <c r="I1747" t="s">
        <v>244</v>
      </c>
      <c r="M1747">
        <f t="shared" si="55"/>
        <v>10029727886</v>
      </c>
      <c r="N1747">
        <f ca="1">IF(M1747&lt;&gt;M1746,INDEX(CustInfo!$A$2:$A$1001,RANDBETWEEN(1,1000)),N1746)</f>
        <v>11694</v>
      </c>
      <c r="O1747" t="s">
        <v>1001</v>
      </c>
      <c r="P1747">
        <v>52937881</v>
      </c>
    </row>
    <row r="1748" spans="1:16" x14ac:dyDescent="0.35">
      <c r="A1748">
        <v>93827212656</v>
      </c>
      <c r="C1748" s="2" t="s">
        <v>883</v>
      </c>
      <c r="D1748">
        <v>3</v>
      </c>
      <c r="E1748">
        <v>76891213612</v>
      </c>
      <c r="F1748">
        <f t="shared" ca="1" si="54"/>
        <v>83</v>
      </c>
      <c r="G1748">
        <f ca="1">VLOOKUP(E1748,PurchItem!$A$2:$H$508,8,0)</f>
        <v>7526.7928414753633</v>
      </c>
      <c r="H1748">
        <v>0.04</v>
      </c>
      <c r="I1748" t="s">
        <v>244</v>
      </c>
      <c r="M1748">
        <f t="shared" si="55"/>
        <v>10029727886</v>
      </c>
      <c r="N1748">
        <f ca="1">IF(M1748&lt;&gt;M1747,INDEX(CustInfo!$A$2:$A$1001,RANDBETWEEN(1,1000)),N1747)</f>
        <v>11694</v>
      </c>
      <c r="O1748" t="s">
        <v>1001</v>
      </c>
      <c r="P1748">
        <v>52937882</v>
      </c>
    </row>
    <row r="1749" spans="1:16" x14ac:dyDescent="0.35">
      <c r="A1749">
        <v>93827212657</v>
      </c>
      <c r="C1749" s="2" t="s">
        <v>883</v>
      </c>
      <c r="D1749">
        <v>1</v>
      </c>
      <c r="E1749">
        <v>76891213254</v>
      </c>
      <c r="F1749">
        <f t="shared" ca="1" si="54"/>
        <v>78</v>
      </c>
      <c r="G1749">
        <f ca="1">VLOOKUP(E1749,PurchItem!$A$2:$H$508,8,0)</f>
        <v>8238.8569065705833</v>
      </c>
      <c r="H1749">
        <v>0.05</v>
      </c>
      <c r="I1749" t="s">
        <v>244</v>
      </c>
      <c r="M1749">
        <f t="shared" si="55"/>
        <v>10029727887</v>
      </c>
      <c r="N1749">
        <f ca="1">IF(M1749&lt;&gt;M1748,INDEX(CustInfo!$A$2:$A$1001,RANDBETWEEN(1,1000)),N1748)</f>
        <v>11019</v>
      </c>
      <c r="O1749" t="s">
        <v>1001</v>
      </c>
      <c r="P1749">
        <v>52937883</v>
      </c>
    </row>
    <row r="1750" spans="1:16" x14ac:dyDescent="0.35">
      <c r="A1750">
        <v>93827212657</v>
      </c>
      <c r="C1750" s="2" t="s">
        <v>883</v>
      </c>
      <c r="D1750">
        <v>2</v>
      </c>
      <c r="E1750">
        <v>76891213305</v>
      </c>
      <c r="F1750">
        <f t="shared" ca="1" si="54"/>
        <v>77</v>
      </c>
      <c r="G1750">
        <f ca="1">VLOOKUP(E1750,PurchItem!$A$2:$H$508,8,0)</f>
        <v>7454.0016740690317</v>
      </c>
      <c r="H1750">
        <v>0.06</v>
      </c>
      <c r="I1750" t="s">
        <v>244</v>
      </c>
      <c r="M1750">
        <f t="shared" si="55"/>
        <v>10029727887</v>
      </c>
      <c r="N1750">
        <f ca="1">IF(M1750&lt;&gt;M1749,INDEX(CustInfo!$A$2:$A$1001,RANDBETWEEN(1,1000)),N1749)</f>
        <v>11019</v>
      </c>
      <c r="O1750" t="s">
        <v>1001</v>
      </c>
      <c r="P1750">
        <v>52937884</v>
      </c>
    </row>
    <row r="1751" spans="1:16" x14ac:dyDescent="0.35">
      <c r="A1751">
        <v>93827212657</v>
      </c>
      <c r="C1751" s="2" t="s">
        <v>883</v>
      </c>
      <c r="D1751">
        <v>3</v>
      </c>
      <c r="E1751">
        <v>76891213605</v>
      </c>
      <c r="F1751">
        <f t="shared" ca="1" si="54"/>
        <v>95</v>
      </c>
      <c r="G1751">
        <f ca="1">VLOOKUP(E1751,PurchItem!$A$2:$H$508,8,0)</f>
        <v>4769.9072072228973</v>
      </c>
      <c r="H1751">
        <v>0.06</v>
      </c>
      <c r="I1751" t="s">
        <v>244</v>
      </c>
      <c r="M1751">
        <f t="shared" si="55"/>
        <v>10029727887</v>
      </c>
      <c r="N1751">
        <f ca="1">IF(M1751&lt;&gt;M1750,INDEX(CustInfo!$A$2:$A$1001,RANDBETWEEN(1,1000)),N1750)</f>
        <v>11019</v>
      </c>
      <c r="O1751" t="s">
        <v>1001</v>
      </c>
      <c r="P1751">
        <v>52937885</v>
      </c>
    </row>
    <row r="1752" spans="1:16" x14ac:dyDescent="0.35">
      <c r="A1752">
        <v>93827212658</v>
      </c>
      <c r="C1752" s="2" t="s">
        <v>883</v>
      </c>
      <c r="D1752">
        <v>1</v>
      </c>
      <c r="E1752">
        <v>76891213549</v>
      </c>
      <c r="F1752">
        <f t="shared" ca="1" si="54"/>
        <v>28</v>
      </c>
      <c r="G1752">
        <f ca="1">VLOOKUP(E1752,PurchItem!$A$2:$H$508,8,0)</f>
        <v>5727.7008118950862</v>
      </c>
      <c r="H1752">
        <v>0.04</v>
      </c>
      <c r="I1752" t="s">
        <v>244</v>
      </c>
      <c r="M1752">
        <f t="shared" si="55"/>
        <v>10029727888</v>
      </c>
      <c r="N1752">
        <f ca="1">IF(M1752&lt;&gt;M1751,INDEX(CustInfo!$A$2:$A$1001,RANDBETWEEN(1,1000)),N1751)</f>
        <v>11283</v>
      </c>
      <c r="O1752" t="s">
        <v>1003</v>
      </c>
      <c r="P1752">
        <v>52937886</v>
      </c>
    </row>
    <row r="1753" spans="1:16" x14ac:dyDescent="0.35">
      <c r="A1753">
        <v>93827212659</v>
      </c>
      <c r="C1753" s="2" t="s">
        <v>883</v>
      </c>
      <c r="D1753">
        <v>1</v>
      </c>
      <c r="E1753">
        <v>76891213245</v>
      </c>
      <c r="F1753">
        <f t="shared" ca="1" si="54"/>
        <v>36</v>
      </c>
      <c r="G1753">
        <f ca="1">VLOOKUP(E1753,PurchItem!$A$2:$H$508,8,0)</f>
        <v>4529.342003374114</v>
      </c>
      <c r="H1753">
        <v>0.06</v>
      </c>
      <c r="I1753" t="s">
        <v>244</v>
      </c>
      <c r="M1753">
        <f t="shared" si="55"/>
        <v>10029727889</v>
      </c>
      <c r="N1753">
        <f ca="1">IF(M1753&lt;&gt;M1752,INDEX(CustInfo!$A$2:$A$1001,RANDBETWEEN(1,1000)),N1752)</f>
        <v>11008</v>
      </c>
      <c r="O1753" t="s">
        <v>1001</v>
      </c>
      <c r="P1753">
        <v>52937887</v>
      </c>
    </row>
    <row r="1754" spans="1:16" x14ac:dyDescent="0.35">
      <c r="A1754">
        <v>93827212659</v>
      </c>
      <c r="C1754" s="2" t="s">
        <v>883</v>
      </c>
      <c r="D1754">
        <v>2</v>
      </c>
      <c r="E1754">
        <v>76891213366</v>
      </c>
      <c r="F1754">
        <f t="shared" ca="1" si="54"/>
        <v>1</v>
      </c>
      <c r="G1754">
        <f ca="1">VLOOKUP(E1754,PurchItem!$A$2:$H$508,8,0)</f>
        <v>2775.3275183824289</v>
      </c>
      <c r="H1754">
        <v>0.06</v>
      </c>
      <c r="I1754" t="s">
        <v>244</v>
      </c>
      <c r="M1754">
        <f t="shared" si="55"/>
        <v>10029727889</v>
      </c>
      <c r="N1754">
        <f ca="1">IF(M1754&lt;&gt;M1753,INDEX(CustInfo!$A$2:$A$1001,RANDBETWEEN(1,1000)),N1753)</f>
        <v>11008</v>
      </c>
      <c r="O1754" t="s">
        <v>1001</v>
      </c>
      <c r="P1754">
        <v>52937888</v>
      </c>
    </row>
    <row r="1755" spans="1:16" x14ac:dyDescent="0.35">
      <c r="A1755">
        <v>93827212659</v>
      </c>
      <c r="C1755" s="2" t="s">
        <v>883</v>
      </c>
      <c r="D1755">
        <v>3</v>
      </c>
      <c r="E1755">
        <v>76891213394</v>
      </c>
      <c r="F1755">
        <f t="shared" ca="1" si="54"/>
        <v>55</v>
      </c>
      <c r="G1755">
        <f ca="1">VLOOKUP(E1755,PurchItem!$A$2:$H$508,8,0)</f>
        <v>4295.2254967828821</v>
      </c>
      <c r="H1755">
        <v>0.06</v>
      </c>
      <c r="I1755" t="s">
        <v>244</v>
      </c>
      <c r="M1755">
        <f t="shared" si="55"/>
        <v>10029727889</v>
      </c>
      <c r="N1755">
        <f ca="1">IF(M1755&lt;&gt;M1754,INDEX(CustInfo!$A$2:$A$1001,RANDBETWEEN(1,1000)),N1754)</f>
        <v>11008</v>
      </c>
      <c r="O1755" t="s">
        <v>1001</v>
      </c>
      <c r="P1755">
        <v>52937889</v>
      </c>
    </row>
    <row r="1756" spans="1:16" x14ac:dyDescent="0.35">
      <c r="A1756">
        <v>93827212660</v>
      </c>
      <c r="C1756" s="2" t="s">
        <v>883</v>
      </c>
      <c r="D1756">
        <v>1</v>
      </c>
      <c r="E1756">
        <v>76891213557</v>
      </c>
      <c r="F1756">
        <f t="shared" ca="1" si="54"/>
        <v>3</v>
      </c>
      <c r="G1756">
        <f ca="1">VLOOKUP(E1756,PurchItem!$A$2:$H$508,8,0)</f>
        <v>942.60995441491764</v>
      </c>
      <c r="H1756">
        <v>0.06</v>
      </c>
      <c r="I1756" t="s">
        <v>244</v>
      </c>
      <c r="M1756">
        <f t="shared" si="55"/>
        <v>10029727890</v>
      </c>
      <c r="N1756">
        <f ca="1">IF(M1756&lt;&gt;M1755,INDEX(CustInfo!$A$2:$A$1001,RANDBETWEEN(1,1000)),N1755)</f>
        <v>11645</v>
      </c>
      <c r="O1756" t="s">
        <v>1002</v>
      </c>
      <c r="P1756">
        <v>52937890</v>
      </c>
    </row>
    <row r="1757" spans="1:16" x14ac:dyDescent="0.35">
      <c r="A1757">
        <v>93827212661</v>
      </c>
      <c r="C1757" s="2" t="s">
        <v>883</v>
      </c>
      <c r="D1757">
        <v>1</v>
      </c>
      <c r="E1757">
        <v>76891213506</v>
      </c>
      <c r="F1757">
        <f t="shared" ca="1" si="54"/>
        <v>96</v>
      </c>
      <c r="G1757">
        <f ca="1">VLOOKUP(E1757,PurchItem!$A$2:$H$508,8,0)</f>
        <v>6924.1684247755047</v>
      </c>
      <c r="H1757">
        <v>0.05</v>
      </c>
      <c r="I1757" t="s">
        <v>244</v>
      </c>
      <c r="M1757">
        <f t="shared" si="55"/>
        <v>10029727891</v>
      </c>
      <c r="N1757">
        <f ca="1">IF(M1757&lt;&gt;M1756,INDEX(CustInfo!$A$2:$A$1001,RANDBETWEEN(1,1000)),N1756)</f>
        <v>11907</v>
      </c>
      <c r="O1757" t="s">
        <v>1002</v>
      </c>
      <c r="P1757">
        <v>52937891</v>
      </c>
    </row>
    <row r="1758" spans="1:16" x14ac:dyDescent="0.35">
      <c r="A1758">
        <v>93827212661</v>
      </c>
      <c r="C1758" s="2" t="s">
        <v>883</v>
      </c>
      <c r="D1758">
        <v>2</v>
      </c>
      <c r="E1758">
        <v>76891213565</v>
      </c>
      <c r="F1758">
        <f t="shared" ca="1" si="54"/>
        <v>52</v>
      </c>
      <c r="G1758">
        <f ca="1">VLOOKUP(E1758,PurchItem!$A$2:$H$508,8,0)</f>
        <v>5060.9339224760633</v>
      </c>
      <c r="H1758">
        <v>0.04</v>
      </c>
      <c r="I1758" t="s">
        <v>244</v>
      </c>
      <c r="M1758">
        <f t="shared" si="55"/>
        <v>10029727891</v>
      </c>
      <c r="N1758">
        <f ca="1">IF(M1758&lt;&gt;M1757,INDEX(CustInfo!$A$2:$A$1001,RANDBETWEEN(1,1000)),N1757)</f>
        <v>11907</v>
      </c>
      <c r="O1758" t="s">
        <v>1002</v>
      </c>
      <c r="P1758">
        <v>52937892</v>
      </c>
    </row>
    <row r="1759" spans="1:16" x14ac:dyDescent="0.35">
      <c r="A1759">
        <v>93827212661</v>
      </c>
      <c r="C1759" s="2" t="s">
        <v>883</v>
      </c>
      <c r="D1759">
        <v>3</v>
      </c>
      <c r="E1759">
        <v>76891213283</v>
      </c>
      <c r="F1759">
        <f t="shared" ca="1" si="54"/>
        <v>22</v>
      </c>
      <c r="G1759">
        <f ca="1">VLOOKUP(E1759,PurchItem!$A$2:$H$508,8,0)</f>
        <v>871.93450976358122</v>
      </c>
      <c r="H1759">
        <v>0.04</v>
      </c>
      <c r="I1759" t="s">
        <v>244</v>
      </c>
      <c r="M1759">
        <f t="shared" si="55"/>
        <v>10029727891</v>
      </c>
      <c r="N1759">
        <f ca="1">IF(M1759&lt;&gt;M1758,INDEX(CustInfo!$A$2:$A$1001,RANDBETWEEN(1,1000)),N1758)</f>
        <v>11907</v>
      </c>
      <c r="O1759" t="s">
        <v>1002</v>
      </c>
      <c r="P1759">
        <v>52937893</v>
      </c>
    </row>
    <row r="1760" spans="1:16" x14ac:dyDescent="0.35">
      <c r="A1760">
        <v>93827212661</v>
      </c>
      <c r="C1760" s="2" t="s">
        <v>883</v>
      </c>
      <c r="D1760">
        <v>4</v>
      </c>
      <c r="E1760">
        <v>76891213207</v>
      </c>
      <c r="F1760">
        <f t="shared" ca="1" si="54"/>
        <v>92</v>
      </c>
      <c r="G1760">
        <f ca="1">VLOOKUP(E1760,PurchItem!$A$2:$H$508,8,0)</f>
        <v>7360.5773727524474</v>
      </c>
      <c r="H1760">
        <v>0.04</v>
      </c>
      <c r="I1760" t="s">
        <v>244</v>
      </c>
      <c r="M1760">
        <f t="shared" si="55"/>
        <v>10029727891</v>
      </c>
      <c r="N1760">
        <f ca="1">IF(M1760&lt;&gt;M1759,INDEX(CustInfo!$A$2:$A$1001,RANDBETWEEN(1,1000)),N1759)</f>
        <v>11907</v>
      </c>
      <c r="O1760" t="s">
        <v>1002</v>
      </c>
      <c r="P1760">
        <v>52937894</v>
      </c>
    </row>
    <row r="1761" spans="1:16" x14ac:dyDescent="0.35">
      <c r="A1761">
        <v>93827212662</v>
      </c>
      <c r="C1761" s="2" t="s">
        <v>883</v>
      </c>
      <c r="D1761">
        <v>1</v>
      </c>
      <c r="E1761">
        <v>76891213249</v>
      </c>
      <c r="F1761">
        <f t="shared" ca="1" si="54"/>
        <v>84</v>
      </c>
      <c r="G1761">
        <f ca="1">VLOOKUP(E1761,PurchItem!$A$2:$H$508,8,0)</f>
        <v>8086.2832587876792</v>
      </c>
      <c r="H1761">
        <v>0.04</v>
      </c>
      <c r="I1761" t="s">
        <v>244</v>
      </c>
      <c r="M1761">
        <f t="shared" si="55"/>
        <v>10029727892</v>
      </c>
      <c r="N1761">
        <f ca="1">IF(M1761&lt;&gt;M1760,INDEX(CustInfo!$A$2:$A$1001,RANDBETWEEN(1,1000)),N1760)</f>
        <v>11633</v>
      </c>
      <c r="O1761" t="s">
        <v>1003</v>
      </c>
      <c r="P1761">
        <v>52937895</v>
      </c>
    </row>
    <row r="1762" spans="1:16" x14ac:dyDescent="0.35">
      <c r="A1762">
        <v>93827212662</v>
      </c>
      <c r="C1762" s="2" t="s">
        <v>883</v>
      </c>
      <c r="D1762">
        <v>2</v>
      </c>
      <c r="E1762">
        <v>76891213247</v>
      </c>
      <c r="F1762">
        <f t="shared" ca="1" si="54"/>
        <v>59</v>
      </c>
      <c r="G1762">
        <f ca="1">VLOOKUP(E1762,PurchItem!$A$2:$H$508,8,0)</f>
        <v>6755.835133399748</v>
      </c>
      <c r="H1762">
        <v>0.05</v>
      </c>
      <c r="I1762" t="s">
        <v>244</v>
      </c>
      <c r="M1762">
        <f t="shared" si="55"/>
        <v>10029727892</v>
      </c>
      <c r="N1762">
        <f ca="1">IF(M1762&lt;&gt;M1761,INDEX(CustInfo!$A$2:$A$1001,RANDBETWEEN(1,1000)),N1761)</f>
        <v>11633</v>
      </c>
      <c r="O1762" t="s">
        <v>1003</v>
      </c>
      <c r="P1762">
        <v>52937896</v>
      </c>
    </row>
    <row r="1763" spans="1:16" x14ac:dyDescent="0.35">
      <c r="A1763">
        <v>93827212662</v>
      </c>
      <c r="C1763" s="2" t="s">
        <v>883</v>
      </c>
      <c r="D1763">
        <v>3</v>
      </c>
      <c r="E1763">
        <v>76891213562</v>
      </c>
      <c r="F1763">
        <f t="shared" ca="1" si="54"/>
        <v>19</v>
      </c>
      <c r="G1763">
        <f ca="1">VLOOKUP(E1763,PurchItem!$A$2:$H$508,8,0)</f>
        <v>740.07486669970649</v>
      </c>
      <c r="H1763">
        <v>0.05</v>
      </c>
      <c r="I1763" t="s">
        <v>244</v>
      </c>
      <c r="M1763">
        <f t="shared" si="55"/>
        <v>10029727892</v>
      </c>
      <c r="N1763">
        <f ca="1">IF(M1763&lt;&gt;M1762,INDEX(CustInfo!$A$2:$A$1001,RANDBETWEEN(1,1000)),N1762)</f>
        <v>11633</v>
      </c>
      <c r="O1763" t="s">
        <v>1003</v>
      </c>
      <c r="P1763">
        <v>52937897</v>
      </c>
    </row>
    <row r="1764" spans="1:16" x14ac:dyDescent="0.35">
      <c r="A1764">
        <v>93827212663</v>
      </c>
      <c r="C1764" s="2" t="s">
        <v>883</v>
      </c>
      <c r="D1764">
        <v>1</v>
      </c>
      <c r="E1764">
        <v>76891213405</v>
      </c>
      <c r="F1764">
        <f t="shared" ca="1" si="54"/>
        <v>99</v>
      </c>
      <c r="G1764">
        <f ca="1">VLOOKUP(E1764,PurchItem!$A$2:$H$508,8,0)</f>
        <v>140.45123256001332</v>
      </c>
      <c r="H1764">
        <v>0.04</v>
      </c>
      <c r="I1764" t="s">
        <v>244</v>
      </c>
      <c r="M1764">
        <f t="shared" si="55"/>
        <v>10029727893</v>
      </c>
      <c r="N1764">
        <f ca="1">IF(M1764&lt;&gt;M1763,INDEX(CustInfo!$A$2:$A$1001,RANDBETWEEN(1,1000)),N1763)</f>
        <v>11928</v>
      </c>
      <c r="O1764" t="s">
        <v>1002</v>
      </c>
      <c r="P1764">
        <v>52937898</v>
      </c>
    </row>
    <row r="1765" spans="1:16" x14ac:dyDescent="0.35">
      <c r="A1765">
        <v>93827212663</v>
      </c>
      <c r="C1765" s="2" t="s">
        <v>883</v>
      </c>
      <c r="D1765">
        <v>2</v>
      </c>
      <c r="E1765">
        <v>76891213254</v>
      </c>
      <c r="F1765">
        <f t="shared" ca="1" si="54"/>
        <v>56</v>
      </c>
      <c r="G1765">
        <f ca="1">VLOOKUP(E1765,PurchItem!$A$2:$H$508,8,0)</f>
        <v>8238.8569065705833</v>
      </c>
      <c r="H1765">
        <v>0.06</v>
      </c>
      <c r="I1765" t="s">
        <v>244</v>
      </c>
      <c r="M1765">
        <f t="shared" si="55"/>
        <v>10029727893</v>
      </c>
      <c r="N1765">
        <f ca="1">IF(M1765&lt;&gt;M1764,INDEX(CustInfo!$A$2:$A$1001,RANDBETWEEN(1,1000)),N1764)</f>
        <v>11928</v>
      </c>
      <c r="O1765" t="s">
        <v>1002</v>
      </c>
      <c r="P1765">
        <v>52937899</v>
      </c>
    </row>
    <row r="1766" spans="1:16" x14ac:dyDescent="0.35">
      <c r="A1766">
        <v>93827212663</v>
      </c>
      <c r="C1766" s="2" t="s">
        <v>883</v>
      </c>
      <c r="D1766">
        <v>3</v>
      </c>
      <c r="E1766">
        <v>76891213388</v>
      </c>
      <c r="F1766">
        <f t="shared" ca="1" si="54"/>
        <v>97</v>
      </c>
      <c r="G1766">
        <f ca="1">VLOOKUP(E1766,PurchItem!$A$2:$H$508,8,0)</f>
        <v>1466.0763513227046</v>
      </c>
      <c r="H1766">
        <v>0.05</v>
      </c>
      <c r="I1766" t="s">
        <v>244</v>
      </c>
      <c r="M1766">
        <f t="shared" si="55"/>
        <v>10029727893</v>
      </c>
      <c r="N1766">
        <f ca="1">IF(M1766&lt;&gt;M1765,INDEX(CustInfo!$A$2:$A$1001,RANDBETWEEN(1,1000)),N1765)</f>
        <v>11928</v>
      </c>
      <c r="O1766" t="s">
        <v>1002</v>
      </c>
      <c r="P1766">
        <v>52937900</v>
      </c>
    </row>
    <row r="1767" spans="1:16" x14ac:dyDescent="0.35">
      <c r="A1767">
        <v>93827212664</v>
      </c>
      <c r="C1767" s="2" t="s">
        <v>883</v>
      </c>
      <c r="D1767">
        <v>1</v>
      </c>
      <c r="E1767">
        <v>76891213591</v>
      </c>
      <c r="F1767">
        <f t="shared" ca="1" si="54"/>
        <v>3</v>
      </c>
      <c r="G1767">
        <f ca="1">VLOOKUP(E1767,PurchItem!$A$2:$H$508,8,0)</f>
        <v>6944.0526942245015</v>
      </c>
      <c r="H1767">
        <v>0.06</v>
      </c>
      <c r="I1767" t="s">
        <v>244</v>
      </c>
      <c r="M1767">
        <f t="shared" si="55"/>
        <v>10029727894</v>
      </c>
      <c r="N1767">
        <f ca="1">IF(M1767&lt;&gt;M1766,INDEX(CustInfo!$A$2:$A$1001,RANDBETWEEN(1,1000)),N1766)</f>
        <v>11837</v>
      </c>
      <c r="O1767" t="s">
        <v>1002</v>
      </c>
      <c r="P1767">
        <v>52937901</v>
      </c>
    </row>
    <row r="1768" spans="1:16" x14ac:dyDescent="0.35">
      <c r="A1768">
        <v>93827212664</v>
      </c>
      <c r="C1768" s="2" t="s">
        <v>883</v>
      </c>
      <c r="D1768">
        <v>2</v>
      </c>
      <c r="E1768">
        <v>76891213259</v>
      </c>
      <c r="F1768">
        <f t="shared" ca="1" si="54"/>
        <v>41</v>
      </c>
      <c r="G1768">
        <f ca="1">VLOOKUP(E1768,PurchItem!$A$2:$H$508,8,0)</f>
        <v>2690.2809923861096</v>
      </c>
      <c r="H1768">
        <v>0.05</v>
      </c>
      <c r="I1768" t="s">
        <v>244</v>
      </c>
      <c r="M1768">
        <f t="shared" si="55"/>
        <v>10029727894</v>
      </c>
      <c r="N1768">
        <f ca="1">IF(M1768&lt;&gt;M1767,INDEX(CustInfo!$A$2:$A$1001,RANDBETWEEN(1,1000)),N1767)</f>
        <v>11837</v>
      </c>
      <c r="O1768" t="s">
        <v>1002</v>
      </c>
      <c r="P1768">
        <v>52937902</v>
      </c>
    </row>
    <row r="1769" spans="1:16" x14ac:dyDescent="0.35">
      <c r="A1769">
        <v>93827212665</v>
      </c>
      <c r="C1769" s="2" t="s">
        <v>883</v>
      </c>
      <c r="D1769">
        <v>1</v>
      </c>
      <c r="E1769">
        <v>76891213341</v>
      </c>
      <c r="F1769">
        <f t="shared" ca="1" si="54"/>
        <v>72</v>
      </c>
      <c r="G1769">
        <f ca="1">VLOOKUP(E1769,PurchItem!$A$2:$H$508,8,0)</f>
        <v>1046.3193598714477</v>
      </c>
      <c r="H1769">
        <v>0.05</v>
      </c>
      <c r="I1769" t="s">
        <v>244</v>
      </c>
      <c r="M1769">
        <f t="shared" si="55"/>
        <v>10029727895</v>
      </c>
      <c r="N1769">
        <f ca="1">IF(M1769&lt;&gt;M1768,INDEX(CustInfo!$A$2:$A$1001,RANDBETWEEN(1,1000)),N1768)</f>
        <v>11890</v>
      </c>
      <c r="O1769" t="s">
        <v>1001</v>
      </c>
      <c r="P1769">
        <v>52937903</v>
      </c>
    </row>
    <row r="1770" spans="1:16" x14ac:dyDescent="0.35">
      <c r="A1770">
        <v>93827212665</v>
      </c>
      <c r="C1770" s="2" t="s">
        <v>883</v>
      </c>
      <c r="D1770">
        <v>2</v>
      </c>
      <c r="E1770">
        <v>76891213431</v>
      </c>
      <c r="F1770">
        <f t="shared" ca="1" si="54"/>
        <v>88</v>
      </c>
      <c r="G1770">
        <f ca="1">VLOOKUP(E1770,PurchItem!$A$2:$H$508,8,0)</f>
        <v>7429.4769713944388</v>
      </c>
      <c r="H1770">
        <v>0.04</v>
      </c>
      <c r="I1770" t="s">
        <v>244</v>
      </c>
      <c r="M1770">
        <f t="shared" si="55"/>
        <v>10029727895</v>
      </c>
      <c r="N1770">
        <f ca="1">IF(M1770&lt;&gt;M1769,INDEX(CustInfo!$A$2:$A$1001,RANDBETWEEN(1,1000)),N1769)</f>
        <v>11890</v>
      </c>
      <c r="O1770" t="s">
        <v>1001</v>
      </c>
      <c r="P1770">
        <v>52937904</v>
      </c>
    </row>
    <row r="1771" spans="1:16" x14ac:dyDescent="0.35">
      <c r="A1771">
        <v>93827212666</v>
      </c>
      <c r="C1771" s="2" t="s">
        <v>883</v>
      </c>
      <c r="D1771">
        <v>1</v>
      </c>
      <c r="E1771">
        <v>76891213433</v>
      </c>
      <c r="F1771">
        <f t="shared" ca="1" si="54"/>
        <v>34</v>
      </c>
      <c r="G1771">
        <f ca="1">VLOOKUP(E1771,PurchItem!$A$2:$H$508,8,0)</f>
        <v>8137.8051344838841</v>
      </c>
      <c r="H1771">
        <v>0.06</v>
      </c>
      <c r="I1771" t="s">
        <v>244</v>
      </c>
      <c r="M1771">
        <f t="shared" si="55"/>
        <v>10029727896</v>
      </c>
      <c r="N1771">
        <f ca="1">IF(M1771&lt;&gt;M1770,INDEX(CustInfo!$A$2:$A$1001,RANDBETWEEN(1,1000)),N1770)</f>
        <v>11075</v>
      </c>
      <c r="O1771" t="s">
        <v>1002</v>
      </c>
      <c r="P1771">
        <v>52937905</v>
      </c>
    </row>
    <row r="1772" spans="1:16" x14ac:dyDescent="0.35">
      <c r="A1772">
        <v>93827212666</v>
      </c>
      <c r="C1772" s="2" t="s">
        <v>883</v>
      </c>
      <c r="D1772">
        <v>2</v>
      </c>
      <c r="E1772">
        <v>76891213632</v>
      </c>
      <c r="F1772">
        <f t="shared" ca="1" si="54"/>
        <v>12</v>
      </c>
      <c r="G1772">
        <f ca="1">VLOOKUP(E1772,PurchItem!$A$2:$H$508,8,0)</f>
        <v>2684.3182600797395</v>
      </c>
      <c r="H1772">
        <v>0.05</v>
      </c>
      <c r="I1772" t="s">
        <v>244</v>
      </c>
      <c r="M1772">
        <f t="shared" si="55"/>
        <v>10029727896</v>
      </c>
      <c r="N1772">
        <f ca="1">IF(M1772&lt;&gt;M1771,INDEX(CustInfo!$A$2:$A$1001,RANDBETWEEN(1,1000)),N1771)</f>
        <v>11075</v>
      </c>
      <c r="O1772" t="s">
        <v>1002</v>
      </c>
      <c r="P1772">
        <v>52937906</v>
      </c>
    </row>
    <row r="1773" spans="1:16" x14ac:dyDescent="0.35">
      <c r="A1773">
        <v>93827212667</v>
      </c>
      <c r="C1773" s="2" t="s">
        <v>883</v>
      </c>
      <c r="D1773">
        <v>1</v>
      </c>
      <c r="E1773">
        <v>76891213498</v>
      </c>
      <c r="F1773">
        <f t="shared" ca="1" si="54"/>
        <v>48</v>
      </c>
      <c r="G1773">
        <f ca="1">VLOOKUP(E1773,PurchItem!$A$2:$H$508,8,0)</f>
        <v>4995.713213871999</v>
      </c>
      <c r="H1773">
        <v>0.05</v>
      </c>
      <c r="I1773" t="s">
        <v>244</v>
      </c>
      <c r="M1773">
        <f t="shared" si="55"/>
        <v>10029727897</v>
      </c>
      <c r="N1773">
        <f ca="1">IF(M1773&lt;&gt;M1772,INDEX(CustInfo!$A$2:$A$1001,RANDBETWEEN(1,1000)),N1772)</f>
        <v>11689</v>
      </c>
      <c r="O1773" t="s">
        <v>1002</v>
      </c>
      <c r="P1773">
        <v>52937907</v>
      </c>
    </row>
    <row r="1774" spans="1:16" x14ac:dyDescent="0.35">
      <c r="A1774">
        <v>93827212667</v>
      </c>
      <c r="C1774" s="2" t="s">
        <v>883</v>
      </c>
      <c r="D1774">
        <v>2</v>
      </c>
      <c r="E1774">
        <v>76891213197</v>
      </c>
      <c r="F1774">
        <f t="shared" ca="1" si="54"/>
        <v>85</v>
      </c>
      <c r="G1774">
        <f ca="1">VLOOKUP(E1774,PurchItem!$A$2:$H$508,8,0)</f>
        <v>2158.1221622330891</v>
      </c>
      <c r="H1774">
        <v>0.05</v>
      </c>
      <c r="I1774" t="s">
        <v>244</v>
      </c>
      <c r="M1774">
        <f t="shared" si="55"/>
        <v>10029727897</v>
      </c>
      <c r="N1774">
        <f ca="1">IF(M1774&lt;&gt;M1773,INDEX(CustInfo!$A$2:$A$1001,RANDBETWEEN(1,1000)),N1773)</f>
        <v>11689</v>
      </c>
      <c r="O1774" t="s">
        <v>1002</v>
      </c>
      <c r="P1774">
        <v>52937908</v>
      </c>
    </row>
    <row r="1775" spans="1:16" x14ac:dyDescent="0.35">
      <c r="A1775">
        <v>93827212668</v>
      </c>
      <c r="C1775" s="2" t="s">
        <v>883</v>
      </c>
      <c r="D1775">
        <v>1</v>
      </c>
      <c r="E1775">
        <v>76891213166</v>
      </c>
      <c r="F1775">
        <f t="shared" ca="1" si="54"/>
        <v>92</v>
      </c>
      <c r="G1775">
        <f ca="1">VLOOKUP(E1775,PurchItem!$A$2:$H$508,8,0)</f>
        <v>8772.6347437385975</v>
      </c>
      <c r="H1775">
        <v>0.05</v>
      </c>
      <c r="I1775" t="s">
        <v>244</v>
      </c>
      <c r="M1775">
        <f t="shared" si="55"/>
        <v>10029727898</v>
      </c>
      <c r="N1775">
        <f ca="1">IF(M1775&lt;&gt;M1774,INDEX(CustInfo!$A$2:$A$1001,RANDBETWEEN(1,1000)),N1774)</f>
        <v>11437</v>
      </c>
      <c r="O1775" t="s">
        <v>1002</v>
      </c>
      <c r="P1775">
        <v>52937909</v>
      </c>
    </row>
    <row r="1776" spans="1:16" x14ac:dyDescent="0.35">
      <c r="A1776">
        <v>93827212669</v>
      </c>
      <c r="C1776" s="2" t="s">
        <v>883</v>
      </c>
      <c r="D1776">
        <v>1</v>
      </c>
      <c r="E1776">
        <v>76891213429</v>
      </c>
      <c r="F1776">
        <f t="shared" ca="1" si="54"/>
        <v>46</v>
      </c>
      <c r="G1776">
        <f ca="1">VLOOKUP(E1776,PurchItem!$A$2:$H$508,8,0)</f>
        <v>8406.1091392579347</v>
      </c>
      <c r="H1776">
        <v>0.05</v>
      </c>
      <c r="I1776" t="s">
        <v>244</v>
      </c>
      <c r="M1776">
        <f t="shared" si="55"/>
        <v>10029727899</v>
      </c>
      <c r="N1776">
        <f ca="1">IF(M1776&lt;&gt;M1775,INDEX(CustInfo!$A$2:$A$1001,RANDBETWEEN(1,1000)),N1775)</f>
        <v>11317</v>
      </c>
      <c r="O1776" t="s">
        <v>1001</v>
      </c>
      <c r="P1776">
        <v>52937910</v>
      </c>
    </row>
    <row r="1777" spans="1:16" x14ac:dyDescent="0.35">
      <c r="A1777">
        <v>93827212669</v>
      </c>
      <c r="C1777" s="2" t="s">
        <v>883</v>
      </c>
      <c r="D1777">
        <v>2</v>
      </c>
      <c r="E1777">
        <v>76891213321</v>
      </c>
      <c r="F1777">
        <f t="shared" ca="1" si="54"/>
        <v>78</v>
      </c>
      <c r="G1777">
        <f ca="1">VLOOKUP(E1777,PurchItem!$A$2:$H$508,8,0)</f>
        <v>9543.4672699482726</v>
      </c>
      <c r="H1777">
        <v>0.04</v>
      </c>
      <c r="I1777" t="s">
        <v>244</v>
      </c>
      <c r="M1777">
        <f t="shared" si="55"/>
        <v>10029727899</v>
      </c>
      <c r="N1777">
        <f ca="1">IF(M1777&lt;&gt;M1776,INDEX(CustInfo!$A$2:$A$1001,RANDBETWEEN(1,1000)),N1776)</f>
        <v>11317</v>
      </c>
      <c r="O1777" t="s">
        <v>1001</v>
      </c>
      <c r="P1777">
        <v>52937911</v>
      </c>
    </row>
    <row r="1778" spans="1:16" x14ac:dyDescent="0.35">
      <c r="A1778">
        <v>93827212670</v>
      </c>
      <c r="C1778" s="2" t="s">
        <v>883</v>
      </c>
      <c r="D1778">
        <v>1</v>
      </c>
      <c r="E1778">
        <v>76891213604</v>
      </c>
      <c r="F1778">
        <f t="shared" ca="1" si="54"/>
        <v>69</v>
      </c>
      <c r="G1778">
        <f ca="1">VLOOKUP(E1778,PurchItem!$A$2:$H$508,8,0)</f>
        <v>6398.1672211601835</v>
      </c>
      <c r="H1778">
        <v>0.04</v>
      </c>
      <c r="I1778" t="s">
        <v>244</v>
      </c>
      <c r="M1778">
        <f t="shared" si="55"/>
        <v>10029727900</v>
      </c>
      <c r="N1778">
        <f ca="1">IF(M1778&lt;&gt;M1777,INDEX(CustInfo!$A$2:$A$1001,RANDBETWEEN(1,1000)),N1777)</f>
        <v>11894</v>
      </c>
      <c r="O1778" t="s">
        <v>1003</v>
      </c>
      <c r="P1778">
        <v>52937912</v>
      </c>
    </row>
    <row r="1779" spans="1:16" x14ac:dyDescent="0.35">
      <c r="A1779">
        <v>93827212670</v>
      </c>
      <c r="C1779" s="2" t="s">
        <v>883</v>
      </c>
      <c r="D1779">
        <v>2</v>
      </c>
      <c r="E1779">
        <v>76891213486</v>
      </c>
      <c r="F1779">
        <f t="shared" ca="1" si="54"/>
        <v>15</v>
      </c>
      <c r="G1779">
        <f ca="1">VLOOKUP(E1779,PurchItem!$A$2:$H$508,8,0)</f>
        <v>9918.4803802401257</v>
      </c>
      <c r="H1779">
        <v>0.05</v>
      </c>
      <c r="I1779" t="s">
        <v>244</v>
      </c>
      <c r="M1779">
        <f t="shared" si="55"/>
        <v>10029727900</v>
      </c>
      <c r="N1779">
        <f ca="1">IF(M1779&lt;&gt;M1778,INDEX(CustInfo!$A$2:$A$1001,RANDBETWEEN(1,1000)),N1778)</f>
        <v>11894</v>
      </c>
      <c r="O1779" t="s">
        <v>1003</v>
      </c>
      <c r="P1779">
        <v>52937913</v>
      </c>
    </row>
    <row r="1780" spans="1:16" x14ac:dyDescent="0.35">
      <c r="A1780">
        <v>93827212671</v>
      </c>
      <c r="C1780" s="2" t="s">
        <v>883</v>
      </c>
      <c r="D1780">
        <v>1</v>
      </c>
      <c r="E1780">
        <v>76891213186</v>
      </c>
      <c r="F1780">
        <f t="shared" ca="1" si="54"/>
        <v>11</v>
      </c>
      <c r="G1780">
        <f ca="1">VLOOKUP(E1780,PurchItem!$A$2:$H$508,8,0)</f>
        <v>9814.0624540391254</v>
      </c>
      <c r="H1780">
        <v>0.04</v>
      </c>
      <c r="I1780" t="s">
        <v>244</v>
      </c>
      <c r="M1780">
        <f t="shared" si="55"/>
        <v>10029727901</v>
      </c>
      <c r="N1780">
        <f ca="1">IF(M1780&lt;&gt;M1779,INDEX(CustInfo!$A$2:$A$1001,RANDBETWEEN(1,1000)),N1779)</f>
        <v>11130</v>
      </c>
      <c r="O1780" t="s">
        <v>1001</v>
      </c>
      <c r="P1780">
        <v>52937914</v>
      </c>
    </row>
    <row r="1781" spans="1:16" x14ac:dyDescent="0.35">
      <c r="A1781">
        <v>93827212672</v>
      </c>
      <c r="C1781" s="2" t="s">
        <v>883</v>
      </c>
      <c r="D1781">
        <v>1</v>
      </c>
      <c r="E1781">
        <v>76891213378</v>
      </c>
      <c r="F1781">
        <f t="shared" ca="1" si="54"/>
        <v>90</v>
      </c>
      <c r="G1781">
        <f ca="1">VLOOKUP(E1781,PurchItem!$A$2:$H$508,8,0)</f>
        <v>651.17318034422885</v>
      </c>
      <c r="H1781">
        <v>0.04</v>
      </c>
      <c r="I1781" t="s">
        <v>244</v>
      </c>
      <c r="M1781">
        <f t="shared" si="55"/>
        <v>10029727902</v>
      </c>
      <c r="N1781">
        <f ca="1">IF(M1781&lt;&gt;M1780,INDEX(CustInfo!$A$2:$A$1001,RANDBETWEEN(1,1000)),N1780)</f>
        <v>11737</v>
      </c>
      <c r="O1781" t="s">
        <v>1003</v>
      </c>
      <c r="P1781">
        <v>52937915</v>
      </c>
    </row>
    <row r="1782" spans="1:16" x14ac:dyDescent="0.35">
      <c r="A1782">
        <v>93827212673</v>
      </c>
      <c r="C1782" s="2" t="s">
        <v>883</v>
      </c>
      <c r="D1782">
        <v>1</v>
      </c>
      <c r="E1782">
        <v>76891213281</v>
      </c>
      <c r="F1782">
        <f t="shared" ca="1" si="54"/>
        <v>11</v>
      </c>
      <c r="G1782">
        <f ca="1">VLOOKUP(E1782,PurchItem!$A$2:$H$508,8,0)</f>
        <v>9058.0092731097448</v>
      </c>
      <c r="H1782">
        <v>0.04</v>
      </c>
      <c r="I1782" t="s">
        <v>244</v>
      </c>
      <c r="M1782">
        <f t="shared" si="55"/>
        <v>10029727903</v>
      </c>
      <c r="N1782">
        <f ca="1">IF(M1782&lt;&gt;M1781,INDEX(CustInfo!$A$2:$A$1001,RANDBETWEEN(1,1000)),N1781)</f>
        <v>11346</v>
      </c>
      <c r="O1782" t="s">
        <v>1002</v>
      </c>
      <c r="P1782">
        <v>52937916</v>
      </c>
    </row>
    <row r="1783" spans="1:16" x14ac:dyDescent="0.35">
      <c r="A1783">
        <v>93827212673</v>
      </c>
      <c r="C1783" s="2" t="s">
        <v>883</v>
      </c>
      <c r="D1783">
        <v>2</v>
      </c>
      <c r="E1783">
        <v>76891213393</v>
      </c>
      <c r="F1783">
        <f t="shared" ca="1" si="54"/>
        <v>33</v>
      </c>
      <c r="G1783">
        <f ca="1">VLOOKUP(E1783,PurchItem!$A$2:$H$508,8,0)</f>
        <v>1578.8037302555053</v>
      </c>
      <c r="H1783">
        <v>0.05</v>
      </c>
      <c r="I1783" t="s">
        <v>244</v>
      </c>
      <c r="M1783">
        <f t="shared" si="55"/>
        <v>10029727903</v>
      </c>
      <c r="N1783">
        <f ca="1">IF(M1783&lt;&gt;M1782,INDEX(CustInfo!$A$2:$A$1001,RANDBETWEEN(1,1000)),N1782)</f>
        <v>11346</v>
      </c>
      <c r="O1783" t="s">
        <v>1002</v>
      </c>
      <c r="P1783">
        <v>52937917</v>
      </c>
    </row>
    <row r="1784" spans="1:16" x14ac:dyDescent="0.35">
      <c r="A1784">
        <v>93827212673</v>
      </c>
      <c r="C1784" s="2" t="s">
        <v>883</v>
      </c>
      <c r="D1784">
        <v>3</v>
      </c>
      <c r="E1784">
        <v>76891213253</v>
      </c>
      <c r="F1784">
        <f t="shared" ca="1" si="54"/>
        <v>45</v>
      </c>
      <c r="G1784">
        <f ca="1">VLOOKUP(E1784,PurchItem!$A$2:$H$508,8,0)</f>
        <v>2205.8632252448356</v>
      </c>
      <c r="H1784">
        <v>0.04</v>
      </c>
      <c r="I1784" t="s">
        <v>244</v>
      </c>
      <c r="M1784">
        <f t="shared" si="55"/>
        <v>10029727903</v>
      </c>
      <c r="N1784">
        <f ca="1">IF(M1784&lt;&gt;M1783,INDEX(CustInfo!$A$2:$A$1001,RANDBETWEEN(1,1000)),N1783)</f>
        <v>11346</v>
      </c>
      <c r="O1784" t="s">
        <v>1002</v>
      </c>
      <c r="P1784">
        <v>52937918</v>
      </c>
    </row>
    <row r="1785" spans="1:16" x14ac:dyDescent="0.35">
      <c r="A1785">
        <v>93827212674</v>
      </c>
      <c r="C1785" s="2" t="s">
        <v>883</v>
      </c>
      <c r="D1785">
        <v>1</v>
      </c>
      <c r="E1785">
        <v>76891213215</v>
      </c>
      <c r="F1785">
        <f t="shared" ca="1" si="54"/>
        <v>73</v>
      </c>
      <c r="G1785">
        <f ca="1">VLOOKUP(E1785,PurchItem!$A$2:$H$508,8,0)</f>
        <v>2142.1644782232815</v>
      </c>
      <c r="H1785">
        <v>0.05</v>
      </c>
      <c r="I1785" t="s">
        <v>244</v>
      </c>
      <c r="M1785">
        <f t="shared" si="55"/>
        <v>10029727904</v>
      </c>
      <c r="N1785">
        <f ca="1">IF(M1785&lt;&gt;M1784,INDEX(CustInfo!$A$2:$A$1001,RANDBETWEEN(1,1000)),N1784)</f>
        <v>11765</v>
      </c>
      <c r="O1785" t="s">
        <v>1001</v>
      </c>
      <c r="P1785">
        <v>52937919</v>
      </c>
    </row>
    <row r="1786" spans="1:16" x14ac:dyDescent="0.35">
      <c r="A1786">
        <v>93827212674</v>
      </c>
      <c r="C1786" s="2" t="s">
        <v>883</v>
      </c>
      <c r="D1786">
        <v>2</v>
      </c>
      <c r="E1786">
        <v>76891213636</v>
      </c>
      <c r="F1786">
        <f t="shared" ca="1" si="54"/>
        <v>28</v>
      </c>
      <c r="G1786">
        <f ca="1">VLOOKUP(E1786,PurchItem!$A$2:$H$508,8,0)</f>
        <v>7418.628439377374</v>
      </c>
      <c r="H1786">
        <v>0.06</v>
      </c>
      <c r="I1786" t="s">
        <v>244</v>
      </c>
      <c r="M1786">
        <f t="shared" si="55"/>
        <v>10029727904</v>
      </c>
      <c r="N1786">
        <f ca="1">IF(M1786&lt;&gt;M1785,INDEX(CustInfo!$A$2:$A$1001,RANDBETWEEN(1,1000)),N1785)</f>
        <v>11765</v>
      </c>
      <c r="O1786" t="s">
        <v>1001</v>
      </c>
      <c r="P1786">
        <v>52937920</v>
      </c>
    </row>
    <row r="1787" spans="1:16" x14ac:dyDescent="0.35">
      <c r="A1787">
        <v>93827212675</v>
      </c>
      <c r="C1787" s="2" t="s">
        <v>883</v>
      </c>
      <c r="D1787">
        <v>1</v>
      </c>
      <c r="E1787">
        <v>76891213366</v>
      </c>
      <c r="F1787">
        <f t="shared" ca="1" si="54"/>
        <v>80</v>
      </c>
      <c r="G1787">
        <f ca="1">VLOOKUP(E1787,PurchItem!$A$2:$H$508,8,0)</f>
        <v>2775.3275183824289</v>
      </c>
      <c r="H1787">
        <v>0.06</v>
      </c>
      <c r="I1787" t="s">
        <v>244</v>
      </c>
      <c r="M1787">
        <f t="shared" si="55"/>
        <v>10029727905</v>
      </c>
      <c r="N1787">
        <f ca="1">IF(M1787&lt;&gt;M1786,INDEX(CustInfo!$A$2:$A$1001,RANDBETWEEN(1,1000)),N1786)</f>
        <v>11273</v>
      </c>
      <c r="O1787" t="s">
        <v>1001</v>
      </c>
      <c r="P1787">
        <v>52937921</v>
      </c>
    </row>
    <row r="1788" spans="1:16" x14ac:dyDescent="0.35">
      <c r="A1788">
        <v>93827212675</v>
      </c>
      <c r="C1788" s="2" t="s">
        <v>883</v>
      </c>
      <c r="D1788">
        <v>2</v>
      </c>
      <c r="E1788">
        <v>76891213304</v>
      </c>
      <c r="F1788">
        <f t="shared" ca="1" si="54"/>
        <v>47</v>
      </c>
      <c r="G1788">
        <f ca="1">VLOOKUP(E1788,PurchItem!$A$2:$H$508,8,0)</f>
        <v>6666.5905638765125</v>
      </c>
      <c r="H1788">
        <v>0.05</v>
      </c>
      <c r="I1788" t="s">
        <v>244</v>
      </c>
      <c r="M1788">
        <f t="shared" si="55"/>
        <v>10029727905</v>
      </c>
      <c r="N1788">
        <f ca="1">IF(M1788&lt;&gt;M1787,INDEX(CustInfo!$A$2:$A$1001,RANDBETWEEN(1,1000)),N1787)</f>
        <v>11273</v>
      </c>
      <c r="O1788" t="s">
        <v>1001</v>
      </c>
      <c r="P1788">
        <v>52937922</v>
      </c>
    </row>
    <row r="1789" spans="1:16" x14ac:dyDescent="0.35">
      <c r="A1789">
        <v>93827212675</v>
      </c>
      <c r="C1789" s="2" t="s">
        <v>883</v>
      </c>
      <c r="D1789">
        <v>3</v>
      </c>
      <c r="E1789">
        <v>76891213290</v>
      </c>
      <c r="F1789">
        <f t="shared" ca="1" si="54"/>
        <v>25</v>
      </c>
      <c r="G1789">
        <f ca="1">VLOOKUP(E1789,PurchItem!$A$2:$H$508,8,0)</f>
        <v>8789.9228489399866</v>
      </c>
      <c r="H1789">
        <v>0.06</v>
      </c>
      <c r="I1789" t="s">
        <v>244</v>
      </c>
      <c r="M1789">
        <f t="shared" si="55"/>
        <v>10029727905</v>
      </c>
      <c r="N1789">
        <f ca="1">IF(M1789&lt;&gt;M1788,INDEX(CustInfo!$A$2:$A$1001,RANDBETWEEN(1,1000)),N1788)</f>
        <v>11273</v>
      </c>
      <c r="O1789" t="s">
        <v>1001</v>
      </c>
      <c r="P1789">
        <v>52937923</v>
      </c>
    </row>
    <row r="1790" spans="1:16" x14ac:dyDescent="0.35">
      <c r="A1790">
        <v>93827212676</v>
      </c>
      <c r="C1790" s="2" t="s">
        <v>883</v>
      </c>
      <c r="D1790">
        <v>1</v>
      </c>
      <c r="E1790">
        <v>76891213550</v>
      </c>
      <c r="F1790">
        <f t="shared" ca="1" si="54"/>
        <v>1</v>
      </c>
      <c r="G1790">
        <f ca="1">VLOOKUP(E1790,PurchItem!$A$2:$H$508,8,0)</f>
        <v>8587.4277127599253</v>
      </c>
      <c r="H1790">
        <v>0.04</v>
      </c>
      <c r="I1790" t="s">
        <v>244</v>
      </c>
      <c r="M1790">
        <f t="shared" si="55"/>
        <v>10029727906</v>
      </c>
      <c r="N1790">
        <f ca="1">IF(M1790&lt;&gt;M1789,INDEX(CustInfo!$A$2:$A$1001,RANDBETWEEN(1,1000)),N1789)</f>
        <v>11411</v>
      </c>
      <c r="O1790" t="s">
        <v>1001</v>
      </c>
      <c r="P1790">
        <v>52937924</v>
      </c>
    </row>
    <row r="1791" spans="1:16" x14ac:dyDescent="0.35">
      <c r="A1791">
        <v>93827212677</v>
      </c>
      <c r="C1791" s="2" t="s">
        <v>883</v>
      </c>
      <c r="D1791">
        <v>1</v>
      </c>
      <c r="E1791">
        <v>76891213641</v>
      </c>
      <c r="F1791">
        <f t="shared" ca="1" si="54"/>
        <v>75</v>
      </c>
      <c r="G1791">
        <f ca="1">VLOOKUP(E1791,PurchItem!$A$2:$H$508,8,0)</f>
        <v>5514.86649240525</v>
      </c>
      <c r="H1791">
        <v>0.04</v>
      </c>
      <c r="I1791" t="s">
        <v>244</v>
      </c>
      <c r="M1791">
        <f t="shared" si="55"/>
        <v>10029727907</v>
      </c>
      <c r="N1791">
        <f ca="1">IF(M1791&lt;&gt;M1790,INDEX(CustInfo!$A$2:$A$1001,RANDBETWEEN(1,1000)),N1790)</f>
        <v>11399</v>
      </c>
      <c r="O1791" t="s">
        <v>1002</v>
      </c>
      <c r="P1791">
        <v>52937925</v>
      </c>
    </row>
    <row r="1792" spans="1:16" x14ac:dyDescent="0.35">
      <c r="A1792">
        <v>93827212677</v>
      </c>
      <c r="C1792" s="2" t="s">
        <v>883</v>
      </c>
      <c r="D1792">
        <v>2</v>
      </c>
      <c r="E1792">
        <v>76891213493</v>
      </c>
      <c r="F1792">
        <f t="shared" ca="1" si="54"/>
        <v>6</v>
      </c>
      <c r="G1792">
        <f ca="1">VLOOKUP(E1792,PurchItem!$A$2:$H$508,8,0)</f>
        <v>1962.5465648313532</v>
      </c>
      <c r="H1792">
        <v>0.06</v>
      </c>
      <c r="I1792" t="s">
        <v>244</v>
      </c>
      <c r="M1792">
        <f t="shared" si="55"/>
        <v>10029727907</v>
      </c>
      <c r="N1792">
        <f ca="1">IF(M1792&lt;&gt;M1791,INDEX(CustInfo!$A$2:$A$1001,RANDBETWEEN(1,1000)),N1791)</f>
        <v>11399</v>
      </c>
      <c r="O1792" t="s">
        <v>1002</v>
      </c>
      <c r="P1792">
        <v>52937926</v>
      </c>
    </row>
    <row r="1793" spans="1:16" x14ac:dyDescent="0.35">
      <c r="A1793">
        <v>93827212678</v>
      </c>
      <c r="C1793" s="2" t="s">
        <v>883</v>
      </c>
      <c r="D1793">
        <v>1</v>
      </c>
      <c r="E1793">
        <v>76891213364</v>
      </c>
      <c r="F1793">
        <f t="shared" ca="1" si="54"/>
        <v>16</v>
      </c>
      <c r="G1793">
        <f ca="1">VLOOKUP(E1793,PurchItem!$A$2:$H$508,8,0)</f>
        <v>7469.4625439319479</v>
      </c>
      <c r="H1793">
        <v>0.04</v>
      </c>
      <c r="I1793" t="s">
        <v>244</v>
      </c>
      <c r="M1793">
        <f t="shared" si="55"/>
        <v>10029727908</v>
      </c>
      <c r="N1793">
        <f ca="1">IF(M1793&lt;&gt;M1792,INDEX(CustInfo!$A$2:$A$1001,RANDBETWEEN(1,1000)),N1792)</f>
        <v>11655</v>
      </c>
      <c r="O1793" t="s">
        <v>1002</v>
      </c>
      <c r="P1793">
        <v>52937927</v>
      </c>
    </row>
    <row r="1794" spans="1:16" x14ac:dyDescent="0.35">
      <c r="A1794">
        <v>93827212679</v>
      </c>
      <c r="C1794" s="2" t="s">
        <v>883</v>
      </c>
      <c r="D1794">
        <v>1</v>
      </c>
      <c r="E1794">
        <v>76891213593</v>
      </c>
      <c r="F1794">
        <f t="shared" ca="1" si="54"/>
        <v>97</v>
      </c>
      <c r="G1794">
        <f ca="1">VLOOKUP(E1794,PurchItem!$A$2:$H$508,8,0)</f>
        <v>2737.5203426229455</v>
      </c>
      <c r="H1794">
        <v>0.04</v>
      </c>
      <c r="I1794" t="s">
        <v>244</v>
      </c>
      <c r="M1794">
        <f t="shared" si="55"/>
        <v>10029727909</v>
      </c>
      <c r="N1794">
        <f ca="1">IF(M1794&lt;&gt;M1793,INDEX(CustInfo!$A$2:$A$1001,RANDBETWEEN(1,1000)),N1793)</f>
        <v>11540</v>
      </c>
      <c r="O1794" t="s">
        <v>1003</v>
      </c>
      <c r="P1794">
        <v>52937928</v>
      </c>
    </row>
    <row r="1795" spans="1:16" x14ac:dyDescent="0.35">
      <c r="A1795">
        <v>93827212679</v>
      </c>
      <c r="C1795" s="2" t="s">
        <v>883</v>
      </c>
      <c r="D1795">
        <v>2</v>
      </c>
      <c r="E1795">
        <v>76891213375</v>
      </c>
      <c r="F1795">
        <f t="shared" ref="F1795:F1858" ca="1" si="56">RANDBETWEEN(1,100)</f>
        <v>90</v>
      </c>
      <c r="G1795">
        <f ca="1">VLOOKUP(E1795,PurchItem!$A$2:$H$508,8,0)</f>
        <v>7755.8413437200061</v>
      </c>
      <c r="H1795">
        <v>0.05</v>
      </c>
      <c r="I1795" t="s">
        <v>244</v>
      </c>
      <c r="M1795">
        <f t="shared" si="55"/>
        <v>10029727909</v>
      </c>
      <c r="N1795">
        <f ca="1">IF(M1795&lt;&gt;M1794,INDEX(CustInfo!$A$2:$A$1001,RANDBETWEEN(1,1000)),N1794)</f>
        <v>11540</v>
      </c>
      <c r="O1795" t="s">
        <v>1003</v>
      </c>
      <c r="P1795">
        <v>52937929</v>
      </c>
    </row>
    <row r="1796" spans="1:16" x14ac:dyDescent="0.35">
      <c r="A1796">
        <v>93827212679</v>
      </c>
      <c r="C1796" s="2" t="s">
        <v>883</v>
      </c>
      <c r="D1796">
        <v>3</v>
      </c>
      <c r="E1796">
        <v>76891213608</v>
      </c>
      <c r="F1796">
        <f t="shared" ca="1" si="56"/>
        <v>74</v>
      </c>
      <c r="G1796">
        <f ca="1">VLOOKUP(E1796,PurchItem!$A$2:$H$508,8,0)</f>
        <v>6891.3132509062052</v>
      </c>
      <c r="H1796">
        <v>0.05</v>
      </c>
      <c r="I1796" t="s">
        <v>244</v>
      </c>
      <c r="M1796">
        <f t="shared" si="55"/>
        <v>10029727909</v>
      </c>
      <c r="N1796">
        <f ca="1">IF(M1796&lt;&gt;M1795,INDEX(CustInfo!$A$2:$A$1001,RANDBETWEEN(1,1000)),N1795)</f>
        <v>11540</v>
      </c>
      <c r="O1796" t="s">
        <v>1003</v>
      </c>
      <c r="P1796">
        <v>52937930</v>
      </c>
    </row>
    <row r="1797" spans="1:16" x14ac:dyDescent="0.35">
      <c r="A1797">
        <v>93827212680</v>
      </c>
      <c r="C1797" s="2" t="s">
        <v>883</v>
      </c>
      <c r="D1797">
        <v>1</v>
      </c>
      <c r="E1797">
        <v>76891213416</v>
      </c>
      <c r="F1797">
        <f t="shared" ca="1" si="56"/>
        <v>5</v>
      </c>
      <c r="G1797">
        <f ca="1">VLOOKUP(E1797,PurchItem!$A$2:$H$508,8,0)</f>
        <v>254.34781389929725</v>
      </c>
      <c r="H1797">
        <v>0.06</v>
      </c>
      <c r="I1797" t="s">
        <v>244</v>
      </c>
      <c r="M1797">
        <f t="shared" ref="M1797:M1860" si="57">IF(A1797&lt;&gt;A1796,M1796+1,M1796)</f>
        <v>10029727910</v>
      </c>
      <c r="N1797">
        <f ca="1">IF(M1797&lt;&gt;M1796,INDEX(CustInfo!$A$2:$A$1001,RANDBETWEEN(1,1000)),N1796)</f>
        <v>11295</v>
      </c>
      <c r="O1797" t="s">
        <v>1002</v>
      </c>
      <c r="P1797">
        <v>52937931</v>
      </c>
    </row>
    <row r="1798" spans="1:16" x14ac:dyDescent="0.35">
      <c r="A1798">
        <v>93827212680</v>
      </c>
      <c r="C1798" s="2" t="s">
        <v>883</v>
      </c>
      <c r="D1798">
        <v>2</v>
      </c>
      <c r="E1798">
        <v>76891213219</v>
      </c>
      <c r="F1798">
        <f t="shared" ca="1" si="56"/>
        <v>42</v>
      </c>
      <c r="G1798">
        <f ca="1">VLOOKUP(E1798,PurchItem!$A$2:$H$508,8,0)</f>
        <v>660.79398870229625</v>
      </c>
      <c r="H1798">
        <v>0.04</v>
      </c>
      <c r="I1798" t="s">
        <v>244</v>
      </c>
      <c r="M1798">
        <f t="shared" si="57"/>
        <v>10029727910</v>
      </c>
      <c r="N1798">
        <f ca="1">IF(M1798&lt;&gt;M1797,INDEX(CustInfo!$A$2:$A$1001,RANDBETWEEN(1,1000)),N1797)</f>
        <v>11295</v>
      </c>
      <c r="O1798" t="s">
        <v>1002</v>
      </c>
      <c r="P1798">
        <v>52937932</v>
      </c>
    </row>
    <row r="1799" spans="1:16" x14ac:dyDescent="0.35">
      <c r="A1799">
        <v>93827212680</v>
      </c>
      <c r="C1799" s="2" t="s">
        <v>883</v>
      </c>
      <c r="D1799">
        <v>3</v>
      </c>
      <c r="E1799">
        <v>76891213162</v>
      </c>
      <c r="F1799">
        <f t="shared" ca="1" si="56"/>
        <v>77</v>
      </c>
      <c r="G1799">
        <f ca="1">VLOOKUP(E1799,PurchItem!$A$2:$H$508,8,0)</f>
        <v>4691.9230552298568</v>
      </c>
      <c r="H1799">
        <v>0.05</v>
      </c>
      <c r="I1799" t="s">
        <v>244</v>
      </c>
      <c r="M1799">
        <f t="shared" si="57"/>
        <v>10029727910</v>
      </c>
      <c r="N1799">
        <f ca="1">IF(M1799&lt;&gt;M1798,INDEX(CustInfo!$A$2:$A$1001,RANDBETWEEN(1,1000)),N1798)</f>
        <v>11295</v>
      </c>
      <c r="O1799" t="s">
        <v>1002</v>
      </c>
      <c r="P1799">
        <v>52937933</v>
      </c>
    </row>
    <row r="1800" spans="1:16" x14ac:dyDescent="0.35">
      <c r="A1800">
        <v>93827212681</v>
      </c>
      <c r="C1800" s="2" t="s">
        <v>883</v>
      </c>
      <c r="D1800">
        <v>1</v>
      </c>
      <c r="E1800">
        <v>76891213588</v>
      </c>
      <c r="F1800">
        <f t="shared" ca="1" si="56"/>
        <v>48</v>
      </c>
      <c r="G1800">
        <f ca="1">VLOOKUP(E1800,PurchItem!$A$2:$H$508,8,0)</f>
        <v>8034.7750134766238</v>
      </c>
      <c r="H1800">
        <v>0.06</v>
      </c>
      <c r="I1800" t="s">
        <v>244</v>
      </c>
      <c r="M1800">
        <f t="shared" si="57"/>
        <v>10029727911</v>
      </c>
      <c r="N1800">
        <f ca="1">IF(M1800&lt;&gt;M1799,INDEX(CustInfo!$A$2:$A$1001,RANDBETWEEN(1,1000)),N1799)</f>
        <v>11607</v>
      </c>
      <c r="O1800" t="s">
        <v>1003</v>
      </c>
      <c r="P1800">
        <v>52937934</v>
      </c>
    </row>
    <row r="1801" spans="1:16" x14ac:dyDescent="0.35">
      <c r="A1801">
        <v>93827212681</v>
      </c>
      <c r="C1801" s="2" t="s">
        <v>883</v>
      </c>
      <c r="D1801">
        <v>2</v>
      </c>
      <c r="E1801">
        <v>76891213169</v>
      </c>
      <c r="F1801">
        <f t="shared" ca="1" si="56"/>
        <v>48</v>
      </c>
      <c r="G1801">
        <f ca="1">VLOOKUP(E1801,PurchItem!$A$2:$H$508,8,0)</f>
        <v>1750.9223085517885</v>
      </c>
      <c r="H1801">
        <v>0.05</v>
      </c>
      <c r="I1801" t="s">
        <v>244</v>
      </c>
      <c r="M1801">
        <f t="shared" si="57"/>
        <v>10029727911</v>
      </c>
      <c r="N1801">
        <f ca="1">IF(M1801&lt;&gt;M1800,INDEX(CustInfo!$A$2:$A$1001,RANDBETWEEN(1,1000)),N1800)</f>
        <v>11607</v>
      </c>
      <c r="O1801" t="s">
        <v>1003</v>
      </c>
      <c r="P1801">
        <v>52937935</v>
      </c>
    </row>
    <row r="1802" spans="1:16" x14ac:dyDescent="0.35">
      <c r="A1802">
        <v>93827212681</v>
      </c>
      <c r="C1802" s="2" t="s">
        <v>883</v>
      </c>
      <c r="D1802">
        <v>3</v>
      </c>
      <c r="E1802">
        <v>76891213557</v>
      </c>
      <c r="F1802">
        <f t="shared" ca="1" si="56"/>
        <v>75</v>
      </c>
      <c r="G1802">
        <f ca="1">VLOOKUP(E1802,PurchItem!$A$2:$H$508,8,0)</f>
        <v>942.60995441491764</v>
      </c>
      <c r="H1802">
        <v>0.04</v>
      </c>
      <c r="I1802" t="s">
        <v>244</v>
      </c>
      <c r="M1802">
        <f t="shared" si="57"/>
        <v>10029727911</v>
      </c>
      <c r="N1802">
        <f ca="1">IF(M1802&lt;&gt;M1801,INDEX(CustInfo!$A$2:$A$1001,RANDBETWEEN(1,1000)),N1801)</f>
        <v>11607</v>
      </c>
      <c r="O1802" t="s">
        <v>1003</v>
      </c>
      <c r="P1802">
        <v>52937936</v>
      </c>
    </row>
    <row r="1803" spans="1:16" x14ac:dyDescent="0.35">
      <c r="A1803">
        <v>93827212682</v>
      </c>
      <c r="C1803" s="2" t="s">
        <v>883</v>
      </c>
      <c r="D1803">
        <v>1</v>
      </c>
      <c r="E1803">
        <v>76891213212</v>
      </c>
      <c r="F1803">
        <f t="shared" ca="1" si="56"/>
        <v>40</v>
      </c>
      <c r="G1803">
        <f ca="1">VLOOKUP(E1803,PurchItem!$A$2:$H$508,8,0)</f>
        <v>2083.2723648365518</v>
      </c>
      <c r="H1803">
        <v>0.06</v>
      </c>
      <c r="I1803" t="s">
        <v>244</v>
      </c>
      <c r="M1803">
        <f t="shared" si="57"/>
        <v>10029727912</v>
      </c>
      <c r="N1803">
        <f ca="1">IF(M1803&lt;&gt;M1802,INDEX(CustInfo!$A$2:$A$1001,RANDBETWEEN(1,1000)),N1802)</f>
        <v>11607</v>
      </c>
      <c r="O1803" t="s">
        <v>1001</v>
      </c>
      <c r="P1803">
        <v>52937937</v>
      </c>
    </row>
    <row r="1804" spans="1:16" x14ac:dyDescent="0.35">
      <c r="A1804">
        <v>93827212683</v>
      </c>
      <c r="C1804" s="2" t="s">
        <v>883</v>
      </c>
      <c r="D1804">
        <v>1</v>
      </c>
      <c r="E1804">
        <v>76891213598</v>
      </c>
      <c r="F1804">
        <f t="shared" ca="1" si="56"/>
        <v>23</v>
      </c>
      <c r="G1804">
        <f ca="1">VLOOKUP(E1804,PurchItem!$A$2:$H$508,8,0)</f>
        <v>3209.0538132389734</v>
      </c>
      <c r="H1804">
        <v>0.04</v>
      </c>
      <c r="I1804" t="s">
        <v>244</v>
      </c>
      <c r="M1804">
        <f t="shared" si="57"/>
        <v>10029727913</v>
      </c>
      <c r="N1804">
        <f ca="1">IF(M1804&lt;&gt;M1803,INDEX(CustInfo!$A$2:$A$1001,RANDBETWEEN(1,1000)),N1803)</f>
        <v>11589</v>
      </c>
      <c r="O1804" t="s">
        <v>1003</v>
      </c>
      <c r="P1804">
        <v>52937938</v>
      </c>
    </row>
    <row r="1805" spans="1:16" x14ac:dyDescent="0.35">
      <c r="A1805">
        <v>93827212683</v>
      </c>
      <c r="C1805" s="2" t="s">
        <v>883</v>
      </c>
      <c r="D1805">
        <v>2</v>
      </c>
      <c r="E1805">
        <v>76891213537</v>
      </c>
      <c r="F1805">
        <f t="shared" ca="1" si="56"/>
        <v>14</v>
      </c>
      <c r="G1805">
        <f ca="1">VLOOKUP(E1805,PurchItem!$A$2:$H$508,8,0)</f>
        <v>8926.2162855573406</v>
      </c>
      <c r="H1805">
        <v>0.06</v>
      </c>
      <c r="I1805" t="s">
        <v>244</v>
      </c>
      <c r="M1805">
        <f t="shared" si="57"/>
        <v>10029727913</v>
      </c>
      <c r="N1805">
        <f ca="1">IF(M1805&lt;&gt;M1804,INDEX(CustInfo!$A$2:$A$1001,RANDBETWEEN(1,1000)),N1804)</f>
        <v>11589</v>
      </c>
      <c r="O1805" t="s">
        <v>1003</v>
      </c>
      <c r="P1805">
        <v>52937939</v>
      </c>
    </row>
    <row r="1806" spans="1:16" x14ac:dyDescent="0.35">
      <c r="A1806">
        <v>93827212684</v>
      </c>
      <c r="C1806" s="2" t="s">
        <v>883</v>
      </c>
      <c r="D1806">
        <v>1</v>
      </c>
      <c r="E1806">
        <v>76891213319</v>
      </c>
      <c r="F1806">
        <f t="shared" ca="1" si="56"/>
        <v>81</v>
      </c>
      <c r="G1806">
        <f ca="1">VLOOKUP(E1806,PurchItem!$A$2:$H$508,8,0)</f>
        <v>9761.3302948596265</v>
      </c>
      <c r="H1806">
        <v>0.05</v>
      </c>
      <c r="I1806" t="s">
        <v>244</v>
      </c>
      <c r="M1806">
        <f t="shared" si="57"/>
        <v>10029727914</v>
      </c>
      <c r="N1806">
        <f ca="1">IF(M1806&lt;&gt;M1805,INDEX(CustInfo!$A$2:$A$1001,RANDBETWEEN(1,1000)),N1805)</f>
        <v>11795</v>
      </c>
      <c r="O1806" t="s">
        <v>1003</v>
      </c>
      <c r="P1806">
        <v>52937940</v>
      </c>
    </row>
    <row r="1807" spans="1:16" x14ac:dyDescent="0.35">
      <c r="A1807">
        <v>93827212684</v>
      </c>
      <c r="C1807" s="2" t="s">
        <v>883</v>
      </c>
      <c r="D1807">
        <v>2</v>
      </c>
      <c r="E1807">
        <v>76891213503</v>
      </c>
      <c r="F1807">
        <f t="shared" ca="1" si="56"/>
        <v>18</v>
      </c>
      <c r="G1807">
        <f ca="1">VLOOKUP(E1807,PurchItem!$A$2:$H$508,8,0)</f>
        <v>9117.4983275195518</v>
      </c>
      <c r="H1807">
        <v>0.05</v>
      </c>
      <c r="I1807" t="s">
        <v>244</v>
      </c>
      <c r="M1807">
        <f t="shared" si="57"/>
        <v>10029727914</v>
      </c>
      <c r="N1807">
        <f ca="1">IF(M1807&lt;&gt;M1806,INDEX(CustInfo!$A$2:$A$1001,RANDBETWEEN(1,1000)),N1806)</f>
        <v>11795</v>
      </c>
      <c r="O1807" t="s">
        <v>1003</v>
      </c>
      <c r="P1807">
        <v>52937941</v>
      </c>
    </row>
    <row r="1808" spans="1:16" x14ac:dyDescent="0.35">
      <c r="A1808">
        <v>93827212684</v>
      </c>
      <c r="C1808" s="2" t="s">
        <v>883</v>
      </c>
      <c r="D1808">
        <v>3</v>
      </c>
      <c r="E1808">
        <v>76891213493</v>
      </c>
      <c r="F1808">
        <f t="shared" ca="1" si="56"/>
        <v>63</v>
      </c>
      <c r="G1808">
        <f ca="1">VLOOKUP(E1808,PurchItem!$A$2:$H$508,8,0)</f>
        <v>1962.5465648313532</v>
      </c>
      <c r="H1808">
        <v>0.05</v>
      </c>
      <c r="I1808" t="s">
        <v>244</v>
      </c>
      <c r="M1808">
        <f t="shared" si="57"/>
        <v>10029727914</v>
      </c>
      <c r="N1808">
        <f ca="1">IF(M1808&lt;&gt;M1807,INDEX(CustInfo!$A$2:$A$1001,RANDBETWEEN(1,1000)),N1807)</f>
        <v>11795</v>
      </c>
      <c r="O1808" t="s">
        <v>1003</v>
      </c>
      <c r="P1808">
        <v>52937942</v>
      </c>
    </row>
    <row r="1809" spans="1:16" x14ac:dyDescent="0.35">
      <c r="A1809">
        <v>93827212684</v>
      </c>
      <c r="C1809" s="2" t="s">
        <v>883</v>
      </c>
      <c r="D1809">
        <v>4</v>
      </c>
      <c r="E1809">
        <v>76891213551</v>
      </c>
      <c r="F1809">
        <f t="shared" ca="1" si="56"/>
        <v>63</v>
      </c>
      <c r="G1809">
        <f ca="1">VLOOKUP(E1809,PurchItem!$A$2:$H$508,8,0)</f>
        <v>8257.6439178880792</v>
      </c>
      <c r="H1809">
        <v>0.05</v>
      </c>
      <c r="I1809" t="s">
        <v>244</v>
      </c>
      <c r="M1809">
        <f t="shared" si="57"/>
        <v>10029727914</v>
      </c>
      <c r="N1809">
        <f ca="1">IF(M1809&lt;&gt;M1808,INDEX(CustInfo!$A$2:$A$1001,RANDBETWEEN(1,1000)),N1808)</f>
        <v>11795</v>
      </c>
      <c r="O1809" t="s">
        <v>1003</v>
      </c>
      <c r="P1809">
        <v>52937943</v>
      </c>
    </row>
    <row r="1810" spans="1:16" x14ac:dyDescent="0.35">
      <c r="A1810">
        <v>93827212685</v>
      </c>
      <c r="C1810" s="2" t="s">
        <v>883</v>
      </c>
      <c r="D1810">
        <v>1</v>
      </c>
      <c r="E1810">
        <v>76891213338</v>
      </c>
      <c r="F1810">
        <f t="shared" ca="1" si="56"/>
        <v>86</v>
      </c>
      <c r="G1810">
        <f ca="1">VLOOKUP(E1810,PurchItem!$A$2:$H$508,8,0)</f>
        <v>4118.7626507182194</v>
      </c>
      <c r="H1810">
        <v>0.06</v>
      </c>
      <c r="I1810" t="s">
        <v>244</v>
      </c>
      <c r="M1810">
        <f t="shared" si="57"/>
        <v>10029727915</v>
      </c>
      <c r="N1810">
        <f ca="1">IF(M1810&lt;&gt;M1809,INDEX(CustInfo!$A$2:$A$1001,RANDBETWEEN(1,1000)),N1809)</f>
        <v>11102</v>
      </c>
      <c r="O1810" t="s">
        <v>1003</v>
      </c>
      <c r="P1810">
        <v>52937944</v>
      </c>
    </row>
    <row r="1811" spans="1:16" x14ac:dyDescent="0.35">
      <c r="A1811">
        <v>93827212685</v>
      </c>
      <c r="C1811" s="2" t="s">
        <v>883</v>
      </c>
      <c r="D1811">
        <v>2</v>
      </c>
      <c r="E1811">
        <v>76891213505</v>
      </c>
      <c r="F1811">
        <f t="shared" ca="1" si="56"/>
        <v>76</v>
      </c>
      <c r="G1811">
        <f ca="1">VLOOKUP(E1811,PurchItem!$A$2:$H$508,8,0)</f>
        <v>6494.2629478443014</v>
      </c>
      <c r="H1811">
        <v>0.05</v>
      </c>
      <c r="I1811" t="s">
        <v>244</v>
      </c>
      <c r="M1811">
        <f t="shared" si="57"/>
        <v>10029727915</v>
      </c>
      <c r="N1811">
        <f ca="1">IF(M1811&lt;&gt;M1810,INDEX(CustInfo!$A$2:$A$1001,RANDBETWEEN(1,1000)),N1810)</f>
        <v>11102</v>
      </c>
      <c r="O1811" t="s">
        <v>1003</v>
      </c>
      <c r="P1811">
        <v>52937945</v>
      </c>
    </row>
    <row r="1812" spans="1:16" x14ac:dyDescent="0.35">
      <c r="A1812">
        <v>93827212686</v>
      </c>
      <c r="C1812" s="2" t="s">
        <v>883</v>
      </c>
      <c r="D1812">
        <v>1</v>
      </c>
      <c r="E1812">
        <v>76891213275</v>
      </c>
      <c r="F1812">
        <f t="shared" ca="1" si="56"/>
        <v>79</v>
      </c>
      <c r="G1812">
        <f ca="1">VLOOKUP(E1812,PurchItem!$A$2:$H$508,8,0)</f>
        <v>2363.1921713388774</v>
      </c>
      <c r="H1812">
        <v>0.06</v>
      </c>
      <c r="I1812" t="s">
        <v>244</v>
      </c>
      <c r="M1812">
        <f t="shared" si="57"/>
        <v>10029727916</v>
      </c>
      <c r="N1812">
        <f ca="1">IF(M1812&lt;&gt;M1811,INDEX(CustInfo!$A$2:$A$1001,RANDBETWEEN(1,1000)),N1811)</f>
        <v>11496</v>
      </c>
      <c r="O1812" t="s">
        <v>1001</v>
      </c>
      <c r="P1812">
        <v>52937946</v>
      </c>
    </row>
    <row r="1813" spans="1:16" x14ac:dyDescent="0.35">
      <c r="A1813">
        <v>93827212687</v>
      </c>
      <c r="C1813" s="2" t="s">
        <v>883</v>
      </c>
      <c r="D1813">
        <v>1</v>
      </c>
      <c r="E1813">
        <v>76891213571</v>
      </c>
      <c r="F1813">
        <f t="shared" ca="1" si="56"/>
        <v>16</v>
      </c>
      <c r="G1813">
        <f ca="1">VLOOKUP(E1813,PurchItem!$A$2:$H$508,8,0)</f>
        <v>3575.5287130457696</v>
      </c>
      <c r="H1813">
        <v>0.05</v>
      </c>
      <c r="I1813" t="s">
        <v>244</v>
      </c>
      <c r="M1813">
        <f t="shared" si="57"/>
        <v>10029727917</v>
      </c>
      <c r="N1813">
        <f ca="1">IF(M1813&lt;&gt;M1812,INDEX(CustInfo!$A$2:$A$1001,RANDBETWEEN(1,1000)),N1812)</f>
        <v>11165</v>
      </c>
      <c r="O1813" t="s">
        <v>1001</v>
      </c>
      <c r="P1813">
        <v>52937947</v>
      </c>
    </row>
    <row r="1814" spans="1:16" x14ac:dyDescent="0.35">
      <c r="A1814">
        <v>93827212687</v>
      </c>
      <c r="C1814" s="2" t="s">
        <v>883</v>
      </c>
      <c r="D1814">
        <v>2</v>
      </c>
      <c r="E1814">
        <v>76891213188</v>
      </c>
      <c r="F1814">
        <f t="shared" ca="1" si="56"/>
        <v>90</v>
      </c>
      <c r="G1814">
        <f ca="1">VLOOKUP(E1814,PurchItem!$A$2:$H$508,8,0)</f>
        <v>4560.9730201131779</v>
      </c>
      <c r="H1814">
        <v>0.04</v>
      </c>
      <c r="I1814" t="s">
        <v>244</v>
      </c>
      <c r="M1814">
        <f t="shared" si="57"/>
        <v>10029727917</v>
      </c>
      <c r="N1814">
        <f ca="1">IF(M1814&lt;&gt;M1813,INDEX(CustInfo!$A$2:$A$1001,RANDBETWEEN(1,1000)),N1813)</f>
        <v>11165</v>
      </c>
      <c r="O1814" t="s">
        <v>1001</v>
      </c>
      <c r="P1814">
        <v>52937948</v>
      </c>
    </row>
    <row r="1815" spans="1:16" x14ac:dyDescent="0.35">
      <c r="A1815">
        <v>93827212688</v>
      </c>
      <c r="C1815" s="2" t="s">
        <v>883</v>
      </c>
      <c r="D1815">
        <v>1</v>
      </c>
      <c r="E1815">
        <v>76891213498</v>
      </c>
      <c r="F1815">
        <f t="shared" ca="1" si="56"/>
        <v>69</v>
      </c>
      <c r="G1815">
        <f ca="1">VLOOKUP(E1815,PurchItem!$A$2:$H$508,8,0)</f>
        <v>4995.713213871999</v>
      </c>
      <c r="H1815">
        <v>0.06</v>
      </c>
      <c r="I1815" t="s">
        <v>244</v>
      </c>
      <c r="M1815">
        <f t="shared" si="57"/>
        <v>10029727918</v>
      </c>
      <c r="N1815">
        <f ca="1">IF(M1815&lt;&gt;M1814,INDEX(CustInfo!$A$2:$A$1001,RANDBETWEEN(1,1000)),N1814)</f>
        <v>11045</v>
      </c>
      <c r="O1815" t="s">
        <v>1001</v>
      </c>
      <c r="P1815">
        <v>52937949</v>
      </c>
    </row>
    <row r="1816" spans="1:16" x14ac:dyDescent="0.35">
      <c r="A1816">
        <v>93827212688</v>
      </c>
      <c r="C1816" s="2" t="s">
        <v>883</v>
      </c>
      <c r="D1816">
        <v>2</v>
      </c>
      <c r="E1816">
        <v>76891213224</v>
      </c>
      <c r="F1816">
        <f t="shared" ca="1" si="56"/>
        <v>25</v>
      </c>
      <c r="G1816">
        <f ca="1">VLOOKUP(E1816,PurchItem!$A$2:$H$508,8,0)</f>
        <v>8420.1187959003801</v>
      </c>
      <c r="H1816">
        <v>0.06</v>
      </c>
      <c r="I1816" t="s">
        <v>244</v>
      </c>
      <c r="M1816">
        <f t="shared" si="57"/>
        <v>10029727918</v>
      </c>
      <c r="N1816">
        <f ca="1">IF(M1816&lt;&gt;M1815,INDEX(CustInfo!$A$2:$A$1001,RANDBETWEEN(1,1000)),N1815)</f>
        <v>11045</v>
      </c>
      <c r="O1816" t="s">
        <v>1001</v>
      </c>
      <c r="P1816">
        <v>52937950</v>
      </c>
    </row>
    <row r="1817" spans="1:16" x14ac:dyDescent="0.35">
      <c r="A1817">
        <v>93827212689</v>
      </c>
      <c r="C1817" s="2" t="s">
        <v>883</v>
      </c>
      <c r="D1817">
        <v>1</v>
      </c>
      <c r="E1817">
        <v>76891213585</v>
      </c>
      <c r="F1817">
        <f t="shared" ca="1" si="56"/>
        <v>35</v>
      </c>
      <c r="G1817">
        <f ca="1">VLOOKUP(E1817,PurchItem!$A$2:$H$508,8,0)</f>
        <v>7205.2405986070289</v>
      </c>
      <c r="H1817">
        <v>0.05</v>
      </c>
      <c r="I1817" t="s">
        <v>244</v>
      </c>
      <c r="M1817">
        <f t="shared" si="57"/>
        <v>10029727919</v>
      </c>
      <c r="N1817">
        <f ca="1">IF(M1817&lt;&gt;M1816,INDEX(CustInfo!$A$2:$A$1001,RANDBETWEEN(1,1000)),N1816)</f>
        <v>11409</v>
      </c>
      <c r="O1817" t="s">
        <v>1003</v>
      </c>
      <c r="P1817">
        <v>52937951</v>
      </c>
    </row>
    <row r="1818" spans="1:16" x14ac:dyDescent="0.35">
      <c r="A1818">
        <v>93827212689</v>
      </c>
      <c r="C1818" s="2" t="s">
        <v>883</v>
      </c>
      <c r="D1818">
        <v>2</v>
      </c>
      <c r="E1818">
        <v>76891213483</v>
      </c>
      <c r="F1818">
        <f t="shared" ca="1" si="56"/>
        <v>18</v>
      </c>
      <c r="G1818">
        <f ca="1">VLOOKUP(E1818,PurchItem!$A$2:$H$508,8,0)</f>
        <v>1444.9221787766719</v>
      </c>
      <c r="H1818">
        <v>0.06</v>
      </c>
      <c r="I1818" t="s">
        <v>244</v>
      </c>
      <c r="M1818">
        <f t="shared" si="57"/>
        <v>10029727919</v>
      </c>
      <c r="N1818">
        <f ca="1">IF(M1818&lt;&gt;M1817,INDEX(CustInfo!$A$2:$A$1001,RANDBETWEEN(1,1000)),N1817)</f>
        <v>11409</v>
      </c>
      <c r="O1818" t="s">
        <v>1003</v>
      </c>
      <c r="P1818">
        <v>52937952</v>
      </c>
    </row>
    <row r="1819" spans="1:16" x14ac:dyDescent="0.35">
      <c r="A1819">
        <v>93827212689</v>
      </c>
      <c r="C1819" s="2" t="s">
        <v>883</v>
      </c>
      <c r="D1819">
        <v>3</v>
      </c>
      <c r="E1819">
        <v>76891213570</v>
      </c>
      <c r="F1819">
        <f t="shared" ca="1" si="56"/>
        <v>24</v>
      </c>
      <c r="G1819">
        <f ca="1">VLOOKUP(E1819,PurchItem!$A$2:$H$508,8,0)</f>
        <v>9788.963236721278</v>
      </c>
      <c r="H1819">
        <v>0.04</v>
      </c>
      <c r="I1819" t="s">
        <v>244</v>
      </c>
      <c r="M1819">
        <f t="shared" si="57"/>
        <v>10029727919</v>
      </c>
      <c r="N1819">
        <f ca="1">IF(M1819&lt;&gt;M1818,INDEX(CustInfo!$A$2:$A$1001,RANDBETWEEN(1,1000)),N1818)</f>
        <v>11409</v>
      </c>
      <c r="O1819" t="s">
        <v>1003</v>
      </c>
      <c r="P1819">
        <v>52937953</v>
      </c>
    </row>
    <row r="1820" spans="1:16" x14ac:dyDescent="0.35">
      <c r="A1820">
        <v>93827212690</v>
      </c>
      <c r="C1820" s="2" t="s">
        <v>883</v>
      </c>
      <c r="D1820">
        <v>1</v>
      </c>
      <c r="E1820">
        <v>76891213449</v>
      </c>
      <c r="F1820">
        <f t="shared" ca="1" si="56"/>
        <v>88</v>
      </c>
      <c r="G1820">
        <f ca="1">VLOOKUP(E1820,PurchItem!$A$2:$H$508,8,0)</f>
        <v>8466.7708817939128</v>
      </c>
      <c r="H1820">
        <v>0.04</v>
      </c>
      <c r="I1820" t="s">
        <v>244</v>
      </c>
      <c r="M1820">
        <f t="shared" si="57"/>
        <v>10029727920</v>
      </c>
      <c r="N1820">
        <f ca="1">IF(M1820&lt;&gt;M1819,INDEX(CustInfo!$A$2:$A$1001,RANDBETWEEN(1,1000)),N1819)</f>
        <v>11909</v>
      </c>
      <c r="O1820" t="s">
        <v>1001</v>
      </c>
      <c r="P1820">
        <v>52937954</v>
      </c>
    </row>
    <row r="1821" spans="1:16" x14ac:dyDescent="0.35">
      <c r="A1821">
        <v>93827212690</v>
      </c>
      <c r="C1821" s="2" t="s">
        <v>883</v>
      </c>
      <c r="D1821">
        <v>2</v>
      </c>
      <c r="E1821">
        <v>76891213159</v>
      </c>
      <c r="F1821">
        <f t="shared" ca="1" si="56"/>
        <v>87</v>
      </c>
      <c r="G1821">
        <f ca="1">VLOOKUP(E1821,PurchItem!$A$2:$H$508,8,0)</f>
        <v>1020.1296091286805</v>
      </c>
      <c r="H1821">
        <v>0.06</v>
      </c>
      <c r="I1821" t="s">
        <v>244</v>
      </c>
      <c r="M1821">
        <f t="shared" si="57"/>
        <v>10029727920</v>
      </c>
      <c r="N1821">
        <f ca="1">IF(M1821&lt;&gt;M1820,INDEX(CustInfo!$A$2:$A$1001,RANDBETWEEN(1,1000)),N1820)</f>
        <v>11909</v>
      </c>
      <c r="O1821" t="s">
        <v>1001</v>
      </c>
      <c r="P1821">
        <v>52937955</v>
      </c>
    </row>
    <row r="1822" spans="1:16" x14ac:dyDescent="0.35">
      <c r="A1822">
        <v>93827212690</v>
      </c>
      <c r="C1822" s="2" t="s">
        <v>883</v>
      </c>
      <c r="D1822">
        <v>3</v>
      </c>
      <c r="E1822">
        <v>76891213330</v>
      </c>
      <c r="F1822">
        <f t="shared" ca="1" si="56"/>
        <v>99</v>
      </c>
      <c r="G1822">
        <f ca="1">VLOOKUP(E1822,PurchItem!$A$2:$H$508,8,0)</f>
        <v>744.22383412775935</v>
      </c>
      <c r="H1822">
        <v>0.06</v>
      </c>
      <c r="I1822" t="s">
        <v>244</v>
      </c>
      <c r="M1822">
        <f t="shared" si="57"/>
        <v>10029727920</v>
      </c>
      <c r="N1822">
        <f ca="1">IF(M1822&lt;&gt;M1821,INDEX(CustInfo!$A$2:$A$1001,RANDBETWEEN(1,1000)),N1821)</f>
        <v>11909</v>
      </c>
      <c r="O1822" t="s">
        <v>1001</v>
      </c>
      <c r="P1822">
        <v>52937956</v>
      </c>
    </row>
    <row r="1823" spans="1:16" x14ac:dyDescent="0.35">
      <c r="A1823">
        <v>93827212690</v>
      </c>
      <c r="C1823" s="2" t="s">
        <v>883</v>
      </c>
      <c r="D1823">
        <v>4</v>
      </c>
      <c r="E1823">
        <v>76891213209</v>
      </c>
      <c r="F1823">
        <f t="shared" ca="1" si="56"/>
        <v>28</v>
      </c>
      <c r="G1823">
        <f ca="1">VLOOKUP(E1823,PurchItem!$A$2:$H$508,8,0)</f>
        <v>6018.1993043939055</v>
      </c>
      <c r="H1823">
        <v>0.04</v>
      </c>
      <c r="I1823" t="s">
        <v>244</v>
      </c>
      <c r="M1823">
        <f t="shared" si="57"/>
        <v>10029727920</v>
      </c>
      <c r="N1823">
        <f ca="1">IF(M1823&lt;&gt;M1822,INDEX(CustInfo!$A$2:$A$1001,RANDBETWEEN(1,1000)),N1822)</f>
        <v>11909</v>
      </c>
      <c r="O1823" t="s">
        <v>1001</v>
      </c>
      <c r="P1823">
        <v>52937957</v>
      </c>
    </row>
    <row r="1824" spans="1:16" x14ac:dyDescent="0.35">
      <c r="A1824">
        <v>93827212691</v>
      </c>
      <c r="C1824" s="2" t="s">
        <v>883</v>
      </c>
      <c r="D1824">
        <v>1</v>
      </c>
      <c r="E1824">
        <v>76891213475</v>
      </c>
      <c r="F1824">
        <f t="shared" ca="1" si="56"/>
        <v>23</v>
      </c>
      <c r="G1824">
        <f ca="1">VLOOKUP(E1824,PurchItem!$A$2:$H$508,8,0)</f>
        <v>346.87499167337484</v>
      </c>
      <c r="H1824">
        <v>0.04</v>
      </c>
      <c r="I1824" t="s">
        <v>244</v>
      </c>
      <c r="M1824">
        <f t="shared" si="57"/>
        <v>10029727921</v>
      </c>
      <c r="N1824">
        <f ca="1">IF(M1824&lt;&gt;M1823,INDEX(CustInfo!$A$2:$A$1001,RANDBETWEEN(1,1000)),N1823)</f>
        <v>11340</v>
      </c>
      <c r="O1824" t="s">
        <v>1003</v>
      </c>
      <c r="P1824">
        <v>52937958</v>
      </c>
    </row>
    <row r="1825" spans="1:16" x14ac:dyDescent="0.35">
      <c r="A1825">
        <v>93827212691</v>
      </c>
      <c r="C1825" s="2" t="s">
        <v>883</v>
      </c>
      <c r="D1825">
        <v>2</v>
      </c>
      <c r="E1825">
        <v>76891213333</v>
      </c>
      <c r="F1825">
        <f t="shared" ca="1" si="56"/>
        <v>93</v>
      </c>
      <c r="G1825">
        <f ca="1">VLOOKUP(E1825,PurchItem!$A$2:$H$508,8,0)</f>
        <v>8289.6692498362754</v>
      </c>
      <c r="H1825">
        <v>0.04</v>
      </c>
      <c r="I1825" t="s">
        <v>244</v>
      </c>
      <c r="M1825">
        <f t="shared" si="57"/>
        <v>10029727921</v>
      </c>
      <c r="N1825">
        <f ca="1">IF(M1825&lt;&gt;M1824,INDEX(CustInfo!$A$2:$A$1001,RANDBETWEEN(1,1000)),N1824)</f>
        <v>11340</v>
      </c>
      <c r="O1825" t="s">
        <v>1003</v>
      </c>
      <c r="P1825">
        <v>52937959</v>
      </c>
    </row>
    <row r="1826" spans="1:16" x14ac:dyDescent="0.35">
      <c r="A1826">
        <v>93827212691</v>
      </c>
      <c r="C1826" s="2" t="s">
        <v>883</v>
      </c>
      <c r="D1826">
        <v>3</v>
      </c>
      <c r="E1826">
        <v>76891213195</v>
      </c>
      <c r="F1826">
        <f t="shared" ca="1" si="56"/>
        <v>14</v>
      </c>
      <c r="G1826">
        <f ca="1">VLOOKUP(E1826,PurchItem!$A$2:$H$508,8,0)</f>
        <v>2949.5166215472982</v>
      </c>
      <c r="H1826">
        <v>0.04</v>
      </c>
      <c r="I1826" t="s">
        <v>244</v>
      </c>
      <c r="M1826">
        <f t="shared" si="57"/>
        <v>10029727921</v>
      </c>
      <c r="N1826">
        <f ca="1">IF(M1826&lt;&gt;M1825,INDEX(CustInfo!$A$2:$A$1001,RANDBETWEEN(1,1000)),N1825)</f>
        <v>11340</v>
      </c>
      <c r="O1826" t="s">
        <v>1003</v>
      </c>
      <c r="P1826">
        <v>52937960</v>
      </c>
    </row>
    <row r="1827" spans="1:16" x14ac:dyDescent="0.35">
      <c r="A1827">
        <v>93827212692</v>
      </c>
      <c r="C1827" s="2" t="s">
        <v>883</v>
      </c>
      <c r="D1827">
        <v>1</v>
      </c>
      <c r="E1827">
        <v>76891213304</v>
      </c>
      <c r="F1827">
        <f t="shared" ca="1" si="56"/>
        <v>36</v>
      </c>
      <c r="G1827">
        <f ca="1">VLOOKUP(E1827,PurchItem!$A$2:$H$508,8,0)</f>
        <v>6666.5905638765125</v>
      </c>
      <c r="H1827">
        <v>0.06</v>
      </c>
      <c r="I1827" t="s">
        <v>244</v>
      </c>
      <c r="M1827">
        <f t="shared" si="57"/>
        <v>10029727922</v>
      </c>
      <c r="N1827">
        <f ca="1">IF(M1827&lt;&gt;M1826,INDEX(CustInfo!$A$2:$A$1001,RANDBETWEEN(1,1000)),N1826)</f>
        <v>11422</v>
      </c>
      <c r="O1827" t="s">
        <v>1003</v>
      </c>
      <c r="P1827">
        <v>52937961</v>
      </c>
    </row>
    <row r="1828" spans="1:16" x14ac:dyDescent="0.35">
      <c r="A1828">
        <v>93827212692</v>
      </c>
      <c r="C1828" s="2" t="s">
        <v>883</v>
      </c>
      <c r="D1828">
        <v>2</v>
      </c>
      <c r="E1828">
        <v>76891213554</v>
      </c>
      <c r="F1828">
        <f t="shared" ca="1" si="56"/>
        <v>29</v>
      </c>
      <c r="G1828">
        <f ca="1">VLOOKUP(E1828,PurchItem!$A$2:$H$508,8,0)</f>
        <v>951.21890056653785</v>
      </c>
      <c r="H1828">
        <v>0.06</v>
      </c>
      <c r="I1828" t="s">
        <v>244</v>
      </c>
      <c r="M1828">
        <f t="shared" si="57"/>
        <v>10029727922</v>
      </c>
      <c r="N1828">
        <f ca="1">IF(M1828&lt;&gt;M1827,INDEX(CustInfo!$A$2:$A$1001,RANDBETWEEN(1,1000)),N1827)</f>
        <v>11422</v>
      </c>
      <c r="O1828" t="s">
        <v>1003</v>
      </c>
      <c r="P1828">
        <v>52937962</v>
      </c>
    </row>
    <row r="1829" spans="1:16" x14ac:dyDescent="0.35">
      <c r="A1829">
        <v>93827212692</v>
      </c>
      <c r="C1829" s="2" t="s">
        <v>883</v>
      </c>
      <c r="D1829">
        <v>3</v>
      </c>
      <c r="E1829">
        <v>76891213322</v>
      </c>
      <c r="F1829">
        <f t="shared" ca="1" si="56"/>
        <v>59</v>
      </c>
      <c r="G1829">
        <f ca="1">VLOOKUP(E1829,PurchItem!$A$2:$H$508,8,0)</f>
        <v>941.07053196484935</v>
      </c>
      <c r="H1829">
        <v>0.04</v>
      </c>
      <c r="I1829" t="s">
        <v>244</v>
      </c>
      <c r="M1829">
        <f t="shared" si="57"/>
        <v>10029727922</v>
      </c>
      <c r="N1829">
        <f ca="1">IF(M1829&lt;&gt;M1828,INDEX(CustInfo!$A$2:$A$1001,RANDBETWEEN(1,1000)),N1828)</f>
        <v>11422</v>
      </c>
      <c r="O1829" t="s">
        <v>1003</v>
      </c>
      <c r="P1829">
        <v>52937963</v>
      </c>
    </row>
    <row r="1830" spans="1:16" x14ac:dyDescent="0.35">
      <c r="A1830">
        <v>93827212693</v>
      </c>
      <c r="C1830" s="2" t="s">
        <v>883</v>
      </c>
      <c r="D1830">
        <v>1</v>
      </c>
      <c r="E1830">
        <v>76891213148</v>
      </c>
      <c r="F1830">
        <f t="shared" ca="1" si="56"/>
        <v>83</v>
      </c>
      <c r="G1830">
        <f ca="1">VLOOKUP(E1830,PurchItem!$A$2:$H$508,8,0)</f>
        <v>1059.7105318061322</v>
      </c>
      <c r="H1830">
        <v>0.05</v>
      </c>
      <c r="I1830" t="s">
        <v>244</v>
      </c>
      <c r="M1830">
        <f t="shared" si="57"/>
        <v>10029727923</v>
      </c>
      <c r="N1830">
        <f ca="1">IF(M1830&lt;&gt;M1829,INDEX(CustInfo!$A$2:$A$1001,RANDBETWEEN(1,1000)),N1829)</f>
        <v>11519</v>
      </c>
      <c r="O1830" t="s">
        <v>1003</v>
      </c>
      <c r="P1830">
        <v>52937964</v>
      </c>
    </row>
    <row r="1831" spans="1:16" x14ac:dyDescent="0.35">
      <c r="A1831">
        <v>93827212693</v>
      </c>
      <c r="C1831" s="2" t="s">
        <v>883</v>
      </c>
      <c r="D1831">
        <v>2</v>
      </c>
      <c r="E1831">
        <v>76891213253</v>
      </c>
      <c r="F1831">
        <f t="shared" ca="1" si="56"/>
        <v>85</v>
      </c>
      <c r="G1831">
        <f ca="1">VLOOKUP(E1831,PurchItem!$A$2:$H$508,8,0)</f>
        <v>2205.8632252448356</v>
      </c>
      <c r="H1831">
        <v>0.05</v>
      </c>
      <c r="I1831" t="s">
        <v>244</v>
      </c>
      <c r="M1831">
        <f t="shared" si="57"/>
        <v>10029727923</v>
      </c>
      <c r="N1831">
        <f ca="1">IF(M1831&lt;&gt;M1830,INDEX(CustInfo!$A$2:$A$1001,RANDBETWEEN(1,1000)),N1830)</f>
        <v>11519</v>
      </c>
      <c r="O1831" t="s">
        <v>1003</v>
      </c>
      <c r="P1831">
        <v>52937965</v>
      </c>
    </row>
    <row r="1832" spans="1:16" x14ac:dyDescent="0.35">
      <c r="A1832">
        <v>93827212693</v>
      </c>
      <c r="C1832" s="2" t="s">
        <v>883</v>
      </c>
      <c r="D1832">
        <v>3</v>
      </c>
      <c r="E1832">
        <v>76891213346</v>
      </c>
      <c r="F1832">
        <f t="shared" ca="1" si="56"/>
        <v>54</v>
      </c>
      <c r="G1832">
        <f ca="1">VLOOKUP(E1832,PurchItem!$A$2:$H$508,8,0)</f>
        <v>7319.6019842468886</v>
      </c>
      <c r="H1832">
        <v>0.06</v>
      </c>
      <c r="I1832" t="s">
        <v>244</v>
      </c>
      <c r="M1832">
        <f t="shared" si="57"/>
        <v>10029727923</v>
      </c>
      <c r="N1832">
        <f ca="1">IF(M1832&lt;&gt;M1831,INDEX(CustInfo!$A$2:$A$1001,RANDBETWEEN(1,1000)),N1831)</f>
        <v>11519</v>
      </c>
      <c r="O1832" t="s">
        <v>1003</v>
      </c>
      <c r="P1832">
        <v>52937966</v>
      </c>
    </row>
    <row r="1833" spans="1:16" x14ac:dyDescent="0.35">
      <c r="A1833">
        <v>93827212693</v>
      </c>
      <c r="C1833" s="2" t="s">
        <v>883</v>
      </c>
      <c r="D1833">
        <v>4</v>
      </c>
      <c r="E1833">
        <v>76891213273</v>
      </c>
      <c r="F1833">
        <f t="shared" ca="1" si="56"/>
        <v>81</v>
      </c>
      <c r="G1833">
        <f ca="1">VLOOKUP(E1833,PurchItem!$A$2:$H$508,8,0)</f>
        <v>3906.5910334641267</v>
      </c>
      <c r="H1833">
        <v>0.04</v>
      </c>
      <c r="I1833" t="s">
        <v>244</v>
      </c>
      <c r="M1833">
        <f t="shared" si="57"/>
        <v>10029727923</v>
      </c>
      <c r="N1833">
        <f ca="1">IF(M1833&lt;&gt;M1832,INDEX(CustInfo!$A$2:$A$1001,RANDBETWEEN(1,1000)),N1832)</f>
        <v>11519</v>
      </c>
      <c r="O1833" t="s">
        <v>1003</v>
      </c>
      <c r="P1833">
        <v>52937967</v>
      </c>
    </row>
    <row r="1834" spans="1:16" x14ac:dyDescent="0.35">
      <c r="A1834">
        <v>93827212694</v>
      </c>
      <c r="C1834" s="2" t="s">
        <v>883</v>
      </c>
      <c r="D1834">
        <v>1</v>
      </c>
      <c r="E1834">
        <v>76891213422</v>
      </c>
      <c r="F1834">
        <f t="shared" ca="1" si="56"/>
        <v>31</v>
      </c>
      <c r="G1834">
        <f ca="1">VLOOKUP(E1834,PurchItem!$A$2:$H$508,8,0)</f>
        <v>2902.3044736195407</v>
      </c>
      <c r="H1834">
        <v>0.06</v>
      </c>
      <c r="I1834" t="s">
        <v>244</v>
      </c>
      <c r="M1834">
        <f t="shared" si="57"/>
        <v>10029727924</v>
      </c>
      <c r="N1834">
        <f ca="1">IF(M1834&lt;&gt;M1833,INDEX(CustInfo!$A$2:$A$1001,RANDBETWEEN(1,1000)),N1833)</f>
        <v>11627</v>
      </c>
      <c r="O1834" t="s">
        <v>1003</v>
      </c>
      <c r="P1834">
        <v>52937968</v>
      </c>
    </row>
    <row r="1835" spans="1:16" x14ac:dyDescent="0.35">
      <c r="A1835">
        <v>93827212694</v>
      </c>
      <c r="C1835" s="2" t="s">
        <v>883</v>
      </c>
      <c r="D1835">
        <v>2</v>
      </c>
      <c r="E1835">
        <v>76891213590</v>
      </c>
      <c r="F1835">
        <f t="shared" ca="1" si="56"/>
        <v>25</v>
      </c>
      <c r="G1835">
        <f ca="1">VLOOKUP(E1835,PurchItem!$A$2:$H$508,8,0)</f>
        <v>7917.0484239555426</v>
      </c>
      <c r="H1835">
        <v>0.04</v>
      </c>
      <c r="I1835" t="s">
        <v>244</v>
      </c>
      <c r="M1835">
        <f t="shared" si="57"/>
        <v>10029727924</v>
      </c>
      <c r="N1835">
        <f ca="1">IF(M1835&lt;&gt;M1834,INDEX(CustInfo!$A$2:$A$1001,RANDBETWEEN(1,1000)),N1834)</f>
        <v>11627</v>
      </c>
      <c r="O1835" t="s">
        <v>1003</v>
      </c>
      <c r="P1835">
        <v>52937969</v>
      </c>
    </row>
    <row r="1836" spans="1:16" x14ac:dyDescent="0.35">
      <c r="A1836">
        <v>93827212694</v>
      </c>
      <c r="C1836" s="2" t="s">
        <v>883</v>
      </c>
      <c r="D1836">
        <v>3</v>
      </c>
      <c r="E1836">
        <v>76891213227</v>
      </c>
      <c r="F1836">
        <f t="shared" ca="1" si="56"/>
        <v>43</v>
      </c>
      <c r="G1836">
        <f ca="1">VLOOKUP(E1836,PurchItem!$A$2:$H$508,8,0)</f>
        <v>2491.1474363656821</v>
      </c>
      <c r="H1836">
        <v>0.04</v>
      </c>
      <c r="I1836" t="s">
        <v>244</v>
      </c>
      <c r="M1836">
        <f t="shared" si="57"/>
        <v>10029727924</v>
      </c>
      <c r="N1836">
        <f ca="1">IF(M1836&lt;&gt;M1835,INDEX(CustInfo!$A$2:$A$1001,RANDBETWEEN(1,1000)),N1835)</f>
        <v>11627</v>
      </c>
      <c r="O1836" t="s">
        <v>1003</v>
      </c>
      <c r="P1836">
        <v>52937970</v>
      </c>
    </row>
    <row r="1837" spans="1:16" x14ac:dyDescent="0.35">
      <c r="A1837">
        <v>93827212695</v>
      </c>
      <c r="C1837" s="2" t="s">
        <v>883</v>
      </c>
      <c r="D1837">
        <v>1</v>
      </c>
      <c r="E1837">
        <v>76891213358</v>
      </c>
      <c r="F1837">
        <f t="shared" ca="1" si="56"/>
        <v>10</v>
      </c>
      <c r="G1837">
        <f ca="1">VLOOKUP(E1837,PurchItem!$A$2:$H$508,8,0)</f>
        <v>2522.1941384716652</v>
      </c>
      <c r="H1837">
        <v>0.04</v>
      </c>
      <c r="I1837" t="s">
        <v>244</v>
      </c>
      <c r="M1837">
        <f t="shared" si="57"/>
        <v>10029727925</v>
      </c>
      <c r="N1837">
        <f ca="1">IF(M1837&lt;&gt;M1836,INDEX(CustInfo!$A$2:$A$1001,RANDBETWEEN(1,1000)),N1836)</f>
        <v>11317</v>
      </c>
      <c r="O1837" t="s">
        <v>1002</v>
      </c>
      <c r="P1837">
        <v>52937971</v>
      </c>
    </row>
    <row r="1838" spans="1:16" x14ac:dyDescent="0.35">
      <c r="A1838">
        <v>93827212696</v>
      </c>
      <c r="C1838" s="2" t="s">
        <v>883</v>
      </c>
      <c r="D1838">
        <v>1</v>
      </c>
      <c r="E1838">
        <v>76891213476</v>
      </c>
      <c r="F1838">
        <f t="shared" ca="1" si="56"/>
        <v>71</v>
      </c>
      <c r="G1838">
        <f ca="1">VLOOKUP(E1838,PurchItem!$A$2:$H$508,8,0)</f>
        <v>9770.3876233997762</v>
      </c>
      <c r="H1838">
        <v>0.05</v>
      </c>
      <c r="I1838" t="s">
        <v>244</v>
      </c>
      <c r="M1838">
        <f t="shared" si="57"/>
        <v>10029727926</v>
      </c>
      <c r="N1838">
        <f ca="1">IF(M1838&lt;&gt;M1837,INDEX(CustInfo!$A$2:$A$1001,RANDBETWEEN(1,1000)),N1837)</f>
        <v>11148</v>
      </c>
      <c r="O1838" t="s">
        <v>1001</v>
      </c>
      <c r="P1838">
        <v>52937972</v>
      </c>
    </row>
    <row r="1839" spans="1:16" x14ac:dyDescent="0.35">
      <c r="A1839">
        <v>93827212696</v>
      </c>
      <c r="C1839" s="2" t="s">
        <v>883</v>
      </c>
      <c r="D1839">
        <v>2</v>
      </c>
      <c r="E1839">
        <v>76891213603</v>
      </c>
      <c r="F1839">
        <f t="shared" ca="1" si="56"/>
        <v>18</v>
      </c>
      <c r="G1839">
        <f ca="1">VLOOKUP(E1839,PurchItem!$A$2:$H$508,8,0)</f>
        <v>4831.6381960821909</v>
      </c>
      <c r="H1839">
        <v>0.05</v>
      </c>
      <c r="I1839" t="s">
        <v>244</v>
      </c>
      <c r="M1839">
        <f t="shared" si="57"/>
        <v>10029727926</v>
      </c>
      <c r="N1839">
        <f ca="1">IF(M1839&lt;&gt;M1838,INDEX(CustInfo!$A$2:$A$1001,RANDBETWEEN(1,1000)),N1838)</f>
        <v>11148</v>
      </c>
      <c r="O1839" t="s">
        <v>1001</v>
      </c>
      <c r="P1839">
        <v>52937973</v>
      </c>
    </row>
    <row r="1840" spans="1:16" x14ac:dyDescent="0.35">
      <c r="A1840">
        <v>93827212697</v>
      </c>
      <c r="C1840" s="2" t="s">
        <v>883</v>
      </c>
      <c r="D1840">
        <v>1</v>
      </c>
      <c r="E1840">
        <v>76891213284</v>
      </c>
      <c r="F1840">
        <f t="shared" ca="1" si="56"/>
        <v>89</v>
      </c>
      <c r="G1840">
        <f ca="1">VLOOKUP(E1840,PurchItem!$A$2:$H$508,8,0)</f>
        <v>8438.9292821455692</v>
      </c>
      <c r="H1840">
        <v>0.06</v>
      </c>
      <c r="I1840" t="s">
        <v>244</v>
      </c>
      <c r="M1840">
        <f t="shared" si="57"/>
        <v>10029727927</v>
      </c>
      <c r="N1840">
        <f ca="1">IF(M1840&lt;&gt;M1839,INDEX(CustInfo!$A$2:$A$1001,RANDBETWEEN(1,1000)),N1839)</f>
        <v>11301</v>
      </c>
      <c r="O1840" t="s">
        <v>1002</v>
      </c>
      <c r="P1840">
        <v>52937974</v>
      </c>
    </row>
    <row r="1841" spans="1:16" x14ac:dyDescent="0.35">
      <c r="A1841">
        <v>93827212697</v>
      </c>
      <c r="C1841" s="2" t="s">
        <v>883</v>
      </c>
      <c r="D1841">
        <v>2</v>
      </c>
      <c r="E1841">
        <v>76891213282</v>
      </c>
      <c r="F1841">
        <f t="shared" ca="1" si="56"/>
        <v>44</v>
      </c>
      <c r="G1841">
        <f ca="1">VLOOKUP(E1841,PurchItem!$A$2:$H$508,8,0)</f>
        <v>7043.1528369539874</v>
      </c>
      <c r="H1841">
        <v>0.05</v>
      </c>
      <c r="I1841" t="s">
        <v>244</v>
      </c>
      <c r="M1841">
        <f t="shared" si="57"/>
        <v>10029727927</v>
      </c>
      <c r="N1841">
        <f ca="1">IF(M1841&lt;&gt;M1840,INDEX(CustInfo!$A$2:$A$1001,RANDBETWEEN(1,1000)),N1840)</f>
        <v>11301</v>
      </c>
      <c r="O1841" t="s">
        <v>1002</v>
      </c>
      <c r="P1841">
        <v>52937975</v>
      </c>
    </row>
    <row r="1842" spans="1:16" x14ac:dyDescent="0.35">
      <c r="A1842">
        <v>93827212697</v>
      </c>
      <c r="C1842" s="2" t="s">
        <v>883</v>
      </c>
      <c r="D1842">
        <v>3</v>
      </c>
      <c r="E1842">
        <v>76891213484</v>
      </c>
      <c r="F1842">
        <f t="shared" ca="1" si="56"/>
        <v>55</v>
      </c>
      <c r="G1842">
        <f ca="1">VLOOKUP(E1842,PurchItem!$A$2:$H$508,8,0)</f>
        <v>6278.4735130598492</v>
      </c>
      <c r="H1842">
        <v>0.06</v>
      </c>
      <c r="I1842" t="s">
        <v>244</v>
      </c>
      <c r="M1842">
        <f t="shared" si="57"/>
        <v>10029727927</v>
      </c>
      <c r="N1842">
        <f ca="1">IF(M1842&lt;&gt;M1841,INDEX(CustInfo!$A$2:$A$1001,RANDBETWEEN(1,1000)),N1841)</f>
        <v>11301</v>
      </c>
      <c r="O1842" t="s">
        <v>1002</v>
      </c>
      <c r="P1842">
        <v>52937976</v>
      </c>
    </row>
    <row r="1843" spans="1:16" x14ac:dyDescent="0.35">
      <c r="A1843">
        <v>93827212698</v>
      </c>
      <c r="C1843" s="2" t="s">
        <v>883</v>
      </c>
      <c r="D1843">
        <v>1</v>
      </c>
      <c r="E1843">
        <v>76891213480</v>
      </c>
      <c r="F1843">
        <f t="shared" ca="1" si="56"/>
        <v>54</v>
      </c>
      <c r="G1843">
        <f ca="1">VLOOKUP(E1843,PurchItem!$A$2:$H$508,8,0)</f>
        <v>5818.9796436144088</v>
      </c>
      <c r="H1843">
        <v>0.04</v>
      </c>
      <c r="I1843" t="s">
        <v>244</v>
      </c>
      <c r="M1843">
        <f t="shared" si="57"/>
        <v>10029727928</v>
      </c>
      <c r="N1843">
        <f ca="1">IF(M1843&lt;&gt;M1842,INDEX(CustInfo!$A$2:$A$1001,RANDBETWEEN(1,1000)),N1842)</f>
        <v>11697</v>
      </c>
      <c r="O1843" t="s">
        <v>1001</v>
      </c>
      <c r="P1843">
        <v>52937977</v>
      </c>
    </row>
    <row r="1844" spans="1:16" x14ac:dyDescent="0.35">
      <c r="A1844">
        <v>93827212698</v>
      </c>
      <c r="C1844" s="2" t="s">
        <v>883</v>
      </c>
      <c r="D1844">
        <v>2</v>
      </c>
      <c r="E1844">
        <v>76891213526</v>
      </c>
      <c r="F1844">
        <f t="shared" ca="1" si="56"/>
        <v>45</v>
      </c>
      <c r="G1844">
        <f ca="1">VLOOKUP(E1844,PurchItem!$A$2:$H$508,8,0)</f>
        <v>8212.8049543445304</v>
      </c>
      <c r="H1844">
        <v>0.05</v>
      </c>
      <c r="I1844" t="s">
        <v>244</v>
      </c>
      <c r="M1844">
        <f t="shared" si="57"/>
        <v>10029727928</v>
      </c>
      <c r="N1844">
        <f ca="1">IF(M1844&lt;&gt;M1843,INDEX(CustInfo!$A$2:$A$1001,RANDBETWEEN(1,1000)),N1843)</f>
        <v>11697</v>
      </c>
      <c r="O1844" t="s">
        <v>1001</v>
      </c>
      <c r="P1844">
        <v>52937978</v>
      </c>
    </row>
    <row r="1845" spans="1:16" x14ac:dyDescent="0.35">
      <c r="A1845">
        <v>93827212698</v>
      </c>
      <c r="C1845" s="2" t="s">
        <v>883</v>
      </c>
      <c r="D1845">
        <v>3</v>
      </c>
      <c r="E1845">
        <v>76891213400</v>
      </c>
      <c r="F1845">
        <f t="shared" ca="1" si="56"/>
        <v>83</v>
      </c>
      <c r="G1845">
        <f ca="1">VLOOKUP(E1845,PurchItem!$A$2:$H$508,8,0)</f>
        <v>4147.0864993427804</v>
      </c>
      <c r="H1845">
        <v>0.05</v>
      </c>
      <c r="I1845" t="s">
        <v>244</v>
      </c>
      <c r="M1845">
        <f t="shared" si="57"/>
        <v>10029727928</v>
      </c>
      <c r="N1845">
        <f ca="1">IF(M1845&lt;&gt;M1844,INDEX(CustInfo!$A$2:$A$1001,RANDBETWEEN(1,1000)),N1844)</f>
        <v>11697</v>
      </c>
      <c r="O1845" t="s">
        <v>1001</v>
      </c>
      <c r="P1845">
        <v>52937979</v>
      </c>
    </row>
    <row r="1846" spans="1:16" x14ac:dyDescent="0.35">
      <c r="A1846">
        <v>93827212698</v>
      </c>
      <c r="C1846" s="2" t="s">
        <v>883</v>
      </c>
      <c r="D1846">
        <v>4</v>
      </c>
      <c r="E1846">
        <v>76891213629</v>
      </c>
      <c r="F1846">
        <f t="shared" ca="1" si="56"/>
        <v>41</v>
      </c>
      <c r="G1846">
        <f ca="1">VLOOKUP(E1846,PurchItem!$A$2:$H$508,8,0)</f>
        <v>3163.7564415224051</v>
      </c>
      <c r="H1846">
        <v>0.04</v>
      </c>
      <c r="I1846" t="s">
        <v>244</v>
      </c>
      <c r="M1846">
        <f t="shared" si="57"/>
        <v>10029727928</v>
      </c>
      <c r="N1846">
        <f ca="1">IF(M1846&lt;&gt;M1845,INDEX(CustInfo!$A$2:$A$1001,RANDBETWEEN(1,1000)),N1845)</f>
        <v>11697</v>
      </c>
      <c r="O1846" t="s">
        <v>1001</v>
      </c>
      <c r="P1846">
        <v>52937980</v>
      </c>
    </row>
    <row r="1847" spans="1:16" x14ac:dyDescent="0.35">
      <c r="A1847">
        <v>93827212699</v>
      </c>
      <c r="C1847" s="2" t="s">
        <v>883</v>
      </c>
      <c r="D1847">
        <v>1</v>
      </c>
      <c r="E1847">
        <v>76891213312</v>
      </c>
      <c r="F1847">
        <f t="shared" ca="1" si="56"/>
        <v>35</v>
      </c>
      <c r="G1847">
        <f ca="1">VLOOKUP(E1847,PurchItem!$A$2:$H$508,8,0)</f>
        <v>4852.9147599245198</v>
      </c>
      <c r="H1847">
        <v>0.06</v>
      </c>
      <c r="I1847" t="s">
        <v>244</v>
      </c>
      <c r="M1847">
        <f t="shared" si="57"/>
        <v>10029727929</v>
      </c>
      <c r="N1847">
        <f ca="1">IF(M1847&lt;&gt;M1846,INDEX(CustInfo!$A$2:$A$1001,RANDBETWEEN(1,1000)),N1846)</f>
        <v>11190</v>
      </c>
      <c r="O1847" t="s">
        <v>1001</v>
      </c>
      <c r="P1847">
        <v>52937981</v>
      </c>
    </row>
    <row r="1848" spans="1:16" x14ac:dyDescent="0.35">
      <c r="A1848">
        <v>93827212699</v>
      </c>
      <c r="C1848" s="2" t="s">
        <v>883</v>
      </c>
      <c r="D1848">
        <v>2</v>
      </c>
      <c r="E1848">
        <v>76891213399</v>
      </c>
      <c r="F1848">
        <f t="shared" ca="1" si="56"/>
        <v>59</v>
      </c>
      <c r="G1848">
        <f ca="1">VLOOKUP(E1848,PurchItem!$A$2:$H$508,8,0)</f>
        <v>847.70440937695787</v>
      </c>
      <c r="H1848">
        <v>0.06</v>
      </c>
      <c r="I1848" t="s">
        <v>244</v>
      </c>
      <c r="M1848">
        <f t="shared" si="57"/>
        <v>10029727929</v>
      </c>
      <c r="N1848">
        <f ca="1">IF(M1848&lt;&gt;M1847,INDEX(CustInfo!$A$2:$A$1001,RANDBETWEEN(1,1000)),N1847)</f>
        <v>11190</v>
      </c>
      <c r="O1848" t="s">
        <v>1001</v>
      </c>
      <c r="P1848">
        <v>52937982</v>
      </c>
    </row>
    <row r="1849" spans="1:16" x14ac:dyDescent="0.35">
      <c r="A1849">
        <v>93827212700</v>
      </c>
      <c r="C1849" s="2" t="s">
        <v>883</v>
      </c>
      <c r="D1849">
        <v>1</v>
      </c>
      <c r="E1849">
        <v>76891213370</v>
      </c>
      <c r="F1849">
        <f t="shared" ca="1" si="56"/>
        <v>6</v>
      </c>
      <c r="G1849">
        <f ca="1">VLOOKUP(E1849,PurchItem!$A$2:$H$508,8,0)</f>
        <v>5363.0925561437452</v>
      </c>
      <c r="H1849">
        <v>0.05</v>
      </c>
      <c r="I1849" t="s">
        <v>244</v>
      </c>
      <c r="M1849">
        <f t="shared" si="57"/>
        <v>10029727930</v>
      </c>
      <c r="N1849">
        <f ca="1">IF(M1849&lt;&gt;M1848,INDEX(CustInfo!$A$2:$A$1001,RANDBETWEEN(1,1000)),N1848)</f>
        <v>11231</v>
      </c>
      <c r="O1849" t="s">
        <v>1002</v>
      </c>
      <c r="P1849">
        <v>52937983</v>
      </c>
    </row>
    <row r="1850" spans="1:16" x14ac:dyDescent="0.35">
      <c r="A1850">
        <v>93827212700</v>
      </c>
      <c r="C1850" s="2" t="s">
        <v>883</v>
      </c>
      <c r="D1850">
        <v>2</v>
      </c>
      <c r="E1850">
        <v>76891213340</v>
      </c>
      <c r="F1850">
        <f t="shared" ca="1" si="56"/>
        <v>97</v>
      </c>
      <c r="G1850">
        <f ca="1">VLOOKUP(E1850,PurchItem!$A$2:$H$508,8,0)</f>
        <v>7002.567366206631</v>
      </c>
      <c r="H1850">
        <v>0.04</v>
      </c>
      <c r="I1850" t="s">
        <v>244</v>
      </c>
      <c r="M1850">
        <f t="shared" si="57"/>
        <v>10029727930</v>
      </c>
      <c r="N1850">
        <f ca="1">IF(M1850&lt;&gt;M1849,INDEX(CustInfo!$A$2:$A$1001,RANDBETWEEN(1,1000)),N1849)</f>
        <v>11231</v>
      </c>
      <c r="O1850" t="s">
        <v>1002</v>
      </c>
      <c r="P1850">
        <v>52937984</v>
      </c>
    </row>
    <row r="1851" spans="1:16" x14ac:dyDescent="0.35">
      <c r="A1851">
        <v>93827212700</v>
      </c>
      <c r="C1851" s="2" t="s">
        <v>883</v>
      </c>
      <c r="D1851">
        <v>3</v>
      </c>
      <c r="E1851">
        <v>76891213146</v>
      </c>
      <c r="F1851">
        <f t="shared" ca="1" si="56"/>
        <v>49</v>
      </c>
      <c r="G1851">
        <f ca="1">VLOOKUP(E1851,PurchItem!$A$2:$H$508,8,0)</f>
        <v>5461.8260857472496</v>
      </c>
      <c r="H1851">
        <v>0.06</v>
      </c>
      <c r="I1851" t="s">
        <v>244</v>
      </c>
      <c r="M1851">
        <f t="shared" si="57"/>
        <v>10029727930</v>
      </c>
      <c r="N1851">
        <f ca="1">IF(M1851&lt;&gt;M1850,INDEX(CustInfo!$A$2:$A$1001,RANDBETWEEN(1,1000)),N1850)</f>
        <v>11231</v>
      </c>
      <c r="O1851" t="s">
        <v>1002</v>
      </c>
      <c r="P1851">
        <v>52937985</v>
      </c>
    </row>
    <row r="1852" spans="1:16" x14ac:dyDescent="0.35">
      <c r="A1852">
        <v>93827212701</v>
      </c>
      <c r="C1852" s="2" t="s">
        <v>883</v>
      </c>
      <c r="D1852">
        <v>1</v>
      </c>
      <c r="E1852">
        <v>76891213196</v>
      </c>
      <c r="F1852">
        <f t="shared" ca="1" si="56"/>
        <v>50</v>
      </c>
      <c r="G1852">
        <f ca="1">VLOOKUP(E1852,PurchItem!$A$2:$H$508,8,0)</f>
        <v>7032.7904576117289</v>
      </c>
      <c r="H1852">
        <v>0.04</v>
      </c>
      <c r="I1852" t="s">
        <v>244</v>
      </c>
      <c r="M1852">
        <f t="shared" si="57"/>
        <v>10029727931</v>
      </c>
      <c r="N1852">
        <f ca="1">IF(M1852&lt;&gt;M1851,INDEX(CustInfo!$A$2:$A$1001,RANDBETWEEN(1,1000)),N1851)</f>
        <v>11307</v>
      </c>
      <c r="O1852" t="s">
        <v>1001</v>
      </c>
      <c r="P1852">
        <v>52937986</v>
      </c>
    </row>
    <row r="1853" spans="1:16" x14ac:dyDescent="0.35">
      <c r="A1853">
        <v>93827212702</v>
      </c>
      <c r="C1853" s="2" t="s">
        <v>883</v>
      </c>
      <c r="D1853">
        <v>1</v>
      </c>
      <c r="E1853">
        <v>76891213571</v>
      </c>
      <c r="F1853">
        <f t="shared" ca="1" si="56"/>
        <v>49</v>
      </c>
      <c r="G1853">
        <f ca="1">VLOOKUP(E1853,PurchItem!$A$2:$H$508,8,0)</f>
        <v>3575.5287130457696</v>
      </c>
      <c r="H1853">
        <v>0.04</v>
      </c>
      <c r="I1853" t="s">
        <v>244</v>
      </c>
      <c r="M1853">
        <f t="shared" si="57"/>
        <v>10029727932</v>
      </c>
      <c r="N1853">
        <f ca="1">IF(M1853&lt;&gt;M1852,INDEX(CustInfo!$A$2:$A$1001,RANDBETWEEN(1,1000)),N1852)</f>
        <v>11515</v>
      </c>
      <c r="O1853" t="s">
        <v>1001</v>
      </c>
      <c r="P1853">
        <v>52937987</v>
      </c>
    </row>
    <row r="1854" spans="1:16" x14ac:dyDescent="0.35">
      <c r="A1854">
        <v>93827212702</v>
      </c>
      <c r="C1854" s="2" t="s">
        <v>883</v>
      </c>
      <c r="D1854">
        <v>2</v>
      </c>
      <c r="E1854">
        <v>76891213586</v>
      </c>
      <c r="F1854">
        <f t="shared" ca="1" si="56"/>
        <v>42</v>
      </c>
      <c r="G1854">
        <f ca="1">VLOOKUP(E1854,PurchItem!$A$2:$H$508,8,0)</f>
        <v>8795.5935082912856</v>
      </c>
      <c r="H1854">
        <v>0.05</v>
      </c>
      <c r="I1854" t="s">
        <v>244</v>
      </c>
      <c r="M1854">
        <f t="shared" si="57"/>
        <v>10029727932</v>
      </c>
      <c r="N1854">
        <f ca="1">IF(M1854&lt;&gt;M1853,INDEX(CustInfo!$A$2:$A$1001,RANDBETWEEN(1,1000)),N1853)</f>
        <v>11515</v>
      </c>
      <c r="O1854" t="s">
        <v>1001</v>
      </c>
      <c r="P1854">
        <v>52937988</v>
      </c>
    </row>
    <row r="1855" spans="1:16" x14ac:dyDescent="0.35">
      <c r="A1855">
        <v>93827212702</v>
      </c>
      <c r="C1855" s="2" t="s">
        <v>883</v>
      </c>
      <c r="D1855">
        <v>3</v>
      </c>
      <c r="E1855">
        <v>76891213243</v>
      </c>
      <c r="F1855">
        <f t="shared" ca="1" si="56"/>
        <v>100</v>
      </c>
      <c r="G1855">
        <f ca="1">VLOOKUP(E1855,PurchItem!$A$2:$H$508,8,0)</f>
        <v>3527.3626929070761</v>
      </c>
      <c r="H1855">
        <v>0.05</v>
      </c>
      <c r="I1855" t="s">
        <v>244</v>
      </c>
      <c r="M1855">
        <f t="shared" si="57"/>
        <v>10029727932</v>
      </c>
      <c r="N1855">
        <f ca="1">IF(M1855&lt;&gt;M1854,INDEX(CustInfo!$A$2:$A$1001,RANDBETWEEN(1,1000)),N1854)</f>
        <v>11515</v>
      </c>
      <c r="O1855" t="s">
        <v>1001</v>
      </c>
      <c r="P1855">
        <v>52937989</v>
      </c>
    </row>
    <row r="1856" spans="1:16" x14ac:dyDescent="0.35">
      <c r="A1856">
        <v>93827212703</v>
      </c>
      <c r="C1856" s="2" t="s">
        <v>883</v>
      </c>
      <c r="D1856">
        <v>1</v>
      </c>
      <c r="E1856">
        <v>76891213333</v>
      </c>
      <c r="F1856">
        <f t="shared" ca="1" si="56"/>
        <v>85</v>
      </c>
      <c r="G1856">
        <f ca="1">VLOOKUP(E1856,PurchItem!$A$2:$H$508,8,0)</f>
        <v>8289.6692498362754</v>
      </c>
      <c r="H1856">
        <v>0.05</v>
      </c>
      <c r="I1856" t="s">
        <v>244</v>
      </c>
      <c r="M1856">
        <f t="shared" si="57"/>
        <v>10029727933</v>
      </c>
      <c r="N1856">
        <f ca="1">IF(M1856&lt;&gt;M1855,INDEX(CustInfo!$A$2:$A$1001,RANDBETWEEN(1,1000)),N1855)</f>
        <v>11913</v>
      </c>
      <c r="O1856" t="s">
        <v>1001</v>
      </c>
      <c r="P1856">
        <v>52937990</v>
      </c>
    </row>
    <row r="1857" spans="1:16" x14ac:dyDescent="0.35">
      <c r="A1857">
        <v>93827212703</v>
      </c>
      <c r="C1857" s="2" t="s">
        <v>883</v>
      </c>
      <c r="D1857">
        <v>2</v>
      </c>
      <c r="E1857">
        <v>76891213172</v>
      </c>
      <c r="F1857">
        <f t="shared" ca="1" si="56"/>
        <v>32</v>
      </c>
      <c r="G1857">
        <f ca="1">VLOOKUP(E1857,PurchItem!$A$2:$H$508,8,0)</f>
        <v>942.3837622618131</v>
      </c>
      <c r="H1857">
        <v>0.05</v>
      </c>
      <c r="I1857" t="s">
        <v>244</v>
      </c>
      <c r="M1857">
        <f t="shared" si="57"/>
        <v>10029727933</v>
      </c>
      <c r="N1857">
        <f ca="1">IF(M1857&lt;&gt;M1856,INDEX(CustInfo!$A$2:$A$1001,RANDBETWEEN(1,1000)),N1856)</f>
        <v>11913</v>
      </c>
      <c r="O1857" t="s">
        <v>1001</v>
      </c>
      <c r="P1857">
        <v>52937991</v>
      </c>
    </row>
    <row r="1858" spans="1:16" x14ac:dyDescent="0.35">
      <c r="A1858">
        <v>93827212703</v>
      </c>
      <c r="C1858" s="2" t="s">
        <v>883</v>
      </c>
      <c r="D1858">
        <v>3</v>
      </c>
      <c r="E1858">
        <v>76891213500</v>
      </c>
      <c r="F1858">
        <f t="shared" ca="1" si="56"/>
        <v>41</v>
      </c>
      <c r="G1858">
        <f ca="1">VLOOKUP(E1858,PurchItem!$A$2:$H$508,8,0)</f>
        <v>3624.8814666574617</v>
      </c>
      <c r="H1858">
        <v>0.05</v>
      </c>
      <c r="I1858" t="s">
        <v>244</v>
      </c>
      <c r="M1858">
        <f t="shared" si="57"/>
        <v>10029727933</v>
      </c>
      <c r="N1858">
        <f ca="1">IF(M1858&lt;&gt;M1857,INDEX(CustInfo!$A$2:$A$1001,RANDBETWEEN(1,1000)),N1857)</f>
        <v>11913</v>
      </c>
      <c r="O1858" t="s">
        <v>1001</v>
      </c>
      <c r="P1858">
        <v>52937992</v>
      </c>
    </row>
    <row r="1859" spans="1:16" x14ac:dyDescent="0.35">
      <c r="A1859">
        <v>93827212703</v>
      </c>
      <c r="C1859" s="2" t="s">
        <v>883</v>
      </c>
      <c r="D1859">
        <v>4</v>
      </c>
      <c r="E1859">
        <v>76891213408</v>
      </c>
      <c r="F1859">
        <f t="shared" ref="F1859:F1922" ca="1" si="58">RANDBETWEEN(1,100)</f>
        <v>71</v>
      </c>
      <c r="G1859">
        <f ca="1">VLOOKUP(E1859,PurchItem!$A$2:$H$508,8,0)</f>
        <v>2585.6504497826659</v>
      </c>
      <c r="H1859">
        <v>0.05</v>
      </c>
      <c r="I1859" t="s">
        <v>244</v>
      </c>
      <c r="M1859">
        <f t="shared" si="57"/>
        <v>10029727933</v>
      </c>
      <c r="N1859">
        <f ca="1">IF(M1859&lt;&gt;M1858,INDEX(CustInfo!$A$2:$A$1001,RANDBETWEEN(1,1000)),N1858)</f>
        <v>11913</v>
      </c>
      <c r="O1859" t="s">
        <v>1001</v>
      </c>
      <c r="P1859">
        <v>52937993</v>
      </c>
    </row>
    <row r="1860" spans="1:16" x14ac:dyDescent="0.35">
      <c r="A1860">
        <v>93827212704</v>
      </c>
      <c r="C1860" s="2" t="s">
        <v>883</v>
      </c>
      <c r="D1860">
        <v>1</v>
      </c>
      <c r="E1860">
        <v>76891213243</v>
      </c>
      <c r="F1860">
        <f t="shared" ca="1" si="58"/>
        <v>2</v>
      </c>
      <c r="G1860">
        <f ca="1">VLOOKUP(E1860,PurchItem!$A$2:$H$508,8,0)</f>
        <v>3527.3626929070761</v>
      </c>
      <c r="H1860">
        <v>0.05</v>
      </c>
      <c r="I1860" t="s">
        <v>244</v>
      </c>
      <c r="M1860">
        <f t="shared" si="57"/>
        <v>10029727934</v>
      </c>
      <c r="N1860">
        <f ca="1">IF(M1860&lt;&gt;M1859,INDEX(CustInfo!$A$2:$A$1001,RANDBETWEEN(1,1000)),N1859)</f>
        <v>11804</v>
      </c>
      <c r="O1860" t="s">
        <v>1001</v>
      </c>
      <c r="P1860">
        <v>52937994</v>
      </c>
    </row>
    <row r="1861" spans="1:16" x14ac:dyDescent="0.35">
      <c r="A1861">
        <v>93827212704</v>
      </c>
      <c r="C1861" s="2" t="s">
        <v>883</v>
      </c>
      <c r="D1861">
        <v>2</v>
      </c>
      <c r="E1861">
        <v>76891213326</v>
      </c>
      <c r="F1861">
        <f t="shared" ca="1" si="58"/>
        <v>76</v>
      </c>
      <c r="G1861">
        <f ca="1">VLOOKUP(E1861,PurchItem!$A$2:$H$508,8,0)</f>
        <v>8893.450961561346</v>
      </c>
      <c r="H1861">
        <v>0.05</v>
      </c>
      <c r="I1861" t="s">
        <v>244</v>
      </c>
      <c r="M1861">
        <f t="shared" ref="M1861:M1924" si="59">IF(A1861&lt;&gt;A1860,M1860+1,M1860)</f>
        <v>10029727934</v>
      </c>
      <c r="N1861">
        <f ca="1">IF(M1861&lt;&gt;M1860,INDEX(CustInfo!$A$2:$A$1001,RANDBETWEEN(1,1000)),N1860)</f>
        <v>11804</v>
      </c>
      <c r="O1861" t="s">
        <v>1001</v>
      </c>
      <c r="P1861">
        <v>52937995</v>
      </c>
    </row>
    <row r="1862" spans="1:16" x14ac:dyDescent="0.35">
      <c r="A1862">
        <v>93827212704</v>
      </c>
      <c r="C1862" s="2" t="s">
        <v>883</v>
      </c>
      <c r="D1862">
        <v>3</v>
      </c>
      <c r="E1862">
        <v>76891213152</v>
      </c>
      <c r="F1862">
        <f t="shared" ca="1" si="58"/>
        <v>32</v>
      </c>
      <c r="G1862">
        <f ca="1">VLOOKUP(E1862,PurchItem!$A$2:$H$508,8,0)</f>
        <v>169.38211785270536</v>
      </c>
      <c r="H1862">
        <v>0.04</v>
      </c>
      <c r="I1862" t="s">
        <v>244</v>
      </c>
      <c r="M1862">
        <f t="shared" si="59"/>
        <v>10029727934</v>
      </c>
      <c r="N1862">
        <f ca="1">IF(M1862&lt;&gt;M1861,INDEX(CustInfo!$A$2:$A$1001,RANDBETWEEN(1,1000)),N1861)</f>
        <v>11804</v>
      </c>
      <c r="O1862" t="s">
        <v>1001</v>
      </c>
      <c r="P1862">
        <v>52937996</v>
      </c>
    </row>
    <row r="1863" spans="1:16" x14ac:dyDescent="0.35">
      <c r="A1863">
        <v>93827212705</v>
      </c>
      <c r="C1863" s="2" t="s">
        <v>883</v>
      </c>
      <c r="D1863">
        <v>1</v>
      </c>
      <c r="E1863">
        <v>76891213586</v>
      </c>
      <c r="F1863">
        <f t="shared" ca="1" si="58"/>
        <v>44</v>
      </c>
      <c r="G1863">
        <f ca="1">VLOOKUP(E1863,PurchItem!$A$2:$H$508,8,0)</f>
        <v>8795.5935082912856</v>
      </c>
      <c r="H1863">
        <v>0.06</v>
      </c>
      <c r="I1863" t="s">
        <v>244</v>
      </c>
      <c r="M1863">
        <f t="shared" si="59"/>
        <v>10029727935</v>
      </c>
      <c r="N1863">
        <f ca="1">IF(M1863&lt;&gt;M1862,INDEX(CustInfo!$A$2:$A$1001,RANDBETWEEN(1,1000)),N1862)</f>
        <v>11008</v>
      </c>
      <c r="O1863" t="s">
        <v>1001</v>
      </c>
      <c r="P1863">
        <v>52937997</v>
      </c>
    </row>
    <row r="1864" spans="1:16" x14ac:dyDescent="0.35">
      <c r="A1864">
        <v>93827212706</v>
      </c>
      <c r="C1864" s="2" t="s">
        <v>883</v>
      </c>
      <c r="D1864">
        <v>1</v>
      </c>
      <c r="E1864">
        <v>76891213537</v>
      </c>
      <c r="F1864">
        <f t="shared" ca="1" si="58"/>
        <v>38</v>
      </c>
      <c r="G1864">
        <f ca="1">VLOOKUP(E1864,PurchItem!$A$2:$H$508,8,0)</f>
        <v>8926.2162855573406</v>
      </c>
      <c r="H1864">
        <v>0.05</v>
      </c>
      <c r="I1864" t="s">
        <v>244</v>
      </c>
      <c r="M1864">
        <f t="shared" si="59"/>
        <v>10029727936</v>
      </c>
      <c r="N1864">
        <f ca="1">IF(M1864&lt;&gt;M1863,INDEX(CustInfo!$A$2:$A$1001,RANDBETWEEN(1,1000)),N1863)</f>
        <v>11471</v>
      </c>
      <c r="O1864" t="s">
        <v>1002</v>
      </c>
      <c r="P1864">
        <v>52937998</v>
      </c>
    </row>
    <row r="1865" spans="1:16" x14ac:dyDescent="0.35">
      <c r="A1865">
        <v>93827212706</v>
      </c>
      <c r="C1865" s="2" t="s">
        <v>883</v>
      </c>
      <c r="D1865">
        <v>2</v>
      </c>
      <c r="E1865">
        <v>76891213180</v>
      </c>
      <c r="F1865">
        <f t="shared" ca="1" si="58"/>
        <v>22</v>
      </c>
      <c r="G1865">
        <f ca="1">VLOOKUP(E1865,PurchItem!$A$2:$H$508,8,0)</f>
        <v>3521.2371052414392</v>
      </c>
      <c r="H1865">
        <v>0.05</v>
      </c>
      <c r="I1865" t="s">
        <v>244</v>
      </c>
      <c r="M1865">
        <f t="shared" si="59"/>
        <v>10029727936</v>
      </c>
      <c r="N1865">
        <f ca="1">IF(M1865&lt;&gt;M1864,INDEX(CustInfo!$A$2:$A$1001,RANDBETWEEN(1,1000)),N1864)</f>
        <v>11471</v>
      </c>
      <c r="O1865" t="s">
        <v>1002</v>
      </c>
      <c r="P1865">
        <v>52937999</v>
      </c>
    </row>
    <row r="1866" spans="1:16" x14ac:dyDescent="0.35">
      <c r="A1866">
        <v>93827212706</v>
      </c>
      <c r="C1866" s="2" t="s">
        <v>883</v>
      </c>
      <c r="D1866">
        <v>3</v>
      </c>
      <c r="E1866">
        <v>76891213502</v>
      </c>
      <c r="F1866">
        <f t="shared" ca="1" si="58"/>
        <v>49</v>
      </c>
      <c r="G1866">
        <f ca="1">VLOOKUP(E1866,PurchItem!$A$2:$H$508,8,0)</f>
        <v>7081.1969266698825</v>
      </c>
      <c r="H1866">
        <v>0.04</v>
      </c>
      <c r="I1866" t="s">
        <v>244</v>
      </c>
      <c r="M1866">
        <f t="shared" si="59"/>
        <v>10029727936</v>
      </c>
      <c r="N1866">
        <f ca="1">IF(M1866&lt;&gt;M1865,INDEX(CustInfo!$A$2:$A$1001,RANDBETWEEN(1,1000)),N1865)</f>
        <v>11471</v>
      </c>
      <c r="O1866" t="s">
        <v>1002</v>
      </c>
      <c r="P1866">
        <v>52938000</v>
      </c>
    </row>
    <row r="1867" spans="1:16" x14ac:dyDescent="0.35">
      <c r="A1867">
        <v>93827212706</v>
      </c>
      <c r="C1867" s="2" t="s">
        <v>883</v>
      </c>
      <c r="D1867">
        <v>4</v>
      </c>
      <c r="E1867">
        <v>76891213286</v>
      </c>
      <c r="F1867">
        <f t="shared" ca="1" si="58"/>
        <v>84</v>
      </c>
      <c r="G1867">
        <f ca="1">VLOOKUP(E1867,PurchItem!$A$2:$H$508,8,0)</f>
        <v>1704.9939045740014</v>
      </c>
      <c r="H1867">
        <v>0.04</v>
      </c>
      <c r="I1867" t="s">
        <v>244</v>
      </c>
      <c r="M1867">
        <f t="shared" si="59"/>
        <v>10029727936</v>
      </c>
      <c r="N1867">
        <f ca="1">IF(M1867&lt;&gt;M1866,INDEX(CustInfo!$A$2:$A$1001,RANDBETWEEN(1,1000)),N1866)</f>
        <v>11471</v>
      </c>
      <c r="O1867" t="s">
        <v>1002</v>
      </c>
      <c r="P1867">
        <v>52938001</v>
      </c>
    </row>
    <row r="1868" spans="1:16" x14ac:dyDescent="0.35">
      <c r="A1868">
        <v>93827212707</v>
      </c>
      <c r="C1868" s="2" t="s">
        <v>883</v>
      </c>
      <c r="D1868">
        <v>1</v>
      </c>
      <c r="E1868">
        <v>76891213460</v>
      </c>
      <c r="F1868">
        <f t="shared" ca="1" si="58"/>
        <v>74</v>
      </c>
      <c r="G1868">
        <f ca="1">VLOOKUP(E1868,PurchItem!$A$2:$H$508,8,0)</f>
        <v>6992.4051616071765</v>
      </c>
      <c r="H1868">
        <v>0.04</v>
      </c>
      <c r="I1868" t="s">
        <v>244</v>
      </c>
      <c r="M1868">
        <f t="shared" si="59"/>
        <v>10029727937</v>
      </c>
      <c r="N1868">
        <f ca="1">IF(M1868&lt;&gt;M1867,INDEX(CustInfo!$A$2:$A$1001,RANDBETWEEN(1,1000)),N1867)</f>
        <v>11331</v>
      </c>
      <c r="O1868" t="s">
        <v>1002</v>
      </c>
      <c r="P1868">
        <v>52938002</v>
      </c>
    </row>
    <row r="1869" spans="1:16" x14ac:dyDescent="0.35">
      <c r="A1869">
        <v>93827212708</v>
      </c>
      <c r="C1869" s="2" t="s">
        <v>883</v>
      </c>
      <c r="D1869">
        <v>1</v>
      </c>
      <c r="E1869">
        <v>76891213596</v>
      </c>
      <c r="F1869">
        <f t="shared" ca="1" si="58"/>
        <v>40</v>
      </c>
      <c r="G1869">
        <f ca="1">VLOOKUP(E1869,PurchItem!$A$2:$H$508,8,0)</f>
        <v>4771.1199477066812</v>
      </c>
      <c r="H1869">
        <v>0.06</v>
      </c>
      <c r="I1869" t="s">
        <v>244</v>
      </c>
      <c r="M1869">
        <f t="shared" si="59"/>
        <v>10029727938</v>
      </c>
      <c r="N1869">
        <f ca="1">IF(M1869&lt;&gt;M1868,INDEX(CustInfo!$A$2:$A$1001,RANDBETWEEN(1,1000)),N1868)</f>
        <v>11628</v>
      </c>
      <c r="O1869" t="s">
        <v>1002</v>
      </c>
      <c r="P1869">
        <v>52938003</v>
      </c>
    </row>
    <row r="1870" spans="1:16" x14ac:dyDescent="0.35">
      <c r="A1870">
        <v>93827212708</v>
      </c>
      <c r="C1870" s="2" t="s">
        <v>883</v>
      </c>
      <c r="D1870">
        <v>2</v>
      </c>
      <c r="E1870">
        <v>76891213199</v>
      </c>
      <c r="F1870">
        <f t="shared" ca="1" si="58"/>
        <v>37</v>
      </c>
      <c r="G1870">
        <f ca="1">VLOOKUP(E1870,PurchItem!$A$2:$H$508,8,0)</f>
        <v>9847.8601789486402</v>
      </c>
      <c r="H1870">
        <v>0.06</v>
      </c>
      <c r="I1870" t="s">
        <v>244</v>
      </c>
      <c r="M1870">
        <f t="shared" si="59"/>
        <v>10029727938</v>
      </c>
      <c r="N1870">
        <f ca="1">IF(M1870&lt;&gt;M1869,INDEX(CustInfo!$A$2:$A$1001,RANDBETWEEN(1,1000)),N1869)</f>
        <v>11628</v>
      </c>
      <c r="O1870" t="s">
        <v>1002</v>
      </c>
      <c r="P1870">
        <v>52938004</v>
      </c>
    </row>
    <row r="1871" spans="1:16" x14ac:dyDescent="0.35">
      <c r="A1871">
        <v>93827212709</v>
      </c>
      <c r="C1871" s="2" t="s">
        <v>883</v>
      </c>
      <c r="D1871">
        <v>1</v>
      </c>
      <c r="E1871">
        <v>76891213243</v>
      </c>
      <c r="F1871">
        <f t="shared" ca="1" si="58"/>
        <v>61</v>
      </c>
      <c r="G1871">
        <f ca="1">VLOOKUP(E1871,PurchItem!$A$2:$H$508,8,0)</f>
        <v>3527.3626929070761</v>
      </c>
      <c r="H1871">
        <v>0.04</v>
      </c>
      <c r="I1871" t="s">
        <v>244</v>
      </c>
      <c r="M1871">
        <f t="shared" si="59"/>
        <v>10029727939</v>
      </c>
      <c r="N1871">
        <f ca="1">IF(M1871&lt;&gt;M1870,INDEX(CustInfo!$A$2:$A$1001,RANDBETWEEN(1,1000)),N1870)</f>
        <v>11712</v>
      </c>
      <c r="O1871" t="s">
        <v>1001</v>
      </c>
      <c r="P1871">
        <v>52938005</v>
      </c>
    </row>
    <row r="1872" spans="1:16" x14ac:dyDescent="0.35">
      <c r="A1872">
        <v>93827212709</v>
      </c>
      <c r="C1872" s="2" t="s">
        <v>883</v>
      </c>
      <c r="D1872">
        <v>2</v>
      </c>
      <c r="E1872">
        <v>76891213208</v>
      </c>
      <c r="F1872">
        <f t="shared" ca="1" si="58"/>
        <v>49</v>
      </c>
      <c r="G1872">
        <f ca="1">VLOOKUP(E1872,PurchItem!$A$2:$H$508,8,0)</f>
        <v>657.49966460879534</v>
      </c>
      <c r="H1872">
        <v>0.05</v>
      </c>
      <c r="I1872" t="s">
        <v>244</v>
      </c>
      <c r="M1872">
        <f t="shared" si="59"/>
        <v>10029727939</v>
      </c>
      <c r="N1872">
        <f ca="1">IF(M1872&lt;&gt;M1871,INDEX(CustInfo!$A$2:$A$1001,RANDBETWEEN(1,1000)),N1871)</f>
        <v>11712</v>
      </c>
      <c r="O1872" t="s">
        <v>1001</v>
      </c>
      <c r="P1872">
        <v>52938006</v>
      </c>
    </row>
    <row r="1873" spans="1:16" x14ac:dyDescent="0.35">
      <c r="A1873">
        <v>93827212709</v>
      </c>
      <c r="C1873" s="2" t="s">
        <v>883</v>
      </c>
      <c r="D1873">
        <v>3</v>
      </c>
      <c r="E1873">
        <v>76891213593</v>
      </c>
      <c r="F1873">
        <f t="shared" ca="1" si="58"/>
        <v>81</v>
      </c>
      <c r="G1873">
        <f ca="1">VLOOKUP(E1873,PurchItem!$A$2:$H$508,8,0)</f>
        <v>2737.5203426229455</v>
      </c>
      <c r="H1873">
        <v>0.04</v>
      </c>
      <c r="I1873" t="s">
        <v>244</v>
      </c>
      <c r="M1873">
        <f t="shared" si="59"/>
        <v>10029727939</v>
      </c>
      <c r="N1873">
        <f ca="1">IF(M1873&lt;&gt;M1872,INDEX(CustInfo!$A$2:$A$1001,RANDBETWEEN(1,1000)),N1872)</f>
        <v>11712</v>
      </c>
      <c r="O1873" t="s">
        <v>1001</v>
      </c>
      <c r="P1873">
        <v>52938007</v>
      </c>
    </row>
    <row r="1874" spans="1:16" x14ac:dyDescent="0.35">
      <c r="A1874">
        <v>93827212710</v>
      </c>
      <c r="C1874" s="2" t="s">
        <v>883</v>
      </c>
      <c r="D1874">
        <v>1</v>
      </c>
      <c r="E1874">
        <v>76891213534</v>
      </c>
      <c r="F1874">
        <f t="shared" ca="1" si="58"/>
        <v>5</v>
      </c>
      <c r="G1874">
        <f ca="1">VLOOKUP(E1874,PurchItem!$A$2:$H$508,8,0)</f>
        <v>5879.3921130267236</v>
      </c>
      <c r="H1874">
        <v>0.05</v>
      </c>
      <c r="I1874" t="s">
        <v>244</v>
      </c>
      <c r="M1874">
        <f t="shared" si="59"/>
        <v>10029727940</v>
      </c>
      <c r="N1874">
        <f ca="1">IF(M1874&lt;&gt;M1873,INDEX(CustInfo!$A$2:$A$1001,RANDBETWEEN(1,1000)),N1873)</f>
        <v>11505</v>
      </c>
      <c r="O1874" t="s">
        <v>1001</v>
      </c>
      <c r="P1874">
        <v>52938008</v>
      </c>
    </row>
    <row r="1875" spans="1:16" x14ac:dyDescent="0.35">
      <c r="A1875">
        <v>93827212710</v>
      </c>
      <c r="C1875" s="2" t="s">
        <v>883</v>
      </c>
      <c r="D1875">
        <v>2</v>
      </c>
      <c r="E1875">
        <v>76891213247</v>
      </c>
      <c r="F1875">
        <f t="shared" ca="1" si="58"/>
        <v>18</v>
      </c>
      <c r="G1875">
        <f ca="1">VLOOKUP(E1875,PurchItem!$A$2:$H$508,8,0)</f>
        <v>6755.835133399748</v>
      </c>
      <c r="H1875">
        <v>0.06</v>
      </c>
      <c r="I1875" t="s">
        <v>244</v>
      </c>
      <c r="M1875">
        <f t="shared" si="59"/>
        <v>10029727940</v>
      </c>
      <c r="N1875">
        <f ca="1">IF(M1875&lt;&gt;M1874,INDEX(CustInfo!$A$2:$A$1001,RANDBETWEEN(1,1000)),N1874)</f>
        <v>11505</v>
      </c>
      <c r="O1875" t="s">
        <v>1001</v>
      </c>
      <c r="P1875">
        <v>52938009</v>
      </c>
    </row>
    <row r="1876" spans="1:16" x14ac:dyDescent="0.35">
      <c r="A1876">
        <v>93827212711</v>
      </c>
      <c r="C1876" s="2" t="s">
        <v>883</v>
      </c>
      <c r="D1876">
        <v>1</v>
      </c>
      <c r="E1876">
        <v>76891213329</v>
      </c>
      <c r="F1876">
        <f t="shared" ca="1" si="58"/>
        <v>93</v>
      </c>
      <c r="G1876">
        <f ca="1">VLOOKUP(E1876,PurchItem!$A$2:$H$508,8,0)</f>
        <v>3846.001981135933</v>
      </c>
      <c r="H1876">
        <v>0.04</v>
      </c>
      <c r="I1876" t="s">
        <v>244</v>
      </c>
      <c r="M1876">
        <f t="shared" si="59"/>
        <v>10029727941</v>
      </c>
      <c r="N1876">
        <f ca="1">IF(M1876&lt;&gt;M1875,INDEX(CustInfo!$A$2:$A$1001,RANDBETWEEN(1,1000)),N1875)</f>
        <v>11785</v>
      </c>
      <c r="O1876" t="s">
        <v>1002</v>
      </c>
      <c r="P1876">
        <v>52938010</v>
      </c>
    </row>
    <row r="1877" spans="1:16" x14ac:dyDescent="0.35">
      <c r="A1877">
        <v>93827212711</v>
      </c>
      <c r="C1877" s="2" t="s">
        <v>883</v>
      </c>
      <c r="D1877">
        <v>2</v>
      </c>
      <c r="E1877">
        <v>76891213160</v>
      </c>
      <c r="F1877">
        <f t="shared" ca="1" si="58"/>
        <v>90</v>
      </c>
      <c r="G1877">
        <f ca="1">VLOOKUP(E1877,PurchItem!$A$2:$H$508,8,0)</f>
        <v>8462.9770245013115</v>
      </c>
      <c r="H1877">
        <v>0.05</v>
      </c>
      <c r="I1877" t="s">
        <v>244</v>
      </c>
      <c r="M1877">
        <f t="shared" si="59"/>
        <v>10029727941</v>
      </c>
      <c r="N1877">
        <f ca="1">IF(M1877&lt;&gt;M1876,INDEX(CustInfo!$A$2:$A$1001,RANDBETWEEN(1,1000)),N1876)</f>
        <v>11785</v>
      </c>
      <c r="O1877" t="s">
        <v>1002</v>
      </c>
      <c r="P1877">
        <v>52938011</v>
      </c>
    </row>
    <row r="1878" spans="1:16" x14ac:dyDescent="0.35">
      <c r="A1878">
        <v>93827212711</v>
      </c>
      <c r="C1878" s="2" t="s">
        <v>883</v>
      </c>
      <c r="D1878">
        <v>3</v>
      </c>
      <c r="E1878">
        <v>76891213611</v>
      </c>
      <c r="F1878">
        <f t="shared" ca="1" si="58"/>
        <v>79</v>
      </c>
      <c r="G1878">
        <f ca="1">VLOOKUP(E1878,PurchItem!$A$2:$H$508,8,0)</f>
        <v>4928.5850256166741</v>
      </c>
      <c r="H1878">
        <v>0.05</v>
      </c>
      <c r="I1878" t="s">
        <v>244</v>
      </c>
      <c r="M1878">
        <f t="shared" si="59"/>
        <v>10029727941</v>
      </c>
      <c r="N1878">
        <f ca="1">IF(M1878&lt;&gt;M1877,INDEX(CustInfo!$A$2:$A$1001,RANDBETWEEN(1,1000)),N1877)</f>
        <v>11785</v>
      </c>
      <c r="O1878" t="s">
        <v>1002</v>
      </c>
      <c r="P1878">
        <v>52938012</v>
      </c>
    </row>
    <row r="1879" spans="1:16" x14ac:dyDescent="0.35">
      <c r="A1879">
        <v>93827212711</v>
      </c>
      <c r="C1879" s="2" t="s">
        <v>883</v>
      </c>
      <c r="D1879">
        <v>4</v>
      </c>
      <c r="E1879">
        <v>76891213235</v>
      </c>
      <c r="F1879">
        <f t="shared" ca="1" si="58"/>
        <v>64</v>
      </c>
      <c r="G1879">
        <f ca="1">VLOOKUP(E1879,PurchItem!$A$2:$H$508,8,0)</f>
        <v>383.4257319234585</v>
      </c>
      <c r="H1879">
        <v>0.04</v>
      </c>
      <c r="I1879" t="s">
        <v>244</v>
      </c>
      <c r="M1879">
        <f t="shared" si="59"/>
        <v>10029727941</v>
      </c>
      <c r="N1879">
        <f ca="1">IF(M1879&lt;&gt;M1878,INDEX(CustInfo!$A$2:$A$1001,RANDBETWEEN(1,1000)),N1878)</f>
        <v>11785</v>
      </c>
      <c r="O1879" t="s">
        <v>1002</v>
      </c>
      <c r="P1879">
        <v>52938013</v>
      </c>
    </row>
    <row r="1880" spans="1:16" x14ac:dyDescent="0.35">
      <c r="A1880">
        <v>93827212712</v>
      </c>
      <c r="C1880" s="2" t="s">
        <v>883</v>
      </c>
      <c r="D1880">
        <v>1</v>
      </c>
      <c r="E1880">
        <v>76891213366</v>
      </c>
      <c r="F1880">
        <f t="shared" ca="1" si="58"/>
        <v>29</v>
      </c>
      <c r="G1880">
        <f ca="1">VLOOKUP(E1880,PurchItem!$A$2:$H$508,8,0)</f>
        <v>2775.3275183824289</v>
      </c>
      <c r="H1880">
        <v>0.06</v>
      </c>
      <c r="I1880" t="s">
        <v>244</v>
      </c>
      <c r="M1880">
        <f t="shared" si="59"/>
        <v>10029727942</v>
      </c>
      <c r="N1880">
        <f ca="1">IF(M1880&lt;&gt;M1879,INDEX(CustInfo!$A$2:$A$1001,RANDBETWEEN(1,1000)),N1879)</f>
        <v>11752</v>
      </c>
      <c r="O1880" t="s">
        <v>1001</v>
      </c>
      <c r="P1880">
        <v>52938014</v>
      </c>
    </row>
    <row r="1881" spans="1:16" x14ac:dyDescent="0.35">
      <c r="A1881">
        <v>93827212713</v>
      </c>
      <c r="C1881" s="2" t="s">
        <v>883</v>
      </c>
      <c r="D1881">
        <v>1</v>
      </c>
      <c r="E1881">
        <v>76891213498</v>
      </c>
      <c r="F1881">
        <f t="shared" ca="1" si="58"/>
        <v>16</v>
      </c>
      <c r="G1881">
        <f ca="1">VLOOKUP(E1881,PurchItem!$A$2:$H$508,8,0)</f>
        <v>4995.713213871999</v>
      </c>
      <c r="H1881">
        <v>0.05</v>
      </c>
      <c r="I1881" t="s">
        <v>244</v>
      </c>
      <c r="M1881">
        <f t="shared" si="59"/>
        <v>10029727943</v>
      </c>
      <c r="N1881">
        <f ca="1">IF(M1881&lt;&gt;M1880,INDEX(CustInfo!$A$2:$A$1001,RANDBETWEEN(1,1000)),N1880)</f>
        <v>11217</v>
      </c>
      <c r="O1881" t="s">
        <v>1001</v>
      </c>
      <c r="P1881">
        <v>52938015</v>
      </c>
    </row>
    <row r="1882" spans="1:16" x14ac:dyDescent="0.35">
      <c r="A1882">
        <v>93827212713</v>
      </c>
      <c r="C1882" s="2" t="s">
        <v>883</v>
      </c>
      <c r="D1882">
        <v>2</v>
      </c>
      <c r="E1882">
        <v>76891213436</v>
      </c>
      <c r="F1882">
        <f t="shared" ca="1" si="58"/>
        <v>81</v>
      </c>
      <c r="G1882">
        <f ca="1">VLOOKUP(E1882,PurchItem!$A$2:$H$508,8,0)</f>
        <v>7382.4174647878453</v>
      </c>
      <c r="H1882">
        <v>0.05</v>
      </c>
      <c r="I1882" t="s">
        <v>244</v>
      </c>
      <c r="M1882">
        <f t="shared" si="59"/>
        <v>10029727943</v>
      </c>
      <c r="N1882">
        <f ca="1">IF(M1882&lt;&gt;M1881,INDEX(CustInfo!$A$2:$A$1001,RANDBETWEEN(1,1000)),N1881)</f>
        <v>11217</v>
      </c>
      <c r="O1882" t="s">
        <v>1001</v>
      </c>
      <c r="P1882">
        <v>52938016</v>
      </c>
    </row>
    <row r="1883" spans="1:16" x14ac:dyDescent="0.35">
      <c r="A1883">
        <v>93827212714</v>
      </c>
      <c r="C1883" s="2" t="s">
        <v>883</v>
      </c>
      <c r="D1883">
        <v>1</v>
      </c>
      <c r="E1883">
        <v>76891213333</v>
      </c>
      <c r="F1883">
        <f t="shared" ca="1" si="58"/>
        <v>29</v>
      </c>
      <c r="G1883">
        <f ca="1">VLOOKUP(E1883,PurchItem!$A$2:$H$508,8,0)</f>
        <v>8289.6692498362754</v>
      </c>
      <c r="H1883">
        <v>0.04</v>
      </c>
      <c r="I1883" t="s">
        <v>244</v>
      </c>
      <c r="M1883">
        <f t="shared" si="59"/>
        <v>10029727944</v>
      </c>
      <c r="N1883">
        <f ca="1">IF(M1883&lt;&gt;M1882,INDEX(CustInfo!$A$2:$A$1001,RANDBETWEEN(1,1000)),N1882)</f>
        <v>11306</v>
      </c>
      <c r="O1883" t="s">
        <v>1003</v>
      </c>
      <c r="P1883">
        <v>52938017</v>
      </c>
    </row>
    <row r="1884" spans="1:16" x14ac:dyDescent="0.35">
      <c r="A1884">
        <v>93827212714</v>
      </c>
      <c r="C1884" s="2" t="s">
        <v>883</v>
      </c>
      <c r="D1884">
        <v>2</v>
      </c>
      <c r="E1884">
        <v>76891213556</v>
      </c>
      <c r="F1884">
        <f t="shared" ca="1" si="58"/>
        <v>17</v>
      </c>
      <c r="G1884">
        <f ca="1">VLOOKUP(E1884,PurchItem!$A$2:$H$508,8,0)</f>
        <v>8388.3334614270243</v>
      </c>
      <c r="H1884">
        <v>0.06</v>
      </c>
      <c r="I1884" t="s">
        <v>244</v>
      </c>
      <c r="M1884">
        <f t="shared" si="59"/>
        <v>10029727944</v>
      </c>
      <c r="N1884">
        <f ca="1">IF(M1884&lt;&gt;M1883,INDEX(CustInfo!$A$2:$A$1001,RANDBETWEEN(1,1000)),N1883)</f>
        <v>11306</v>
      </c>
      <c r="O1884" t="s">
        <v>1003</v>
      </c>
      <c r="P1884">
        <v>52938018</v>
      </c>
    </row>
    <row r="1885" spans="1:16" x14ac:dyDescent="0.35">
      <c r="A1885">
        <v>93827212715</v>
      </c>
      <c r="C1885" s="2" t="s">
        <v>883</v>
      </c>
      <c r="D1885">
        <v>1</v>
      </c>
      <c r="E1885">
        <v>76891213229</v>
      </c>
      <c r="F1885">
        <f t="shared" ca="1" si="58"/>
        <v>28</v>
      </c>
      <c r="G1885">
        <f ca="1">VLOOKUP(E1885,PurchItem!$A$2:$H$508,8,0)</f>
        <v>3150.6874887833542</v>
      </c>
      <c r="H1885">
        <v>0.05</v>
      </c>
      <c r="I1885" t="s">
        <v>244</v>
      </c>
      <c r="M1885">
        <f t="shared" si="59"/>
        <v>10029727945</v>
      </c>
      <c r="N1885">
        <f ca="1">IF(M1885&lt;&gt;M1884,INDEX(CustInfo!$A$2:$A$1001,RANDBETWEEN(1,1000)),N1884)</f>
        <v>11924</v>
      </c>
      <c r="O1885" t="s">
        <v>1003</v>
      </c>
      <c r="P1885">
        <v>52938019</v>
      </c>
    </row>
    <row r="1886" spans="1:16" x14ac:dyDescent="0.35">
      <c r="A1886">
        <v>93827212715</v>
      </c>
      <c r="C1886" s="2" t="s">
        <v>883</v>
      </c>
      <c r="D1886">
        <v>2</v>
      </c>
      <c r="E1886">
        <v>76891213402</v>
      </c>
      <c r="F1886">
        <f t="shared" ca="1" si="58"/>
        <v>89</v>
      </c>
      <c r="G1886">
        <f ca="1">VLOOKUP(E1886,PurchItem!$A$2:$H$508,8,0)</f>
        <v>3719.6063338306585</v>
      </c>
      <c r="H1886">
        <v>0.04</v>
      </c>
      <c r="I1886" t="s">
        <v>244</v>
      </c>
      <c r="M1886">
        <f t="shared" si="59"/>
        <v>10029727945</v>
      </c>
      <c r="N1886">
        <f ca="1">IF(M1886&lt;&gt;M1885,INDEX(CustInfo!$A$2:$A$1001,RANDBETWEEN(1,1000)),N1885)</f>
        <v>11924</v>
      </c>
      <c r="O1886" t="s">
        <v>1003</v>
      </c>
      <c r="P1886">
        <v>52938020</v>
      </c>
    </row>
    <row r="1887" spans="1:16" x14ac:dyDescent="0.35">
      <c r="A1887">
        <v>93827212716</v>
      </c>
      <c r="C1887" s="2" t="s">
        <v>883</v>
      </c>
      <c r="D1887">
        <v>1</v>
      </c>
      <c r="E1887">
        <v>76891213352</v>
      </c>
      <c r="F1887">
        <f t="shared" ca="1" si="58"/>
        <v>78</v>
      </c>
      <c r="G1887">
        <f ca="1">VLOOKUP(E1887,PurchItem!$A$2:$H$508,8,0)</f>
        <v>4067.3934065622611</v>
      </c>
      <c r="H1887">
        <v>0.04</v>
      </c>
      <c r="I1887" t="s">
        <v>244</v>
      </c>
      <c r="M1887">
        <f t="shared" si="59"/>
        <v>10029727946</v>
      </c>
      <c r="N1887">
        <f ca="1">IF(M1887&lt;&gt;M1886,INDEX(CustInfo!$A$2:$A$1001,RANDBETWEEN(1,1000)),N1886)</f>
        <v>11051</v>
      </c>
      <c r="O1887" t="s">
        <v>1002</v>
      </c>
      <c r="P1887">
        <v>52938021</v>
      </c>
    </row>
    <row r="1888" spans="1:16" x14ac:dyDescent="0.35">
      <c r="A1888">
        <v>93827212717</v>
      </c>
      <c r="C1888" s="2" t="s">
        <v>883</v>
      </c>
      <c r="D1888">
        <v>1</v>
      </c>
      <c r="E1888">
        <v>76891213300</v>
      </c>
      <c r="F1888">
        <f t="shared" ca="1" si="58"/>
        <v>78</v>
      </c>
      <c r="G1888">
        <f ca="1">VLOOKUP(E1888,PurchItem!$A$2:$H$508,8,0)</f>
        <v>7933.1351105062431</v>
      </c>
      <c r="H1888">
        <v>0.06</v>
      </c>
      <c r="I1888" t="s">
        <v>244</v>
      </c>
      <c r="M1888">
        <f t="shared" si="59"/>
        <v>10029727947</v>
      </c>
      <c r="N1888">
        <f ca="1">IF(M1888&lt;&gt;M1887,INDEX(CustInfo!$A$2:$A$1001,RANDBETWEEN(1,1000)),N1887)</f>
        <v>11762</v>
      </c>
      <c r="O1888" t="s">
        <v>1001</v>
      </c>
      <c r="P1888">
        <v>52938022</v>
      </c>
    </row>
    <row r="1889" spans="1:16" x14ac:dyDescent="0.35">
      <c r="A1889">
        <v>93827212717</v>
      </c>
      <c r="C1889" s="2" t="s">
        <v>883</v>
      </c>
      <c r="D1889">
        <v>2</v>
      </c>
      <c r="E1889">
        <v>76891213375</v>
      </c>
      <c r="F1889">
        <f t="shared" ca="1" si="58"/>
        <v>83</v>
      </c>
      <c r="G1889">
        <f ca="1">VLOOKUP(E1889,PurchItem!$A$2:$H$508,8,0)</f>
        <v>7755.8413437200061</v>
      </c>
      <c r="H1889">
        <v>0.06</v>
      </c>
      <c r="I1889" t="s">
        <v>244</v>
      </c>
      <c r="M1889">
        <f t="shared" si="59"/>
        <v>10029727947</v>
      </c>
      <c r="N1889">
        <f ca="1">IF(M1889&lt;&gt;M1888,INDEX(CustInfo!$A$2:$A$1001,RANDBETWEEN(1,1000)),N1888)</f>
        <v>11762</v>
      </c>
      <c r="O1889" t="s">
        <v>1001</v>
      </c>
      <c r="P1889">
        <v>52938023</v>
      </c>
    </row>
    <row r="1890" spans="1:16" x14ac:dyDescent="0.35">
      <c r="A1890">
        <v>93827212717</v>
      </c>
      <c r="C1890" s="2" t="s">
        <v>883</v>
      </c>
      <c r="D1890">
        <v>3</v>
      </c>
      <c r="E1890">
        <v>76891213613</v>
      </c>
      <c r="F1890">
        <f t="shared" ca="1" si="58"/>
        <v>89</v>
      </c>
      <c r="G1890">
        <f ca="1">VLOOKUP(E1890,PurchItem!$A$2:$H$508,8,0)</f>
        <v>6056.8631163138916</v>
      </c>
      <c r="H1890">
        <v>0.06</v>
      </c>
      <c r="I1890" t="s">
        <v>244</v>
      </c>
      <c r="M1890">
        <f t="shared" si="59"/>
        <v>10029727947</v>
      </c>
      <c r="N1890">
        <f ca="1">IF(M1890&lt;&gt;M1889,INDEX(CustInfo!$A$2:$A$1001,RANDBETWEEN(1,1000)),N1889)</f>
        <v>11762</v>
      </c>
      <c r="O1890" t="s">
        <v>1001</v>
      </c>
      <c r="P1890">
        <v>52938024</v>
      </c>
    </row>
    <row r="1891" spans="1:16" x14ac:dyDescent="0.35">
      <c r="A1891">
        <v>93827212717</v>
      </c>
      <c r="C1891" s="2" t="s">
        <v>883</v>
      </c>
      <c r="D1891">
        <v>4</v>
      </c>
      <c r="E1891">
        <v>76891213199</v>
      </c>
      <c r="F1891">
        <f t="shared" ca="1" si="58"/>
        <v>70</v>
      </c>
      <c r="G1891">
        <f ca="1">VLOOKUP(E1891,PurchItem!$A$2:$H$508,8,0)</f>
        <v>9847.8601789486402</v>
      </c>
      <c r="H1891">
        <v>0.06</v>
      </c>
      <c r="I1891" t="s">
        <v>244</v>
      </c>
      <c r="M1891">
        <f t="shared" si="59"/>
        <v>10029727947</v>
      </c>
      <c r="N1891">
        <f ca="1">IF(M1891&lt;&gt;M1890,INDEX(CustInfo!$A$2:$A$1001,RANDBETWEEN(1,1000)),N1890)</f>
        <v>11762</v>
      </c>
      <c r="O1891" t="s">
        <v>1001</v>
      </c>
      <c r="P1891">
        <v>52938025</v>
      </c>
    </row>
    <row r="1892" spans="1:16" x14ac:dyDescent="0.35">
      <c r="A1892">
        <v>93827212718</v>
      </c>
      <c r="C1892" s="2" t="s">
        <v>883</v>
      </c>
      <c r="D1892">
        <v>1</v>
      </c>
      <c r="E1892">
        <v>76891213503</v>
      </c>
      <c r="F1892">
        <f t="shared" ca="1" si="58"/>
        <v>14</v>
      </c>
      <c r="G1892">
        <f ca="1">VLOOKUP(E1892,PurchItem!$A$2:$H$508,8,0)</f>
        <v>9117.4983275195518</v>
      </c>
      <c r="H1892">
        <v>0.05</v>
      </c>
      <c r="I1892" t="s">
        <v>244</v>
      </c>
      <c r="M1892">
        <f t="shared" si="59"/>
        <v>10029727948</v>
      </c>
      <c r="N1892">
        <f ca="1">IF(M1892&lt;&gt;M1891,INDEX(CustInfo!$A$2:$A$1001,RANDBETWEEN(1,1000)),N1891)</f>
        <v>11409</v>
      </c>
      <c r="O1892" t="s">
        <v>1003</v>
      </c>
      <c r="P1892">
        <v>52938026</v>
      </c>
    </row>
    <row r="1893" spans="1:16" x14ac:dyDescent="0.35">
      <c r="A1893">
        <v>93827212719</v>
      </c>
      <c r="C1893" s="2" t="s">
        <v>883</v>
      </c>
      <c r="D1893">
        <v>1</v>
      </c>
      <c r="E1893">
        <v>76891213446</v>
      </c>
      <c r="F1893">
        <f t="shared" ca="1" si="58"/>
        <v>29</v>
      </c>
      <c r="G1893">
        <f ca="1">VLOOKUP(E1893,PurchItem!$A$2:$H$508,8,0)</f>
        <v>6461.6332530255731</v>
      </c>
      <c r="H1893">
        <v>0.05</v>
      </c>
      <c r="I1893" t="s">
        <v>244</v>
      </c>
      <c r="M1893">
        <f t="shared" si="59"/>
        <v>10029727949</v>
      </c>
      <c r="N1893">
        <f ca="1">IF(M1893&lt;&gt;M1892,INDEX(CustInfo!$A$2:$A$1001,RANDBETWEEN(1,1000)),N1892)</f>
        <v>11614</v>
      </c>
      <c r="O1893" t="s">
        <v>1001</v>
      </c>
      <c r="P1893">
        <v>52938027</v>
      </c>
    </row>
    <row r="1894" spans="1:16" x14ac:dyDescent="0.35">
      <c r="A1894">
        <v>93827212719</v>
      </c>
      <c r="C1894" s="2" t="s">
        <v>883</v>
      </c>
      <c r="D1894">
        <v>2</v>
      </c>
      <c r="E1894">
        <v>76891213401</v>
      </c>
      <c r="F1894">
        <f t="shared" ca="1" si="58"/>
        <v>32</v>
      </c>
      <c r="G1894">
        <f ca="1">VLOOKUP(E1894,PurchItem!$A$2:$H$508,8,0)</f>
        <v>5832.6749805311892</v>
      </c>
      <c r="H1894">
        <v>0.04</v>
      </c>
      <c r="I1894" t="s">
        <v>244</v>
      </c>
      <c r="M1894">
        <f t="shared" si="59"/>
        <v>10029727949</v>
      </c>
      <c r="N1894">
        <f ca="1">IF(M1894&lt;&gt;M1893,INDEX(CustInfo!$A$2:$A$1001,RANDBETWEEN(1,1000)),N1893)</f>
        <v>11614</v>
      </c>
      <c r="O1894" t="s">
        <v>1001</v>
      </c>
      <c r="P1894">
        <v>52938028</v>
      </c>
    </row>
    <row r="1895" spans="1:16" x14ac:dyDescent="0.35">
      <c r="A1895">
        <v>93827212720</v>
      </c>
      <c r="C1895" s="2" t="s">
        <v>883</v>
      </c>
      <c r="D1895">
        <v>1</v>
      </c>
      <c r="E1895">
        <v>76891213557</v>
      </c>
      <c r="F1895">
        <f t="shared" ca="1" si="58"/>
        <v>27</v>
      </c>
      <c r="G1895">
        <f ca="1">VLOOKUP(E1895,PurchItem!$A$2:$H$508,8,0)</f>
        <v>942.60995441491764</v>
      </c>
      <c r="H1895">
        <v>0.06</v>
      </c>
      <c r="I1895" t="s">
        <v>244</v>
      </c>
      <c r="M1895">
        <f t="shared" si="59"/>
        <v>10029727950</v>
      </c>
      <c r="N1895">
        <f ca="1">IF(M1895&lt;&gt;M1894,INDEX(CustInfo!$A$2:$A$1001,RANDBETWEEN(1,1000)),N1894)</f>
        <v>11734</v>
      </c>
      <c r="O1895" t="s">
        <v>1003</v>
      </c>
      <c r="P1895">
        <v>52938029</v>
      </c>
    </row>
    <row r="1896" spans="1:16" x14ac:dyDescent="0.35">
      <c r="A1896">
        <v>93827212721</v>
      </c>
      <c r="C1896" s="2" t="s">
        <v>883</v>
      </c>
      <c r="D1896">
        <v>1</v>
      </c>
      <c r="E1896">
        <v>76891213164</v>
      </c>
      <c r="F1896">
        <f t="shared" ca="1" si="58"/>
        <v>61</v>
      </c>
      <c r="G1896">
        <f ca="1">VLOOKUP(E1896,PurchItem!$A$2:$H$508,8,0)</f>
        <v>7433.8159765817927</v>
      </c>
      <c r="H1896">
        <v>0.04</v>
      </c>
      <c r="I1896" t="s">
        <v>244</v>
      </c>
      <c r="M1896">
        <f t="shared" si="59"/>
        <v>10029727951</v>
      </c>
      <c r="N1896">
        <f ca="1">IF(M1896&lt;&gt;M1895,INDEX(CustInfo!$A$2:$A$1001,RANDBETWEEN(1,1000)),N1895)</f>
        <v>11915</v>
      </c>
      <c r="O1896" t="s">
        <v>1001</v>
      </c>
      <c r="P1896">
        <v>52938030</v>
      </c>
    </row>
    <row r="1897" spans="1:16" x14ac:dyDescent="0.35">
      <c r="A1897">
        <v>93827212722</v>
      </c>
      <c r="C1897" s="2" t="s">
        <v>883</v>
      </c>
      <c r="D1897">
        <v>1</v>
      </c>
      <c r="E1897">
        <v>76891213445</v>
      </c>
      <c r="F1897">
        <f t="shared" ca="1" si="58"/>
        <v>21</v>
      </c>
      <c r="G1897">
        <f ca="1">VLOOKUP(E1897,PurchItem!$A$2:$H$508,8,0)</f>
        <v>4377.3477781707288</v>
      </c>
      <c r="H1897">
        <v>0.06</v>
      </c>
      <c r="I1897" t="s">
        <v>244</v>
      </c>
      <c r="M1897">
        <f t="shared" si="59"/>
        <v>10029727952</v>
      </c>
      <c r="N1897">
        <f ca="1">IF(M1897&lt;&gt;M1896,INDEX(CustInfo!$A$2:$A$1001,RANDBETWEEN(1,1000)),N1896)</f>
        <v>11680</v>
      </c>
      <c r="O1897" t="s">
        <v>1002</v>
      </c>
      <c r="P1897">
        <v>52938031</v>
      </c>
    </row>
    <row r="1898" spans="1:16" x14ac:dyDescent="0.35">
      <c r="A1898">
        <v>93827212722</v>
      </c>
      <c r="C1898" s="2" t="s">
        <v>883</v>
      </c>
      <c r="D1898">
        <v>2</v>
      </c>
      <c r="E1898">
        <v>76891213264</v>
      </c>
      <c r="F1898">
        <f t="shared" ca="1" si="58"/>
        <v>82</v>
      </c>
      <c r="G1898">
        <f ca="1">VLOOKUP(E1898,PurchItem!$A$2:$H$508,8,0)</f>
        <v>3913.070746797428</v>
      </c>
      <c r="H1898">
        <v>0.05</v>
      </c>
      <c r="I1898" t="s">
        <v>244</v>
      </c>
      <c r="M1898">
        <f t="shared" si="59"/>
        <v>10029727952</v>
      </c>
      <c r="N1898">
        <f ca="1">IF(M1898&lt;&gt;M1897,INDEX(CustInfo!$A$2:$A$1001,RANDBETWEEN(1,1000)),N1897)</f>
        <v>11680</v>
      </c>
      <c r="O1898" t="s">
        <v>1002</v>
      </c>
      <c r="P1898">
        <v>52938032</v>
      </c>
    </row>
    <row r="1899" spans="1:16" x14ac:dyDescent="0.35">
      <c r="A1899">
        <v>93827212723</v>
      </c>
      <c r="C1899" s="2" t="s">
        <v>883</v>
      </c>
      <c r="D1899">
        <v>1</v>
      </c>
      <c r="E1899">
        <v>76891213592</v>
      </c>
      <c r="F1899">
        <f t="shared" ca="1" si="58"/>
        <v>39</v>
      </c>
      <c r="G1899">
        <f ca="1">VLOOKUP(E1899,PurchItem!$A$2:$H$508,8,0)</f>
        <v>4470.4135541857659</v>
      </c>
      <c r="H1899">
        <v>0.04</v>
      </c>
      <c r="I1899" t="s">
        <v>244</v>
      </c>
      <c r="M1899">
        <f t="shared" si="59"/>
        <v>10029727953</v>
      </c>
      <c r="N1899">
        <f ca="1">IF(M1899&lt;&gt;M1898,INDEX(CustInfo!$A$2:$A$1001,RANDBETWEEN(1,1000)),N1898)</f>
        <v>11567</v>
      </c>
      <c r="O1899" t="s">
        <v>1003</v>
      </c>
      <c r="P1899">
        <v>52938033</v>
      </c>
    </row>
    <row r="1900" spans="1:16" x14ac:dyDescent="0.35">
      <c r="A1900">
        <v>93827212723</v>
      </c>
      <c r="C1900" s="2" t="s">
        <v>883</v>
      </c>
      <c r="D1900">
        <v>2</v>
      </c>
      <c r="E1900">
        <v>76891213159</v>
      </c>
      <c r="F1900">
        <f t="shared" ca="1" si="58"/>
        <v>72</v>
      </c>
      <c r="G1900">
        <f ca="1">VLOOKUP(E1900,PurchItem!$A$2:$H$508,8,0)</f>
        <v>1020.1296091286805</v>
      </c>
      <c r="H1900">
        <v>0.06</v>
      </c>
      <c r="I1900" t="s">
        <v>244</v>
      </c>
      <c r="M1900">
        <f t="shared" si="59"/>
        <v>10029727953</v>
      </c>
      <c r="N1900">
        <f ca="1">IF(M1900&lt;&gt;M1899,INDEX(CustInfo!$A$2:$A$1001,RANDBETWEEN(1,1000)),N1899)</f>
        <v>11567</v>
      </c>
      <c r="O1900" t="s">
        <v>1003</v>
      </c>
      <c r="P1900">
        <v>52938034</v>
      </c>
    </row>
    <row r="1901" spans="1:16" x14ac:dyDescent="0.35">
      <c r="A1901">
        <v>93827212724</v>
      </c>
      <c r="C1901" s="2" t="s">
        <v>883</v>
      </c>
      <c r="D1901">
        <v>1</v>
      </c>
      <c r="E1901">
        <v>76891213210</v>
      </c>
      <c r="F1901">
        <f t="shared" ca="1" si="58"/>
        <v>97</v>
      </c>
      <c r="G1901">
        <f ca="1">VLOOKUP(E1901,PurchItem!$A$2:$H$508,8,0)</f>
        <v>2049.2315909139547</v>
      </c>
      <c r="H1901">
        <v>0.04</v>
      </c>
      <c r="I1901" t="s">
        <v>244</v>
      </c>
      <c r="M1901">
        <f t="shared" si="59"/>
        <v>10029727954</v>
      </c>
      <c r="N1901">
        <f ca="1">IF(M1901&lt;&gt;M1900,INDEX(CustInfo!$A$2:$A$1001,RANDBETWEEN(1,1000)),N1900)</f>
        <v>11404</v>
      </c>
      <c r="O1901" t="s">
        <v>1003</v>
      </c>
      <c r="P1901">
        <v>52938035</v>
      </c>
    </row>
    <row r="1902" spans="1:16" x14ac:dyDescent="0.35">
      <c r="A1902">
        <v>93827212724</v>
      </c>
      <c r="C1902" s="2" t="s">
        <v>883</v>
      </c>
      <c r="D1902">
        <v>2</v>
      </c>
      <c r="E1902">
        <v>76891213331</v>
      </c>
      <c r="F1902">
        <f t="shared" ca="1" si="58"/>
        <v>97</v>
      </c>
      <c r="G1902">
        <f ca="1">VLOOKUP(E1902,PurchItem!$A$2:$H$508,8,0)</f>
        <v>1836.2125088946002</v>
      </c>
      <c r="H1902">
        <v>0.06</v>
      </c>
      <c r="I1902" t="s">
        <v>244</v>
      </c>
      <c r="M1902">
        <f t="shared" si="59"/>
        <v>10029727954</v>
      </c>
      <c r="N1902">
        <f ca="1">IF(M1902&lt;&gt;M1901,INDEX(CustInfo!$A$2:$A$1001,RANDBETWEEN(1,1000)),N1901)</f>
        <v>11404</v>
      </c>
      <c r="O1902" t="s">
        <v>1003</v>
      </c>
      <c r="P1902">
        <v>52938036</v>
      </c>
    </row>
    <row r="1903" spans="1:16" x14ac:dyDescent="0.35">
      <c r="A1903">
        <v>93827212724</v>
      </c>
      <c r="C1903" s="2" t="s">
        <v>883</v>
      </c>
      <c r="D1903">
        <v>3</v>
      </c>
      <c r="E1903">
        <v>76891213527</v>
      </c>
      <c r="F1903">
        <f t="shared" ca="1" si="58"/>
        <v>46</v>
      </c>
      <c r="G1903">
        <f ca="1">VLOOKUP(E1903,PurchItem!$A$2:$H$508,8,0)</f>
        <v>3326.8565914437954</v>
      </c>
      <c r="H1903">
        <v>0.05</v>
      </c>
      <c r="I1903" t="s">
        <v>244</v>
      </c>
      <c r="M1903">
        <f t="shared" si="59"/>
        <v>10029727954</v>
      </c>
      <c r="N1903">
        <f ca="1">IF(M1903&lt;&gt;M1902,INDEX(CustInfo!$A$2:$A$1001,RANDBETWEEN(1,1000)),N1902)</f>
        <v>11404</v>
      </c>
      <c r="O1903" t="s">
        <v>1003</v>
      </c>
      <c r="P1903">
        <v>52938037</v>
      </c>
    </row>
    <row r="1904" spans="1:16" x14ac:dyDescent="0.35">
      <c r="A1904">
        <v>93827212725</v>
      </c>
      <c r="C1904" s="2" t="s">
        <v>883</v>
      </c>
      <c r="D1904">
        <v>1</v>
      </c>
      <c r="E1904">
        <v>76891213433</v>
      </c>
      <c r="F1904">
        <f t="shared" ca="1" si="58"/>
        <v>46</v>
      </c>
      <c r="G1904">
        <f ca="1">VLOOKUP(E1904,PurchItem!$A$2:$H$508,8,0)</f>
        <v>8137.8051344838841</v>
      </c>
      <c r="H1904">
        <v>0.04</v>
      </c>
      <c r="I1904" t="s">
        <v>244</v>
      </c>
      <c r="M1904">
        <f t="shared" si="59"/>
        <v>10029727955</v>
      </c>
      <c r="N1904">
        <f ca="1">IF(M1904&lt;&gt;M1903,INDEX(CustInfo!$A$2:$A$1001,RANDBETWEEN(1,1000)),N1903)</f>
        <v>11671</v>
      </c>
      <c r="O1904" t="s">
        <v>1001</v>
      </c>
      <c r="P1904">
        <v>52938038</v>
      </c>
    </row>
    <row r="1905" spans="1:16" x14ac:dyDescent="0.35">
      <c r="A1905">
        <v>93827212725</v>
      </c>
      <c r="C1905" s="2" t="s">
        <v>883</v>
      </c>
      <c r="D1905">
        <v>2</v>
      </c>
      <c r="E1905">
        <v>76891213630</v>
      </c>
      <c r="F1905">
        <f t="shared" ca="1" si="58"/>
        <v>30</v>
      </c>
      <c r="G1905">
        <f ca="1">VLOOKUP(E1905,PurchItem!$A$2:$H$508,8,0)</f>
        <v>135.20849454455922</v>
      </c>
      <c r="H1905">
        <v>0.04</v>
      </c>
      <c r="I1905" t="s">
        <v>244</v>
      </c>
      <c r="M1905">
        <f t="shared" si="59"/>
        <v>10029727955</v>
      </c>
      <c r="N1905">
        <f ca="1">IF(M1905&lt;&gt;M1904,INDEX(CustInfo!$A$2:$A$1001,RANDBETWEEN(1,1000)),N1904)</f>
        <v>11671</v>
      </c>
      <c r="O1905" t="s">
        <v>1001</v>
      </c>
      <c r="P1905">
        <v>52938039</v>
      </c>
    </row>
    <row r="1906" spans="1:16" x14ac:dyDescent="0.35">
      <c r="A1906">
        <v>93827212725</v>
      </c>
      <c r="C1906" s="2" t="s">
        <v>883</v>
      </c>
      <c r="D1906">
        <v>3</v>
      </c>
      <c r="E1906">
        <v>76891213318</v>
      </c>
      <c r="F1906">
        <f t="shared" ca="1" si="58"/>
        <v>48</v>
      </c>
      <c r="G1906">
        <f ca="1">VLOOKUP(E1906,PurchItem!$A$2:$H$508,8,0)</f>
        <v>8260.5762424972345</v>
      </c>
      <c r="H1906">
        <v>0.05</v>
      </c>
      <c r="I1906" t="s">
        <v>244</v>
      </c>
      <c r="M1906">
        <f t="shared" si="59"/>
        <v>10029727955</v>
      </c>
      <c r="N1906">
        <f ca="1">IF(M1906&lt;&gt;M1905,INDEX(CustInfo!$A$2:$A$1001,RANDBETWEEN(1,1000)),N1905)</f>
        <v>11671</v>
      </c>
      <c r="O1906" t="s">
        <v>1001</v>
      </c>
      <c r="P1906">
        <v>52938040</v>
      </c>
    </row>
    <row r="1907" spans="1:16" x14ac:dyDescent="0.35">
      <c r="A1907">
        <v>93827212726</v>
      </c>
      <c r="C1907" s="2" t="s">
        <v>883</v>
      </c>
      <c r="D1907">
        <v>1</v>
      </c>
      <c r="E1907">
        <v>76891213401</v>
      </c>
      <c r="F1907">
        <f t="shared" ca="1" si="58"/>
        <v>98</v>
      </c>
      <c r="G1907">
        <f ca="1">VLOOKUP(E1907,PurchItem!$A$2:$H$508,8,0)</f>
        <v>5832.6749805311892</v>
      </c>
      <c r="H1907">
        <v>0.04</v>
      </c>
      <c r="I1907" t="s">
        <v>244</v>
      </c>
      <c r="M1907">
        <f t="shared" si="59"/>
        <v>10029727956</v>
      </c>
      <c r="N1907">
        <f ca="1">IF(M1907&lt;&gt;M1906,INDEX(CustInfo!$A$2:$A$1001,RANDBETWEEN(1,1000)),N1906)</f>
        <v>11281</v>
      </c>
      <c r="O1907" t="s">
        <v>1001</v>
      </c>
      <c r="P1907">
        <v>52938041</v>
      </c>
    </row>
    <row r="1908" spans="1:16" x14ac:dyDescent="0.35">
      <c r="A1908">
        <v>93827212726</v>
      </c>
      <c r="C1908" s="2" t="s">
        <v>883</v>
      </c>
      <c r="D1908">
        <v>2</v>
      </c>
      <c r="E1908">
        <v>76891213391</v>
      </c>
      <c r="F1908">
        <f t="shared" ca="1" si="58"/>
        <v>42</v>
      </c>
      <c r="G1908">
        <f ca="1">VLOOKUP(E1908,PurchItem!$A$2:$H$508,8,0)</f>
        <v>3029.6020190014342</v>
      </c>
      <c r="H1908">
        <v>0.04</v>
      </c>
      <c r="I1908" t="s">
        <v>244</v>
      </c>
      <c r="M1908">
        <f t="shared" si="59"/>
        <v>10029727956</v>
      </c>
      <c r="N1908">
        <f ca="1">IF(M1908&lt;&gt;M1907,INDEX(CustInfo!$A$2:$A$1001,RANDBETWEEN(1,1000)),N1907)</f>
        <v>11281</v>
      </c>
      <c r="O1908" t="s">
        <v>1001</v>
      </c>
      <c r="P1908">
        <v>52938042</v>
      </c>
    </row>
    <row r="1909" spans="1:16" x14ac:dyDescent="0.35">
      <c r="A1909">
        <v>93827212726</v>
      </c>
      <c r="C1909" s="2" t="s">
        <v>883</v>
      </c>
      <c r="D1909">
        <v>3</v>
      </c>
      <c r="E1909">
        <v>76891213446</v>
      </c>
      <c r="F1909">
        <f t="shared" ca="1" si="58"/>
        <v>79</v>
      </c>
      <c r="G1909">
        <f ca="1">VLOOKUP(E1909,PurchItem!$A$2:$H$508,8,0)</f>
        <v>6461.6332530255731</v>
      </c>
      <c r="H1909">
        <v>0.04</v>
      </c>
      <c r="I1909" t="s">
        <v>244</v>
      </c>
      <c r="M1909">
        <f t="shared" si="59"/>
        <v>10029727956</v>
      </c>
      <c r="N1909">
        <f ca="1">IF(M1909&lt;&gt;M1908,INDEX(CustInfo!$A$2:$A$1001,RANDBETWEEN(1,1000)),N1908)</f>
        <v>11281</v>
      </c>
      <c r="O1909" t="s">
        <v>1001</v>
      </c>
      <c r="P1909">
        <v>52938043</v>
      </c>
    </row>
    <row r="1910" spans="1:16" x14ac:dyDescent="0.35">
      <c r="A1910">
        <v>93827212726</v>
      </c>
      <c r="C1910" s="2" t="s">
        <v>883</v>
      </c>
      <c r="D1910">
        <v>4</v>
      </c>
      <c r="E1910">
        <v>76891213570</v>
      </c>
      <c r="F1910">
        <f t="shared" ca="1" si="58"/>
        <v>59</v>
      </c>
      <c r="G1910">
        <f ca="1">VLOOKUP(E1910,PurchItem!$A$2:$H$508,8,0)</f>
        <v>9788.963236721278</v>
      </c>
      <c r="H1910">
        <v>0.06</v>
      </c>
      <c r="I1910" t="s">
        <v>244</v>
      </c>
      <c r="M1910">
        <f t="shared" si="59"/>
        <v>10029727956</v>
      </c>
      <c r="N1910">
        <f ca="1">IF(M1910&lt;&gt;M1909,INDEX(CustInfo!$A$2:$A$1001,RANDBETWEEN(1,1000)),N1909)</f>
        <v>11281</v>
      </c>
      <c r="O1910" t="s">
        <v>1001</v>
      </c>
      <c r="P1910">
        <v>52938044</v>
      </c>
    </row>
    <row r="1911" spans="1:16" x14ac:dyDescent="0.35">
      <c r="A1911">
        <v>93827212727</v>
      </c>
      <c r="C1911" s="2" t="s">
        <v>883</v>
      </c>
      <c r="D1911">
        <v>1</v>
      </c>
      <c r="E1911">
        <v>76891213382</v>
      </c>
      <c r="F1911">
        <f t="shared" ca="1" si="58"/>
        <v>61</v>
      </c>
      <c r="G1911">
        <f ca="1">VLOOKUP(E1911,PurchItem!$A$2:$H$508,8,0)</f>
        <v>777.90611175999118</v>
      </c>
      <c r="H1911">
        <v>0.05</v>
      </c>
      <c r="I1911" t="s">
        <v>244</v>
      </c>
      <c r="M1911">
        <f t="shared" si="59"/>
        <v>10029727957</v>
      </c>
      <c r="N1911">
        <f ca="1">IF(M1911&lt;&gt;M1910,INDEX(CustInfo!$A$2:$A$1001,RANDBETWEEN(1,1000)),N1910)</f>
        <v>11533</v>
      </c>
      <c r="O1911" t="s">
        <v>1002</v>
      </c>
      <c r="P1911">
        <v>52938045</v>
      </c>
    </row>
    <row r="1912" spans="1:16" x14ac:dyDescent="0.35">
      <c r="A1912">
        <v>93827212727</v>
      </c>
      <c r="C1912" s="2" t="s">
        <v>883</v>
      </c>
      <c r="D1912">
        <v>2</v>
      </c>
      <c r="E1912">
        <v>76891213301</v>
      </c>
      <c r="F1912">
        <f t="shared" ca="1" si="58"/>
        <v>68</v>
      </c>
      <c r="G1912">
        <f ca="1">VLOOKUP(E1912,PurchItem!$A$2:$H$508,8,0)</f>
        <v>7819.5992848678015</v>
      </c>
      <c r="H1912">
        <v>0.04</v>
      </c>
      <c r="I1912" t="s">
        <v>244</v>
      </c>
      <c r="M1912">
        <f t="shared" si="59"/>
        <v>10029727957</v>
      </c>
      <c r="N1912">
        <f ca="1">IF(M1912&lt;&gt;M1911,INDEX(CustInfo!$A$2:$A$1001,RANDBETWEEN(1,1000)),N1911)</f>
        <v>11533</v>
      </c>
      <c r="O1912" t="s">
        <v>1002</v>
      </c>
      <c r="P1912">
        <v>52938046</v>
      </c>
    </row>
    <row r="1913" spans="1:16" x14ac:dyDescent="0.35">
      <c r="A1913">
        <v>93827212727</v>
      </c>
      <c r="C1913" s="2" t="s">
        <v>883</v>
      </c>
      <c r="D1913">
        <v>3</v>
      </c>
      <c r="E1913">
        <v>76891213473</v>
      </c>
      <c r="F1913">
        <f t="shared" ca="1" si="58"/>
        <v>42</v>
      </c>
      <c r="G1913">
        <f ca="1">VLOOKUP(E1913,PurchItem!$A$2:$H$508,8,0)</f>
        <v>2246.8538983085609</v>
      </c>
      <c r="H1913">
        <v>0.06</v>
      </c>
      <c r="I1913" t="s">
        <v>244</v>
      </c>
      <c r="M1913">
        <f t="shared" si="59"/>
        <v>10029727957</v>
      </c>
      <c r="N1913">
        <f ca="1">IF(M1913&lt;&gt;M1912,INDEX(CustInfo!$A$2:$A$1001,RANDBETWEEN(1,1000)),N1912)</f>
        <v>11533</v>
      </c>
      <c r="O1913" t="s">
        <v>1002</v>
      </c>
      <c r="P1913">
        <v>52938047</v>
      </c>
    </row>
    <row r="1914" spans="1:16" x14ac:dyDescent="0.35">
      <c r="A1914">
        <v>93827212728</v>
      </c>
      <c r="C1914" s="2" t="s">
        <v>883</v>
      </c>
      <c r="D1914">
        <v>1</v>
      </c>
      <c r="E1914">
        <v>76891213235</v>
      </c>
      <c r="F1914">
        <f t="shared" ca="1" si="58"/>
        <v>72</v>
      </c>
      <c r="G1914">
        <f ca="1">VLOOKUP(E1914,PurchItem!$A$2:$H$508,8,0)</f>
        <v>383.4257319234585</v>
      </c>
      <c r="H1914">
        <v>0.04</v>
      </c>
      <c r="I1914" t="s">
        <v>244</v>
      </c>
      <c r="M1914">
        <f t="shared" si="59"/>
        <v>10029727958</v>
      </c>
      <c r="N1914">
        <f ca="1">IF(M1914&lt;&gt;M1913,INDEX(CustInfo!$A$2:$A$1001,RANDBETWEEN(1,1000)),N1913)</f>
        <v>11950</v>
      </c>
      <c r="O1914" t="s">
        <v>1003</v>
      </c>
      <c r="P1914">
        <v>52938048</v>
      </c>
    </row>
    <row r="1915" spans="1:16" x14ac:dyDescent="0.35">
      <c r="A1915">
        <v>93827212728</v>
      </c>
      <c r="C1915" s="2" t="s">
        <v>883</v>
      </c>
      <c r="D1915">
        <v>2</v>
      </c>
      <c r="E1915">
        <v>76891213588</v>
      </c>
      <c r="F1915">
        <f t="shared" ca="1" si="58"/>
        <v>58</v>
      </c>
      <c r="G1915">
        <f ca="1">VLOOKUP(E1915,PurchItem!$A$2:$H$508,8,0)</f>
        <v>8034.7750134766238</v>
      </c>
      <c r="H1915">
        <v>0.05</v>
      </c>
      <c r="I1915" t="s">
        <v>244</v>
      </c>
      <c r="M1915">
        <f t="shared" si="59"/>
        <v>10029727958</v>
      </c>
      <c r="N1915">
        <f ca="1">IF(M1915&lt;&gt;M1914,INDEX(CustInfo!$A$2:$A$1001,RANDBETWEEN(1,1000)),N1914)</f>
        <v>11950</v>
      </c>
      <c r="O1915" t="s">
        <v>1003</v>
      </c>
      <c r="P1915">
        <v>52938049</v>
      </c>
    </row>
    <row r="1916" spans="1:16" x14ac:dyDescent="0.35">
      <c r="A1916">
        <v>93827212729</v>
      </c>
      <c r="C1916" s="2" t="s">
        <v>883</v>
      </c>
      <c r="D1916">
        <v>1</v>
      </c>
      <c r="E1916">
        <v>76891213410</v>
      </c>
      <c r="F1916">
        <f t="shared" ca="1" si="58"/>
        <v>41</v>
      </c>
      <c r="G1916">
        <f ca="1">VLOOKUP(E1916,PurchItem!$A$2:$H$508,8,0)</f>
        <v>5895.9151906064244</v>
      </c>
      <c r="H1916">
        <v>0.06</v>
      </c>
      <c r="I1916" t="s">
        <v>244</v>
      </c>
      <c r="M1916">
        <f t="shared" si="59"/>
        <v>10029727959</v>
      </c>
      <c r="N1916">
        <f ca="1">IF(M1916&lt;&gt;M1915,INDEX(CustInfo!$A$2:$A$1001,RANDBETWEEN(1,1000)),N1915)</f>
        <v>11279</v>
      </c>
      <c r="O1916" t="s">
        <v>1001</v>
      </c>
      <c r="P1916">
        <v>52938050</v>
      </c>
    </row>
    <row r="1917" spans="1:16" x14ac:dyDescent="0.35">
      <c r="A1917">
        <v>93827212729</v>
      </c>
      <c r="C1917" s="2" t="s">
        <v>883</v>
      </c>
      <c r="D1917">
        <v>2</v>
      </c>
      <c r="E1917">
        <v>76891213575</v>
      </c>
      <c r="F1917">
        <f t="shared" ca="1" si="58"/>
        <v>7</v>
      </c>
      <c r="G1917">
        <f ca="1">VLOOKUP(E1917,PurchItem!$A$2:$H$508,8,0)</f>
        <v>8506.0862336243208</v>
      </c>
      <c r="H1917">
        <v>0.05</v>
      </c>
      <c r="I1917" t="s">
        <v>244</v>
      </c>
      <c r="M1917">
        <f t="shared" si="59"/>
        <v>10029727959</v>
      </c>
      <c r="N1917">
        <f ca="1">IF(M1917&lt;&gt;M1916,INDEX(CustInfo!$A$2:$A$1001,RANDBETWEEN(1,1000)),N1916)</f>
        <v>11279</v>
      </c>
      <c r="O1917" t="s">
        <v>1001</v>
      </c>
      <c r="P1917">
        <v>52938051</v>
      </c>
    </row>
    <row r="1918" spans="1:16" x14ac:dyDescent="0.35">
      <c r="A1918">
        <v>93827212729</v>
      </c>
      <c r="C1918" s="2" t="s">
        <v>883</v>
      </c>
      <c r="D1918">
        <v>3</v>
      </c>
      <c r="E1918">
        <v>76891213337</v>
      </c>
      <c r="F1918">
        <f t="shared" ca="1" si="58"/>
        <v>100</v>
      </c>
      <c r="G1918">
        <f ca="1">VLOOKUP(E1918,PurchItem!$A$2:$H$508,8,0)</f>
        <v>9545.3934858717184</v>
      </c>
      <c r="H1918">
        <v>0.04</v>
      </c>
      <c r="I1918" t="s">
        <v>244</v>
      </c>
      <c r="M1918">
        <f t="shared" si="59"/>
        <v>10029727959</v>
      </c>
      <c r="N1918">
        <f ca="1">IF(M1918&lt;&gt;M1917,INDEX(CustInfo!$A$2:$A$1001,RANDBETWEEN(1,1000)),N1917)</f>
        <v>11279</v>
      </c>
      <c r="O1918" t="s">
        <v>1001</v>
      </c>
      <c r="P1918">
        <v>52938052</v>
      </c>
    </row>
    <row r="1919" spans="1:16" x14ac:dyDescent="0.35">
      <c r="A1919">
        <v>93827212729</v>
      </c>
      <c r="C1919" s="2" t="s">
        <v>883</v>
      </c>
      <c r="D1919">
        <v>4</v>
      </c>
      <c r="E1919">
        <v>76891213330</v>
      </c>
      <c r="F1919">
        <f t="shared" ca="1" si="58"/>
        <v>9</v>
      </c>
      <c r="G1919">
        <f ca="1">VLOOKUP(E1919,PurchItem!$A$2:$H$508,8,0)</f>
        <v>744.22383412775935</v>
      </c>
      <c r="H1919">
        <v>0.04</v>
      </c>
      <c r="I1919" t="s">
        <v>244</v>
      </c>
      <c r="M1919">
        <f t="shared" si="59"/>
        <v>10029727959</v>
      </c>
      <c r="N1919">
        <f ca="1">IF(M1919&lt;&gt;M1918,INDEX(CustInfo!$A$2:$A$1001,RANDBETWEEN(1,1000)),N1918)</f>
        <v>11279</v>
      </c>
      <c r="O1919" t="s">
        <v>1001</v>
      </c>
      <c r="P1919">
        <v>52938053</v>
      </c>
    </row>
    <row r="1920" spans="1:16" x14ac:dyDescent="0.35">
      <c r="A1920">
        <v>93827212730</v>
      </c>
      <c r="C1920" s="2" t="s">
        <v>883</v>
      </c>
      <c r="D1920">
        <v>1</v>
      </c>
      <c r="E1920">
        <v>76891213233</v>
      </c>
      <c r="F1920">
        <f t="shared" ca="1" si="58"/>
        <v>5</v>
      </c>
      <c r="G1920">
        <f ca="1">VLOOKUP(E1920,PurchItem!$A$2:$H$508,8,0)</f>
        <v>9181.2256991220602</v>
      </c>
      <c r="H1920">
        <v>0.05</v>
      </c>
      <c r="I1920" t="s">
        <v>244</v>
      </c>
      <c r="M1920">
        <f t="shared" si="59"/>
        <v>10029727960</v>
      </c>
      <c r="N1920">
        <f ca="1">IF(M1920&lt;&gt;M1919,INDEX(CustInfo!$A$2:$A$1001,RANDBETWEEN(1,1000)),N1919)</f>
        <v>11659</v>
      </c>
      <c r="O1920" t="s">
        <v>1002</v>
      </c>
      <c r="P1920">
        <v>52938054</v>
      </c>
    </row>
    <row r="1921" spans="1:16" x14ac:dyDescent="0.35">
      <c r="A1921">
        <v>93827212730</v>
      </c>
      <c r="C1921" s="2" t="s">
        <v>883</v>
      </c>
      <c r="D1921">
        <v>2</v>
      </c>
      <c r="E1921">
        <v>76891213597</v>
      </c>
      <c r="F1921">
        <f t="shared" ca="1" si="58"/>
        <v>84</v>
      </c>
      <c r="G1921">
        <f ca="1">VLOOKUP(E1921,PurchItem!$A$2:$H$508,8,0)</f>
        <v>6407.6591066993278</v>
      </c>
      <c r="H1921">
        <v>0.04</v>
      </c>
      <c r="I1921" t="s">
        <v>244</v>
      </c>
      <c r="M1921">
        <f t="shared" si="59"/>
        <v>10029727960</v>
      </c>
      <c r="N1921">
        <f ca="1">IF(M1921&lt;&gt;M1920,INDEX(CustInfo!$A$2:$A$1001,RANDBETWEEN(1,1000)),N1920)</f>
        <v>11659</v>
      </c>
      <c r="O1921" t="s">
        <v>1002</v>
      </c>
      <c r="P1921">
        <v>52938055</v>
      </c>
    </row>
    <row r="1922" spans="1:16" x14ac:dyDescent="0.35">
      <c r="A1922">
        <v>93827212731</v>
      </c>
      <c r="C1922" s="2" t="s">
        <v>883</v>
      </c>
      <c r="D1922">
        <v>1</v>
      </c>
      <c r="E1922">
        <v>76891213481</v>
      </c>
      <c r="F1922">
        <f t="shared" ca="1" si="58"/>
        <v>37</v>
      </c>
      <c r="G1922">
        <f ca="1">VLOOKUP(E1922,PurchItem!$A$2:$H$508,8,0)</f>
        <v>9672.6491193647089</v>
      </c>
      <c r="H1922">
        <v>0.06</v>
      </c>
      <c r="I1922" t="s">
        <v>244</v>
      </c>
      <c r="M1922">
        <f t="shared" si="59"/>
        <v>10029727961</v>
      </c>
      <c r="N1922">
        <f ca="1">IF(M1922&lt;&gt;M1921,INDEX(CustInfo!$A$2:$A$1001,RANDBETWEEN(1,1000)),N1921)</f>
        <v>11669</v>
      </c>
      <c r="O1922" t="s">
        <v>1001</v>
      </c>
      <c r="P1922">
        <v>52938056</v>
      </c>
    </row>
    <row r="1923" spans="1:16" x14ac:dyDescent="0.35">
      <c r="A1923">
        <v>93827212731</v>
      </c>
      <c r="C1923" s="2" t="s">
        <v>883</v>
      </c>
      <c r="D1923">
        <v>2</v>
      </c>
      <c r="E1923">
        <v>76891213168</v>
      </c>
      <c r="F1923">
        <f t="shared" ref="F1923:F1986" ca="1" si="60">RANDBETWEEN(1,100)</f>
        <v>47</v>
      </c>
      <c r="G1923">
        <f ca="1">VLOOKUP(E1923,PurchItem!$A$2:$H$508,8,0)</f>
        <v>1428.4461535663661</v>
      </c>
      <c r="H1923">
        <v>0.05</v>
      </c>
      <c r="I1923" t="s">
        <v>244</v>
      </c>
      <c r="M1923">
        <f t="shared" si="59"/>
        <v>10029727961</v>
      </c>
      <c r="N1923">
        <f ca="1">IF(M1923&lt;&gt;M1922,INDEX(CustInfo!$A$2:$A$1001,RANDBETWEEN(1,1000)),N1922)</f>
        <v>11669</v>
      </c>
      <c r="O1923" t="s">
        <v>1001</v>
      </c>
      <c r="P1923">
        <v>52938057</v>
      </c>
    </row>
    <row r="1924" spans="1:16" x14ac:dyDescent="0.35">
      <c r="A1924">
        <v>93827212732</v>
      </c>
      <c r="C1924" s="2" t="s">
        <v>883</v>
      </c>
      <c r="D1924">
        <v>1</v>
      </c>
      <c r="E1924">
        <v>76891213562</v>
      </c>
      <c r="F1924">
        <f t="shared" ca="1" si="60"/>
        <v>23</v>
      </c>
      <c r="G1924">
        <f ca="1">VLOOKUP(E1924,PurchItem!$A$2:$H$508,8,0)</f>
        <v>740.07486669970649</v>
      </c>
      <c r="H1924">
        <v>0.06</v>
      </c>
      <c r="I1924" t="s">
        <v>244</v>
      </c>
      <c r="M1924">
        <f t="shared" si="59"/>
        <v>10029727962</v>
      </c>
      <c r="N1924">
        <f ca="1">IF(M1924&lt;&gt;M1923,INDEX(CustInfo!$A$2:$A$1001,RANDBETWEEN(1,1000)),N1923)</f>
        <v>11445</v>
      </c>
      <c r="O1924" t="s">
        <v>1001</v>
      </c>
      <c r="P1924">
        <v>52938058</v>
      </c>
    </row>
    <row r="1925" spans="1:16" x14ac:dyDescent="0.35">
      <c r="A1925">
        <v>93827212732</v>
      </c>
      <c r="C1925" s="2" t="s">
        <v>883</v>
      </c>
      <c r="D1925">
        <v>2</v>
      </c>
      <c r="E1925">
        <v>76891213398</v>
      </c>
      <c r="F1925">
        <f t="shared" ca="1" si="60"/>
        <v>77</v>
      </c>
      <c r="G1925">
        <f ca="1">VLOOKUP(E1925,PurchItem!$A$2:$H$508,8,0)</f>
        <v>5671.349698118911</v>
      </c>
      <c r="H1925">
        <v>0.05</v>
      </c>
      <c r="I1925" t="s">
        <v>244</v>
      </c>
      <c r="M1925">
        <f t="shared" ref="M1925:M1988" si="61">IF(A1925&lt;&gt;A1924,M1924+1,M1924)</f>
        <v>10029727962</v>
      </c>
      <c r="N1925">
        <f ca="1">IF(M1925&lt;&gt;M1924,INDEX(CustInfo!$A$2:$A$1001,RANDBETWEEN(1,1000)),N1924)</f>
        <v>11445</v>
      </c>
      <c r="O1925" t="s">
        <v>1001</v>
      </c>
      <c r="P1925">
        <v>52938059</v>
      </c>
    </row>
    <row r="1926" spans="1:16" x14ac:dyDescent="0.35">
      <c r="A1926">
        <v>93827212733</v>
      </c>
      <c r="C1926" s="2" t="s">
        <v>883</v>
      </c>
      <c r="D1926">
        <v>1</v>
      </c>
      <c r="E1926">
        <v>76891213433</v>
      </c>
      <c r="F1926">
        <f t="shared" ca="1" si="60"/>
        <v>38</v>
      </c>
      <c r="G1926">
        <f ca="1">VLOOKUP(E1926,PurchItem!$A$2:$H$508,8,0)</f>
        <v>8137.8051344838841</v>
      </c>
      <c r="H1926">
        <v>0.05</v>
      </c>
      <c r="I1926" t="s">
        <v>244</v>
      </c>
      <c r="M1926">
        <f t="shared" si="61"/>
        <v>10029727963</v>
      </c>
      <c r="N1926">
        <f ca="1">IF(M1926&lt;&gt;M1925,INDEX(CustInfo!$A$2:$A$1001,RANDBETWEEN(1,1000)),N1925)</f>
        <v>11928</v>
      </c>
      <c r="O1926" t="s">
        <v>1001</v>
      </c>
      <c r="P1926">
        <v>52938060</v>
      </c>
    </row>
    <row r="1927" spans="1:16" x14ac:dyDescent="0.35">
      <c r="A1927">
        <v>93827212733</v>
      </c>
      <c r="C1927" s="2" t="s">
        <v>883</v>
      </c>
      <c r="D1927">
        <v>2</v>
      </c>
      <c r="E1927">
        <v>76891213284</v>
      </c>
      <c r="F1927">
        <f t="shared" ca="1" si="60"/>
        <v>10</v>
      </c>
      <c r="G1927">
        <f ca="1">VLOOKUP(E1927,PurchItem!$A$2:$H$508,8,0)</f>
        <v>8438.9292821455692</v>
      </c>
      <c r="H1927">
        <v>0.05</v>
      </c>
      <c r="I1927" t="s">
        <v>244</v>
      </c>
      <c r="M1927">
        <f t="shared" si="61"/>
        <v>10029727963</v>
      </c>
      <c r="N1927">
        <f ca="1">IF(M1927&lt;&gt;M1926,INDEX(CustInfo!$A$2:$A$1001,RANDBETWEEN(1,1000)),N1926)</f>
        <v>11928</v>
      </c>
      <c r="O1927" t="s">
        <v>1001</v>
      </c>
      <c r="P1927">
        <v>52938061</v>
      </c>
    </row>
    <row r="1928" spans="1:16" x14ac:dyDescent="0.35">
      <c r="A1928">
        <v>93827212733</v>
      </c>
      <c r="C1928" s="2" t="s">
        <v>883</v>
      </c>
      <c r="D1928">
        <v>3</v>
      </c>
      <c r="E1928">
        <v>76891213575</v>
      </c>
      <c r="F1928">
        <f t="shared" ca="1" si="60"/>
        <v>37</v>
      </c>
      <c r="G1928">
        <f ca="1">VLOOKUP(E1928,PurchItem!$A$2:$H$508,8,0)</f>
        <v>8506.0862336243208</v>
      </c>
      <c r="H1928">
        <v>0.04</v>
      </c>
      <c r="I1928" t="s">
        <v>244</v>
      </c>
      <c r="M1928">
        <f t="shared" si="61"/>
        <v>10029727963</v>
      </c>
      <c r="N1928">
        <f ca="1">IF(M1928&lt;&gt;M1927,INDEX(CustInfo!$A$2:$A$1001,RANDBETWEEN(1,1000)),N1927)</f>
        <v>11928</v>
      </c>
      <c r="O1928" t="s">
        <v>1001</v>
      </c>
      <c r="P1928">
        <v>52938062</v>
      </c>
    </row>
    <row r="1929" spans="1:16" x14ac:dyDescent="0.35">
      <c r="A1929">
        <v>93827212733</v>
      </c>
      <c r="C1929" s="2" t="s">
        <v>883</v>
      </c>
      <c r="D1929">
        <v>4</v>
      </c>
      <c r="E1929">
        <v>76891213153</v>
      </c>
      <c r="F1929">
        <f t="shared" ca="1" si="60"/>
        <v>2</v>
      </c>
      <c r="G1929">
        <f ca="1">VLOOKUP(E1929,PurchItem!$A$2:$H$508,8,0)</f>
        <v>9849.9949858218879</v>
      </c>
      <c r="H1929">
        <v>0.06</v>
      </c>
      <c r="I1929" t="s">
        <v>244</v>
      </c>
      <c r="M1929">
        <f t="shared" si="61"/>
        <v>10029727963</v>
      </c>
      <c r="N1929">
        <f ca="1">IF(M1929&lt;&gt;M1928,INDEX(CustInfo!$A$2:$A$1001,RANDBETWEEN(1,1000)),N1928)</f>
        <v>11928</v>
      </c>
      <c r="O1929" t="s">
        <v>1001</v>
      </c>
      <c r="P1929">
        <v>52938063</v>
      </c>
    </row>
    <row r="1930" spans="1:16" x14ac:dyDescent="0.35">
      <c r="A1930">
        <v>93827212734</v>
      </c>
      <c r="C1930" s="2" t="s">
        <v>883</v>
      </c>
      <c r="D1930">
        <v>1</v>
      </c>
      <c r="E1930">
        <v>76891213543</v>
      </c>
      <c r="F1930">
        <f t="shared" ca="1" si="60"/>
        <v>14</v>
      </c>
      <c r="G1930">
        <f ca="1">VLOOKUP(E1930,PurchItem!$A$2:$H$508,8,0)</f>
        <v>645.98032194518066</v>
      </c>
      <c r="H1930">
        <v>0.05</v>
      </c>
      <c r="I1930" t="s">
        <v>244</v>
      </c>
      <c r="M1930">
        <f t="shared" si="61"/>
        <v>10029727964</v>
      </c>
      <c r="N1930">
        <f ca="1">IF(M1930&lt;&gt;M1929,INDEX(CustInfo!$A$2:$A$1001,RANDBETWEEN(1,1000)),N1929)</f>
        <v>11747</v>
      </c>
      <c r="O1930" t="s">
        <v>1003</v>
      </c>
      <c r="P1930">
        <v>52938064</v>
      </c>
    </row>
    <row r="1931" spans="1:16" x14ac:dyDescent="0.35">
      <c r="A1931">
        <v>93827212734</v>
      </c>
      <c r="C1931" s="2" t="s">
        <v>883</v>
      </c>
      <c r="D1931">
        <v>2</v>
      </c>
      <c r="E1931">
        <v>76891213379</v>
      </c>
      <c r="F1931">
        <f t="shared" ca="1" si="60"/>
        <v>70</v>
      </c>
      <c r="G1931">
        <f ca="1">VLOOKUP(E1931,PurchItem!$A$2:$H$508,8,0)</f>
        <v>2648.7341541892197</v>
      </c>
      <c r="H1931">
        <v>0.06</v>
      </c>
      <c r="I1931" t="s">
        <v>244</v>
      </c>
      <c r="M1931">
        <f t="shared" si="61"/>
        <v>10029727964</v>
      </c>
      <c r="N1931">
        <f ca="1">IF(M1931&lt;&gt;M1930,INDEX(CustInfo!$A$2:$A$1001,RANDBETWEEN(1,1000)),N1930)</f>
        <v>11747</v>
      </c>
      <c r="O1931" t="s">
        <v>1003</v>
      </c>
      <c r="P1931">
        <v>52938065</v>
      </c>
    </row>
    <row r="1932" spans="1:16" x14ac:dyDescent="0.35">
      <c r="A1932">
        <v>93827212734</v>
      </c>
      <c r="C1932" s="2" t="s">
        <v>883</v>
      </c>
      <c r="D1932">
        <v>3</v>
      </c>
      <c r="E1932">
        <v>76891213263</v>
      </c>
      <c r="F1932">
        <f t="shared" ca="1" si="60"/>
        <v>15</v>
      </c>
      <c r="G1932">
        <f ca="1">VLOOKUP(E1932,PurchItem!$A$2:$H$508,8,0)</f>
        <v>7259.5126296854596</v>
      </c>
      <c r="H1932">
        <v>0.04</v>
      </c>
      <c r="I1932" t="s">
        <v>244</v>
      </c>
      <c r="M1932">
        <f t="shared" si="61"/>
        <v>10029727964</v>
      </c>
      <c r="N1932">
        <f ca="1">IF(M1932&lt;&gt;M1931,INDEX(CustInfo!$A$2:$A$1001,RANDBETWEEN(1,1000)),N1931)</f>
        <v>11747</v>
      </c>
      <c r="O1932" t="s">
        <v>1003</v>
      </c>
      <c r="P1932">
        <v>52938066</v>
      </c>
    </row>
    <row r="1933" spans="1:16" x14ac:dyDescent="0.35">
      <c r="A1933">
        <v>93827212734</v>
      </c>
      <c r="C1933" s="2" t="s">
        <v>883</v>
      </c>
      <c r="D1933">
        <v>4</v>
      </c>
      <c r="E1933">
        <v>76891213522</v>
      </c>
      <c r="F1933">
        <f t="shared" ca="1" si="60"/>
        <v>84</v>
      </c>
      <c r="G1933">
        <f ca="1">VLOOKUP(E1933,PurchItem!$A$2:$H$508,8,0)</f>
        <v>2861.1857686932035</v>
      </c>
      <c r="H1933">
        <v>0.04</v>
      </c>
      <c r="I1933" t="s">
        <v>244</v>
      </c>
      <c r="M1933">
        <f t="shared" si="61"/>
        <v>10029727964</v>
      </c>
      <c r="N1933">
        <f ca="1">IF(M1933&lt;&gt;M1932,INDEX(CustInfo!$A$2:$A$1001,RANDBETWEEN(1,1000)),N1932)</f>
        <v>11747</v>
      </c>
      <c r="O1933" t="s">
        <v>1003</v>
      </c>
      <c r="P1933">
        <v>52938067</v>
      </c>
    </row>
    <row r="1934" spans="1:16" x14ac:dyDescent="0.35">
      <c r="A1934">
        <v>93827212735</v>
      </c>
      <c r="C1934" s="2" t="s">
        <v>883</v>
      </c>
      <c r="D1934">
        <v>1</v>
      </c>
      <c r="E1934">
        <v>76891213223</v>
      </c>
      <c r="F1934">
        <f t="shared" ca="1" si="60"/>
        <v>36</v>
      </c>
      <c r="G1934">
        <f ca="1">VLOOKUP(E1934,PurchItem!$A$2:$H$508,8,0)</f>
        <v>9143.6020748149404</v>
      </c>
      <c r="H1934">
        <v>0.04</v>
      </c>
      <c r="I1934" t="s">
        <v>244</v>
      </c>
      <c r="M1934">
        <f t="shared" si="61"/>
        <v>10029727965</v>
      </c>
      <c r="N1934">
        <f ca="1">IF(M1934&lt;&gt;M1933,INDEX(CustInfo!$A$2:$A$1001,RANDBETWEEN(1,1000)),N1933)</f>
        <v>11362</v>
      </c>
      <c r="O1934" t="s">
        <v>1003</v>
      </c>
      <c r="P1934">
        <v>52938068</v>
      </c>
    </row>
    <row r="1935" spans="1:16" x14ac:dyDescent="0.35">
      <c r="A1935">
        <v>93827212736</v>
      </c>
      <c r="C1935" s="2" t="s">
        <v>883</v>
      </c>
      <c r="D1935">
        <v>1</v>
      </c>
      <c r="E1935">
        <v>76891213573</v>
      </c>
      <c r="F1935">
        <f t="shared" ca="1" si="60"/>
        <v>15</v>
      </c>
      <c r="G1935">
        <f ca="1">VLOOKUP(E1935,PurchItem!$A$2:$H$508,8,0)</f>
        <v>6067.131933967592</v>
      </c>
      <c r="H1935">
        <v>0.06</v>
      </c>
      <c r="I1935" t="s">
        <v>244</v>
      </c>
      <c r="M1935">
        <f t="shared" si="61"/>
        <v>10029727966</v>
      </c>
      <c r="N1935">
        <f ca="1">IF(M1935&lt;&gt;M1934,INDEX(CustInfo!$A$2:$A$1001,RANDBETWEEN(1,1000)),N1934)</f>
        <v>11757</v>
      </c>
      <c r="O1935" t="s">
        <v>1001</v>
      </c>
      <c r="P1935">
        <v>52938069</v>
      </c>
    </row>
    <row r="1936" spans="1:16" x14ac:dyDescent="0.35">
      <c r="A1936">
        <v>93827212736</v>
      </c>
      <c r="C1936" s="2" t="s">
        <v>883</v>
      </c>
      <c r="D1936">
        <v>2</v>
      </c>
      <c r="E1936">
        <v>76891213512</v>
      </c>
      <c r="F1936">
        <f t="shared" ca="1" si="60"/>
        <v>83</v>
      </c>
      <c r="G1936">
        <f ca="1">VLOOKUP(E1936,PurchItem!$A$2:$H$508,8,0)</f>
        <v>9875.6826871447392</v>
      </c>
      <c r="H1936">
        <v>0.06</v>
      </c>
      <c r="I1936" t="s">
        <v>244</v>
      </c>
      <c r="M1936">
        <f t="shared" si="61"/>
        <v>10029727966</v>
      </c>
      <c r="N1936">
        <f ca="1">IF(M1936&lt;&gt;M1935,INDEX(CustInfo!$A$2:$A$1001,RANDBETWEEN(1,1000)),N1935)</f>
        <v>11757</v>
      </c>
      <c r="O1936" t="s">
        <v>1001</v>
      </c>
      <c r="P1936">
        <v>52938070</v>
      </c>
    </row>
    <row r="1937" spans="1:16" x14ac:dyDescent="0.35">
      <c r="A1937">
        <v>93827212736</v>
      </c>
      <c r="C1937" s="2" t="s">
        <v>883</v>
      </c>
      <c r="D1937">
        <v>3</v>
      </c>
      <c r="E1937">
        <v>76891213534</v>
      </c>
      <c r="F1937">
        <f t="shared" ca="1" si="60"/>
        <v>82</v>
      </c>
      <c r="G1937">
        <f ca="1">VLOOKUP(E1937,PurchItem!$A$2:$H$508,8,0)</f>
        <v>5879.3921130267236</v>
      </c>
      <c r="H1937">
        <v>0.06</v>
      </c>
      <c r="I1937" t="s">
        <v>244</v>
      </c>
      <c r="M1937">
        <f t="shared" si="61"/>
        <v>10029727966</v>
      </c>
      <c r="N1937">
        <f ca="1">IF(M1937&lt;&gt;M1936,INDEX(CustInfo!$A$2:$A$1001,RANDBETWEEN(1,1000)),N1936)</f>
        <v>11757</v>
      </c>
      <c r="O1937" t="s">
        <v>1001</v>
      </c>
      <c r="P1937">
        <v>52938071</v>
      </c>
    </row>
    <row r="1938" spans="1:16" x14ac:dyDescent="0.35">
      <c r="A1938">
        <v>93827212737</v>
      </c>
      <c r="C1938" s="2" t="s">
        <v>883</v>
      </c>
      <c r="D1938">
        <v>1</v>
      </c>
      <c r="E1938">
        <v>76891213473</v>
      </c>
      <c r="F1938">
        <f t="shared" ca="1" si="60"/>
        <v>98</v>
      </c>
      <c r="G1938">
        <f ca="1">VLOOKUP(E1938,PurchItem!$A$2:$H$508,8,0)</f>
        <v>2246.8538983085609</v>
      </c>
      <c r="H1938">
        <v>0.06</v>
      </c>
      <c r="I1938" t="s">
        <v>244</v>
      </c>
      <c r="M1938">
        <f t="shared" si="61"/>
        <v>10029727967</v>
      </c>
      <c r="N1938">
        <f ca="1">IF(M1938&lt;&gt;M1937,INDEX(CustInfo!$A$2:$A$1001,RANDBETWEEN(1,1000)),N1937)</f>
        <v>11053</v>
      </c>
      <c r="O1938" t="s">
        <v>1002</v>
      </c>
      <c r="P1938">
        <v>52938072</v>
      </c>
    </row>
    <row r="1939" spans="1:16" x14ac:dyDescent="0.35">
      <c r="A1939">
        <v>93827212737</v>
      </c>
      <c r="C1939" s="2" t="s">
        <v>883</v>
      </c>
      <c r="D1939">
        <v>2</v>
      </c>
      <c r="E1939">
        <v>76891213505</v>
      </c>
      <c r="F1939">
        <f t="shared" ca="1" si="60"/>
        <v>28</v>
      </c>
      <c r="G1939">
        <f ca="1">VLOOKUP(E1939,PurchItem!$A$2:$H$508,8,0)</f>
        <v>6494.2629478443014</v>
      </c>
      <c r="H1939">
        <v>0.04</v>
      </c>
      <c r="I1939" t="s">
        <v>244</v>
      </c>
      <c r="M1939">
        <f t="shared" si="61"/>
        <v>10029727967</v>
      </c>
      <c r="N1939">
        <f ca="1">IF(M1939&lt;&gt;M1938,INDEX(CustInfo!$A$2:$A$1001,RANDBETWEEN(1,1000)),N1938)</f>
        <v>11053</v>
      </c>
      <c r="O1939" t="s">
        <v>1002</v>
      </c>
      <c r="P1939">
        <v>52938073</v>
      </c>
    </row>
    <row r="1940" spans="1:16" x14ac:dyDescent="0.35">
      <c r="A1940">
        <v>93827212737</v>
      </c>
      <c r="C1940" s="2" t="s">
        <v>883</v>
      </c>
      <c r="D1940">
        <v>3</v>
      </c>
      <c r="E1940">
        <v>76891213237</v>
      </c>
      <c r="F1940">
        <f t="shared" ca="1" si="60"/>
        <v>97</v>
      </c>
      <c r="G1940">
        <f ca="1">VLOOKUP(E1940,PurchItem!$A$2:$H$508,8,0)</f>
        <v>1912.5089900234684</v>
      </c>
      <c r="H1940">
        <v>0.06</v>
      </c>
      <c r="I1940" t="s">
        <v>244</v>
      </c>
      <c r="M1940">
        <f t="shared" si="61"/>
        <v>10029727967</v>
      </c>
      <c r="N1940">
        <f ca="1">IF(M1940&lt;&gt;M1939,INDEX(CustInfo!$A$2:$A$1001,RANDBETWEEN(1,1000)),N1939)</f>
        <v>11053</v>
      </c>
      <c r="O1940" t="s">
        <v>1002</v>
      </c>
      <c r="P1940">
        <v>52938074</v>
      </c>
    </row>
    <row r="1941" spans="1:16" x14ac:dyDescent="0.35">
      <c r="A1941">
        <v>93827212737</v>
      </c>
      <c r="C1941" s="2" t="s">
        <v>883</v>
      </c>
      <c r="D1941">
        <v>4</v>
      </c>
      <c r="E1941">
        <v>76891213537</v>
      </c>
      <c r="F1941">
        <f t="shared" ca="1" si="60"/>
        <v>38</v>
      </c>
      <c r="G1941">
        <f ca="1">VLOOKUP(E1941,PurchItem!$A$2:$H$508,8,0)</f>
        <v>8926.2162855573406</v>
      </c>
      <c r="H1941">
        <v>0.06</v>
      </c>
      <c r="I1941" t="s">
        <v>244</v>
      </c>
      <c r="M1941">
        <f t="shared" si="61"/>
        <v>10029727967</v>
      </c>
      <c r="N1941">
        <f ca="1">IF(M1941&lt;&gt;M1940,INDEX(CustInfo!$A$2:$A$1001,RANDBETWEEN(1,1000)),N1940)</f>
        <v>11053</v>
      </c>
      <c r="O1941" t="s">
        <v>1002</v>
      </c>
      <c r="P1941">
        <v>52938075</v>
      </c>
    </row>
    <row r="1942" spans="1:16" x14ac:dyDescent="0.35">
      <c r="A1942">
        <v>93827212738</v>
      </c>
      <c r="C1942" s="2" t="s">
        <v>883</v>
      </c>
      <c r="D1942">
        <v>1</v>
      </c>
      <c r="E1942">
        <v>76891213527</v>
      </c>
      <c r="F1942">
        <f t="shared" ca="1" si="60"/>
        <v>12</v>
      </c>
      <c r="G1942">
        <f ca="1">VLOOKUP(E1942,PurchItem!$A$2:$H$508,8,0)</f>
        <v>3326.8565914437954</v>
      </c>
      <c r="H1942">
        <v>0.05</v>
      </c>
      <c r="I1942" t="s">
        <v>244</v>
      </c>
      <c r="M1942">
        <f t="shared" si="61"/>
        <v>10029727968</v>
      </c>
      <c r="N1942">
        <f ca="1">IF(M1942&lt;&gt;M1941,INDEX(CustInfo!$A$2:$A$1001,RANDBETWEEN(1,1000)),N1941)</f>
        <v>11066</v>
      </c>
      <c r="O1942" t="s">
        <v>1002</v>
      </c>
      <c r="P1942">
        <v>52938076</v>
      </c>
    </row>
    <row r="1943" spans="1:16" x14ac:dyDescent="0.35">
      <c r="A1943">
        <v>93827212739</v>
      </c>
      <c r="C1943" s="2" t="s">
        <v>883</v>
      </c>
      <c r="D1943">
        <v>1</v>
      </c>
      <c r="E1943">
        <v>76891213446</v>
      </c>
      <c r="F1943">
        <f t="shared" ca="1" si="60"/>
        <v>16</v>
      </c>
      <c r="G1943">
        <f ca="1">VLOOKUP(E1943,PurchItem!$A$2:$H$508,8,0)</f>
        <v>6461.6332530255731</v>
      </c>
      <c r="H1943">
        <v>0.05</v>
      </c>
      <c r="I1943" t="s">
        <v>244</v>
      </c>
      <c r="M1943">
        <f t="shared" si="61"/>
        <v>10029727969</v>
      </c>
      <c r="N1943">
        <f ca="1">IF(M1943&lt;&gt;M1942,INDEX(CustInfo!$A$2:$A$1001,RANDBETWEEN(1,1000)),N1942)</f>
        <v>11996</v>
      </c>
      <c r="O1943" t="s">
        <v>1002</v>
      </c>
      <c r="P1943">
        <v>52938077</v>
      </c>
    </row>
    <row r="1944" spans="1:16" x14ac:dyDescent="0.35">
      <c r="A1944">
        <v>93827212739</v>
      </c>
      <c r="C1944" s="2" t="s">
        <v>883</v>
      </c>
      <c r="D1944">
        <v>2</v>
      </c>
      <c r="E1944">
        <v>76891213482</v>
      </c>
      <c r="F1944">
        <f t="shared" ca="1" si="60"/>
        <v>2</v>
      </c>
      <c r="G1944">
        <f ca="1">VLOOKUP(E1944,PurchItem!$A$2:$H$508,8,0)</f>
        <v>1942.5852998534569</v>
      </c>
      <c r="H1944">
        <v>0.05</v>
      </c>
      <c r="I1944" t="s">
        <v>244</v>
      </c>
      <c r="M1944">
        <f t="shared" si="61"/>
        <v>10029727969</v>
      </c>
      <c r="N1944">
        <f ca="1">IF(M1944&lt;&gt;M1943,INDEX(CustInfo!$A$2:$A$1001,RANDBETWEEN(1,1000)),N1943)</f>
        <v>11996</v>
      </c>
      <c r="O1944" t="s">
        <v>1002</v>
      </c>
      <c r="P1944">
        <v>52938078</v>
      </c>
    </row>
    <row r="1945" spans="1:16" x14ac:dyDescent="0.35">
      <c r="A1945">
        <v>93827212739</v>
      </c>
      <c r="C1945" s="2" t="s">
        <v>883</v>
      </c>
      <c r="D1945">
        <v>3</v>
      </c>
      <c r="E1945">
        <v>76891213511</v>
      </c>
      <c r="F1945">
        <f t="shared" ca="1" si="60"/>
        <v>5</v>
      </c>
      <c r="G1945">
        <f ca="1">VLOOKUP(E1945,PurchItem!$A$2:$H$508,8,0)</f>
        <v>6497.3010263499036</v>
      </c>
      <c r="H1945">
        <v>0.06</v>
      </c>
      <c r="I1945" t="s">
        <v>244</v>
      </c>
      <c r="M1945">
        <f t="shared" si="61"/>
        <v>10029727969</v>
      </c>
      <c r="N1945">
        <f ca="1">IF(M1945&lt;&gt;M1944,INDEX(CustInfo!$A$2:$A$1001,RANDBETWEEN(1,1000)),N1944)</f>
        <v>11996</v>
      </c>
      <c r="O1945" t="s">
        <v>1002</v>
      </c>
      <c r="P1945">
        <v>52938079</v>
      </c>
    </row>
    <row r="1946" spans="1:16" x14ac:dyDescent="0.35">
      <c r="A1946">
        <v>93827212740</v>
      </c>
      <c r="C1946" s="2" t="s">
        <v>883</v>
      </c>
      <c r="D1946">
        <v>1</v>
      </c>
      <c r="E1946">
        <v>76891213269</v>
      </c>
      <c r="F1946">
        <f t="shared" ca="1" si="60"/>
        <v>71</v>
      </c>
      <c r="G1946">
        <f ca="1">VLOOKUP(E1946,PurchItem!$A$2:$H$508,8,0)</f>
        <v>599.79475417392064</v>
      </c>
      <c r="H1946">
        <v>0.04</v>
      </c>
      <c r="I1946" t="s">
        <v>244</v>
      </c>
      <c r="M1946">
        <f t="shared" si="61"/>
        <v>10029727970</v>
      </c>
      <c r="N1946">
        <f ca="1">IF(M1946&lt;&gt;M1945,INDEX(CustInfo!$A$2:$A$1001,RANDBETWEEN(1,1000)),N1945)</f>
        <v>11065</v>
      </c>
      <c r="O1946" t="s">
        <v>1001</v>
      </c>
      <c r="P1946">
        <v>52938080</v>
      </c>
    </row>
    <row r="1947" spans="1:16" x14ac:dyDescent="0.35">
      <c r="A1947">
        <v>93827212740</v>
      </c>
      <c r="C1947" s="2" t="s">
        <v>883</v>
      </c>
      <c r="D1947">
        <v>2</v>
      </c>
      <c r="E1947">
        <v>76891213352</v>
      </c>
      <c r="F1947">
        <f t="shared" ca="1" si="60"/>
        <v>41</v>
      </c>
      <c r="G1947">
        <f ca="1">VLOOKUP(E1947,PurchItem!$A$2:$H$508,8,0)</f>
        <v>4067.3934065622611</v>
      </c>
      <c r="H1947">
        <v>0.05</v>
      </c>
      <c r="I1947" t="s">
        <v>244</v>
      </c>
      <c r="M1947">
        <f t="shared" si="61"/>
        <v>10029727970</v>
      </c>
      <c r="N1947">
        <f ca="1">IF(M1947&lt;&gt;M1946,INDEX(CustInfo!$A$2:$A$1001,RANDBETWEEN(1,1000)),N1946)</f>
        <v>11065</v>
      </c>
      <c r="O1947" t="s">
        <v>1001</v>
      </c>
      <c r="P1947">
        <v>52938081</v>
      </c>
    </row>
    <row r="1948" spans="1:16" x14ac:dyDescent="0.35">
      <c r="A1948">
        <v>93827212740</v>
      </c>
      <c r="C1948" s="2" t="s">
        <v>883</v>
      </c>
      <c r="D1948">
        <v>3</v>
      </c>
      <c r="E1948">
        <v>76891213442</v>
      </c>
      <c r="F1948">
        <f t="shared" ca="1" si="60"/>
        <v>8</v>
      </c>
      <c r="G1948">
        <f ca="1">VLOOKUP(E1948,PurchItem!$A$2:$H$508,8,0)</f>
        <v>3996.4553378666742</v>
      </c>
      <c r="H1948">
        <v>0.05</v>
      </c>
      <c r="I1948" t="s">
        <v>244</v>
      </c>
      <c r="M1948">
        <f t="shared" si="61"/>
        <v>10029727970</v>
      </c>
      <c r="N1948">
        <f ca="1">IF(M1948&lt;&gt;M1947,INDEX(CustInfo!$A$2:$A$1001,RANDBETWEEN(1,1000)),N1947)</f>
        <v>11065</v>
      </c>
      <c r="O1948" t="s">
        <v>1001</v>
      </c>
      <c r="P1948">
        <v>52938082</v>
      </c>
    </row>
    <row r="1949" spans="1:16" x14ac:dyDescent="0.35">
      <c r="A1949">
        <v>93827212740</v>
      </c>
      <c r="C1949" s="2" t="s">
        <v>883</v>
      </c>
      <c r="D1949">
        <v>4</v>
      </c>
      <c r="E1949">
        <v>76891213269</v>
      </c>
      <c r="F1949">
        <f t="shared" ca="1" si="60"/>
        <v>66</v>
      </c>
      <c r="G1949">
        <f ca="1">VLOOKUP(E1949,PurchItem!$A$2:$H$508,8,0)</f>
        <v>599.79475417392064</v>
      </c>
      <c r="H1949">
        <v>0.04</v>
      </c>
      <c r="I1949" t="s">
        <v>244</v>
      </c>
      <c r="M1949">
        <f t="shared" si="61"/>
        <v>10029727970</v>
      </c>
      <c r="N1949">
        <f ca="1">IF(M1949&lt;&gt;M1948,INDEX(CustInfo!$A$2:$A$1001,RANDBETWEEN(1,1000)),N1948)</f>
        <v>11065</v>
      </c>
      <c r="O1949" t="s">
        <v>1001</v>
      </c>
      <c r="P1949">
        <v>52938083</v>
      </c>
    </row>
    <row r="1950" spans="1:16" x14ac:dyDescent="0.35">
      <c r="A1950">
        <v>93827212741</v>
      </c>
      <c r="C1950" s="2" t="s">
        <v>883</v>
      </c>
      <c r="D1950">
        <v>1</v>
      </c>
      <c r="E1950">
        <v>76891213466</v>
      </c>
      <c r="F1950">
        <f t="shared" ca="1" si="60"/>
        <v>89</v>
      </c>
      <c r="G1950">
        <f ca="1">VLOOKUP(E1950,PurchItem!$A$2:$H$508,8,0)</f>
        <v>3614.4469198014795</v>
      </c>
      <c r="H1950">
        <v>0.05</v>
      </c>
      <c r="I1950" t="s">
        <v>244</v>
      </c>
      <c r="M1950">
        <f t="shared" si="61"/>
        <v>10029727971</v>
      </c>
      <c r="N1950">
        <f ca="1">IF(M1950&lt;&gt;M1949,INDEX(CustInfo!$A$2:$A$1001,RANDBETWEEN(1,1000)),N1949)</f>
        <v>11710</v>
      </c>
      <c r="O1950" t="s">
        <v>1003</v>
      </c>
      <c r="P1950">
        <v>52938084</v>
      </c>
    </row>
    <row r="1951" spans="1:16" x14ac:dyDescent="0.35">
      <c r="A1951">
        <v>93827212742</v>
      </c>
      <c r="C1951" s="2" t="s">
        <v>883</v>
      </c>
      <c r="D1951">
        <v>1</v>
      </c>
      <c r="E1951">
        <v>76891213398</v>
      </c>
      <c r="F1951">
        <f t="shared" ca="1" si="60"/>
        <v>90</v>
      </c>
      <c r="G1951">
        <f ca="1">VLOOKUP(E1951,PurchItem!$A$2:$H$508,8,0)</f>
        <v>5671.349698118911</v>
      </c>
      <c r="H1951">
        <v>0.06</v>
      </c>
      <c r="I1951" t="s">
        <v>244</v>
      </c>
      <c r="M1951">
        <f t="shared" si="61"/>
        <v>10029727972</v>
      </c>
      <c r="N1951">
        <f ca="1">IF(M1951&lt;&gt;M1950,INDEX(CustInfo!$A$2:$A$1001,RANDBETWEEN(1,1000)),N1950)</f>
        <v>11858</v>
      </c>
      <c r="O1951" t="s">
        <v>1003</v>
      </c>
      <c r="P1951">
        <v>52938085</v>
      </c>
    </row>
    <row r="1952" spans="1:16" x14ac:dyDescent="0.35">
      <c r="A1952">
        <v>93827212743</v>
      </c>
      <c r="C1952" s="2" t="s">
        <v>883</v>
      </c>
      <c r="D1952">
        <v>1</v>
      </c>
      <c r="E1952">
        <v>76891213516</v>
      </c>
      <c r="F1952">
        <f t="shared" ca="1" si="60"/>
        <v>50</v>
      </c>
      <c r="G1952">
        <f ca="1">VLOOKUP(E1952,PurchItem!$A$2:$H$508,8,0)</f>
        <v>6085.3230799454695</v>
      </c>
      <c r="H1952">
        <v>0.04</v>
      </c>
      <c r="I1952" t="s">
        <v>244</v>
      </c>
      <c r="M1952">
        <f t="shared" si="61"/>
        <v>10029727973</v>
      </c>
      <c r="N1952">
        <f ca="1">IF(M1952&lt;&gt;M1951,INDEX(CustInfo!$A$2:$A$1001,RANDBETWEEN(1,1000)),N1951)</f>
        <v>11744</v>
      </c>
      <c r="O1952" t="s">
        <v>1003</v>
      </c>
      <c r="P1952">
        <v>52938086</v>
      </c>
    </row>
    <row r="1953" spans="1:16" x14ac:dyDescent="0.35">
      <c r="A1953">
        <v>93827212743</v>
      </c>
      <c r="C1953" s="2" t="s">
        <v>883</v>
      </c>
      <c r="D1953">
        <v>2</v>
      </c>
      <c r="E1953">
        <v>76891213570</v>
      </c>
      <c r="F1953">
        <f t="shared" ca="1" si="60"/>
        <v>84</v>
      </c>
      <c r="G1953">
        <f ca="1">VLOOKUP(E1953,PurchItem!$A$2:$H$508,8,0)</f>
        <v>9788.963236721278</v>
      </c>
      <c r="H1953">
        <v>0.05</v>
      </c>
      <c r="I1953" t="s">
        <v>244</v>
      </c>
      <c r="M1953">
        <f t="shared" si="61"/>
        <v>10029727973</v>
      </c>
      <c r="N1953">
        <f ca="1">IF(M1953&lt;&gt;M1952,INDEX(CustInfo!$A$2:$A$1001,RANDBETWEEN(1,1000)),N1952)</f>
        <v>11744</v>
      </c>
      <c r="O1953" t="s">
        <v>1003</v>
      </c>
      <c r="P1953">
        <v>52938087</v>
      </c>
    </row>
    <row r="1954" spans="1:16" x14ac:dyDescent="0.35">
      <c r="A1954">
        <v>93827212743</v>
      </c>
      <c r="C1954" s="2" t="s">
        <v>883</v>
      </c>
      <c r="D1954">
        <v>3</v>
      </c>
      <c r="E1954">
        <v>76891213575</v>
      </c>
      <c r="F1954">
        <f t="shared" ca="1" si="60"/>
        <v>55</v>
      </c>
      <c r="G1954">
        <f ca="1">VLOOKUP(E1954,PurchItem!$A$2:$H$508,8,0)</f>
        <v>8506.0862336243208</v>
      </c>
      <c r="H1954">
        <v>0.05</v>
      </c>
      <c r="I1954" t="s">
        <v>244</v>
      </c>
      <c r="M1954">
        <f t="shared" si="61"/>
        <v>10029727973</v>
      </c>
      <c r="N1954">
        <f ca="1">IF(M1954&lt;&gt;M1953,INDEX(CustInfo!$A$2:$A$1001,RANDBETWEEN(1,1000)),N1953)</f>
        <v>11744</v>
      </c>
      <c r="O1954" t="s">
        <v>1003</v>
      </c>
      <c r="P1954">
        <v>52938088</v>
      </c>
    </row>
    <row r="1955" spans="1:16" x14ac:dyDescent="0.35">
      <c r="A1955">
        <v>93827212744</v>
      </c>
      <c r="C1955" s="2" t="s">
        <v>883</v>
      </c>
      <c r="D1955">
        <v>1</v>
      </c>
      <c r="E1955">
        <v>76891213335</v>
      </c>
      <c r="F1955">
        <f t="shared" ca="1" si="60"/>
        <v>51</v>
      </c>
      <c r="G1955">
        <f ca="1">VLOOKUP(E1955,PurchItem!$A$2:$H$508,8,0)</f>
        <v>7424.307874485602</v>
      </c>
      <c r="H1955">
        <v>0.05</v>
      </c>
      <c r="I1955" t="s">
        <v>244</v>
      </c>
      <c r="M1955">
        <f t="shared" si="61"/>
        <v>10029727974</v>
      </c>
      <c r="N1955">
        <f ca="1">IF(M1955&lt;&gt;M1954,INDEX(CustInfo!$A$2:$A$1001,RANDBETWEEN(1,1000)),N1954)</f>
        <v>11108</v>
      </c>
      <c r="O1955" t="s">
        <v>1003</v>
      </c>
      <c r="P1955">
        <v>52938089</v>
      </c>
    </row>
    <row r="1956" spans="1:16" x14ac:dyDescent="0.35">
      <c r="A1956">
        <v>93827212744</v>
      </c>
      <c r="C1956" s="2" t="s">
        <v>883</v>
      </c>
      <c r="D1956">
        <v>2</v>
      </c>
      <c r="E1956">
        <v>76891213435</v>
      </c>
      <c r="F1956">
        <f t="shared" ca="1" si="60"/>
        <v>58</v>
      </c>
      <c r="G1956">
        <f ca="1">VLOOKUP(E1956,PurchItem!$A$2:$H$508,8,0)</f>
        <v>1716.0407979817521</v>
      </c>
      <c r="H1956">
        <v>0.06</v>
      </c>
      <c r="I1956" t="s">
        <v>244</v>
      </c>
      <c r="M1956">
        <f t="shared" si="61"/>
        <v>10029727974</v>
      </c>
      <c r="N1956">
        <f ca="1">IF(M1956&lt;&gt;M1955,INDEX(CustInfo!$A$2:$A$1001,RANDBETWEEN(1,1000)),N1955)</f>
        <v>11108</v>
      </c>
      <c r="O1956" t="s">
        <v>1003</v>
      </c>
      <c r="P1956">
        <v>52938090</v>
      </c>
    </row>
    <row r="1957" spans="1:16" x14ac:dyDescent="0.35">
      <c r="A1957">
        <v>93827212744</v>
      </c>
      <c r="C1957" s="2" t="s">
        <v>883</v>
      </c>
      <c r="D1957">
        <v>3</v>
      </c>
      <c r="E1957">
        <v>76891213142</v>
      </c>
      <c r="F1957">
        <f t="shared" ca="1" si="60"/>
        <v>19</v>
      </c>
      <c r="G1957">
        <f ca="1">VLOOKUP(E1957,PurchItem!$A$2:$H$508,8,0)</f>
        <v>5034.8662105835983</v>
      </c>
      <c r="H1957">
        <v>0.05</v>
      </c>
      <c r="I1957" t="s">
        <v>244</v>
      </c>
      <c r="M1957">
        <f t="shared" si="61"/>
        <v>10029727974</v>
      </c>
      <c r="N1957">
        <f ca="1">IF(M1957&lt;&gt;M1956,INDEX(CustInfo!$A$2:$A$1001,RANDBETWEEN(1,1000)),N1956)</f>
        <v>11108</v>
      </c>
      <c r="O1957" t="s">
        <v>1003</v>
      </c>
      <c r="P1957">
        <v>52938091</v>
      </c>
    </row>
    <row r="1958" spans="1:16" x14ac:dyDescent="0.35">
      <c r="A1958">
        <v>93827212744</v>
      </c>
      <c r="C1958" s="2" t="s">
        <v>883</v>
      </c>
      <c r="D1958">
        <v>4</v>
      </c>
      <c r="E1958">
        <v>76891213286</v>
      </c>
      <c r="F1958">
        <f t="shared" ca="1" si="60"/>
        <v>39</v>
      </c>
      <c r="G1958">
        <f ca="1">VLOOKUP(E1958,PurchItem!$A$2:$H$508,8,0)</f>
        <v>1704.9939045740014</v>
      </c>
      <c r="H1958">
        <v>0.04</v>
      </c>
      <c r="I1958" t="s">
        <v>244</v>
      </c>
      <c r="M1958">
        <f t="shared" si="61"/>
        <v>10029727974</v>
      </c>
      <c r="N1958">
        <f ca="1">IF(M1958&lt;&gt;M1957,INDEX(CustInfo!$A$2:$A$1001,RANDBETWEEN(1,1000)),N1957)</f>
        <v>11108</v>
      </c>
      <c r="O1958" t="s">
        <v>1003</v>
      </c>
      <c r="P1958">
        <v>52938092</v>
      </c>
    </row>
    <row r="1959" spans="1:16" x14ac:dyDescent="0.35">
      <c r="A1959">
        <v>93827212745</v>
      </c>
      <c r="C1959" s="2" t="s">
        <v>883</v>
      </c>
      <c r="D1959">
        <v>1</v>
      </c>
      <c r="E1959">
        <v>76891213340</v>
      </c>
      <c r="F1959">
        <f t="shared" ca="1" si="60"/>
        <v>67</v>
      </c>
      <c r="G1959">
        <f ca="1">VLOOKUP(E1959,PurchItem!$A$2:$H$508,8,0)</f>
        <v>7002.567366206631</v>
      </c>
      <c r="H1959">
        <v>0.04</v>
      </c>
      <c r="I1959" t="s">
        <v>244</v>
      </c>
      <c r="M1959">
        <f t="shared" si="61"/>
        <v>10029727975</v>
      </c>
      <c r="N1959">
        <f ca="1">IF(M1959&lt;&gt;M1958,INDEX(CustInfo!$A$2:$A$1001,RANDBETWEEN(1,1000)),N1958)</f>
        <v>11906</v>
      </c>
      <c r="O1959" t="s">
        <v>1001</v>
      </c>
      <c r="P1959">
        <v>52938093</v>
      </c>
    </row>
    <row r="1960" spans="1:16" x14ac:dyDescent="0.35">
      <c r="A1960">
        <v>93827212745</v>
      </c>
      <c r="C1960" s="2" t="s">
        <v>883</v>
      </c>
      <c r="D1960">
        <v>2</v>
      </c>
      <c r="E1960">
        <v>76891213229</v>
      </c>
      <c r="F1960">
        <f t="shared" ca="1" si="60"/>
        <v>91</v>
      </c>
      <c r="G1960">
        <f ca="1">VLOOKUP(E1960,PurchItem!$A$2:$H$508,8,0)</f>
        <v>3150.6874887833542</v>
      </c>
      <c r="H1960">
        <v>0.04</v>
      </c>
      <c r="I1960" t="s">
        <v>244</v>
      </c>
      <c r="M1960">
        <f t="shared" si="61"/>
        <v>10029727975</v>
      </c>
      <c r="N1960">
        <f ca="1">IF(M1960&lt;&gt;M1959,INDEX(CustInfo!$A$2:$A$1001,RANDBETWEEN(1,1000)),N1959)</f>
        <v>11906</v>
      </c>
      <c r="O1960" t="s">
        <v>1001</v>
      </c>
      <c r="P1960">
        <v>52938094</v>
      </c>
    </row>
    <row r="1961" spans="1:16" x14ac:dyDescent="0.35">
      <c r="A1961">
        <v>93827212745</v>
      </c>
      <c r="C1961" s="2" t="s">
        <v>883</v>
      </c>
      <c r="D1961">
        <v>3</v>
      </c>
      <c r="E1961">
        <v>76891213290</v>
      </c>
      <c r="F1961">
        <f t="shared" ca="1" si="60"/>
        <v>82</v>
      </c>
      <c r="G1961">
        <f ca="1">VLOOKUP(E1961,PurchItem!$A$2:$H$508,8,0)</f>
        <v>8789.9228489399866</v>
      </c>
      <c r="H1961">
        <v>0.04</v>
      </c>
      <c r="I1961" t="s">
        <v>244</v>
      </c>
      <c r="M1961">
        <f t="shared" si="61"/>
        <v>10029727975</v>
      </c>
      <c r="N1961">
        <f ca="1">IF(M1961&lt;&gt;M1960,INDEX(CustInfo!$A$2:$A$1001,RANDBETWEEN(1,1000)),N1960)</f>
        <v>11906</v>
      </c>
      <c r="O1961" t="s">
        <v>1001</v>
      </c>
      <c r="P1961">
        <v>52938095</v>
      </c>
    </row>
    <row r="1962" spans="1:16" x14ac:dyDescent="0.35">
      <c r="A1962">
        <v>93827212746</v>
      </c>
      <c r="C1962" s="2" t="s">
        <v>883</v>
      </c>
      <c r="D1962">
        <v>1</v>
      </c>
      <c r="E1962">
        <v>76891213618</v>
      </c>
      <c r="F1962">
        <f t="shared" ca="1" si="60"/>
        <v>66</v>
      </c>
      <c r="G1962">
        <f ca="1">VLOOKUP(E1962,PurchItem!$A$2:$H$508,8,0)</f>
        <v>3216.4328612514669</v>
      </c>
      <c r="H1962">
        <v>0.06</v>
      </c>
      <c r="I1962" t="s">
        <v>244</v>
      </c>
      <c r="M1962">
        <f t="shared" si="61"/>
        <v>10029727976</v>
      </c>
      <c r="N1962">
        <f ca="1">IF(M1962&lt;&gt;M1961,INDEX(CustInfo!$A$2:$A$1001,RANDBETWEEN(1,1000)),N1961)</f>
        <v>11452</v>
      </c>
      <c r="O1962" t="s">
        <v>1001</v>
      </c>
      <c r="P1962">
        <v>52938096</v>
      </c>
    </row>
    <row r="1963" spans="1:16" x14ac:dyDescent="0.35">
      <c r="A1963">
        <v>93827212746</v>
      </c>
      <c r="C1963" s="2" t="s">
        <v>883</v>
      </c>
      <c r="D1963">
        <v>2</v>
      </c>
      <c r="E1963">
        <v>76891213527</v>
      </c>
      <c r="F1963">
        <f t="shared" ca="1" si="60"/>
        <v>27</v>
      </c>
      <c r="G1963">
        <f ca="1">VLOOKUP(E1963,PurchItem!$A$2:$H$508,8,0)</f>
        <v>3326.8565914437954</v>
      </c>
      <c r="H1963">
        <v>0.04</v>
      </c>
      <c r="I1963" t="s">
        <v>244</v>
      </c>
      <c r="M1963">
        <f t="shared" si="61"/>
        <v>10029727976</v>
      </c>
      <c r="N1963">
        <f ca="1">IF(M1963&lt;&gt;M1962,INDEX(CustInfo!$A$2:$A$1001,RANDBETWEEN(1,1000)),N1962)</f>
        <v>11452</v>
      </c>
      <c r="O1963" t="s">
        <v>1001</v>
      </c>
      <c r="P1963">
        <v>52938097</v>
      </c>
    </row>
    <row r="1964" spans="1:16" x14ac:dyDescent="0.35">
      <c r="A1964">
        <v>93827212746</v>
      </c>
      <c r="C1964" s="2" t="s">
        <v>883</v>
      </c>
      <c r="D1964">
        <v>3</v>
      </c>
      <c r="E1964">
        <v>76891213459</v>
      </c>
      <c r="F1964">
        <f t="shared" ca="1" si="60"/>
        <v>72</v>
      </c>
      <c r="G1964">
        <f ca="1">VLOOKUP(E1964,PurchItem!$A$2:$H$508,8,0)</f>
        <v>7764.6378819601523</v>
      </c>
      <c r="H1964">
        <v>0.06</v>
      </c>
      <c r="I1964" t="s">
        <v>244</v>
      </c>
      <c r="M1964">
        <f t="shared" si="61"/>
        <v>10029727976</v>
      </c>
      <c r="N1964">
        <f ca="1">IF(M1964&lt;&gt;M1963,INDEX(CustInfo!$A$2:$A$1001,RANDBETWEEN(1,1000)),N1963)</f>
        <v>11452</v>
      </c>
      <c r="O1964" t="s">
        <v>1001</v>
      </c>
      <c r="P1964">
        <v>52938098</v>
      </c>
    </row>
    <row r="1965" spans="1:16" x14ac:dyDescent="0.35">
      <c r="A1965">
        <v>93827212747</v>
      </c>
      <c r="C1965" s="2" t="s">
        <v>883</v>
      </c>
      <c r="D1965">
        <v>1</v>
      </c>
      <c r="E1965">
        <v>76891213416</v>
      </c>
      <c r="F1965">
        <f t="shared" ca="1" si="60"/>
        <v>98</v>
      </c>
      <c r="G1965">
        <f ca="1">VLOOKUP(E1965,PurchItem!$A$2:$H$508,8,0)</f>
        <v>254.34781389929725</v>
      </c>
      <c r="H1965">
        <v>0.04</v>
      </c>
      <c r="I1965" t="s">
        <v>244</v>
      </c>
      <c r="M1965">
        <f t="shared" si="61"/>
        <v>10029727977</v>
      </c>
      <c r="N1965">
        <f ca="1">IF(M1965&lt;&gt;M1964,INDEX(CustInfo!$A$2:$A$1001,RANDBETWEEN(1,1000)),N1964)</f>
        <v>11416</v>
      </c>
      <c r="O1965" t="s">
        <v>1003</v>
      </c>
      <c r="P1965">
        <v>52938099</v>
      </c>
    </row>
    <row r="1966" spans="1:16" x14ac:dyDescent="0.35">
      <c r="A1966">
        <v>93827212747</v>
      </c>
      <c r="C1966" s="2" t="s">
        <v>883</v>
      </c>
      <c r="D1966">
        <v>2</v>
      </c>
      <c r="E1966">
        <v>76891213332</v>
      </c>
      <c r="F1966">
        <f t="shared" ca="1" si="60"/>
        <v>96</v>
      </c>
      <c r="G1966">
        <f ca="1">VLOOKUP(E1966,PurchItem!$A$2:$H$508,8,0)</f>
        <v>5811.6103447390888</v>
      </c>
      <c r="H1966">
        <v>0.06</v>
      </c>
      <c r="I1966" t="s">
        <v>244</v>
      </c>
      <c r="M1966">
        <f t="shared" si="61"/>
        <v>10029727977</v>
      </c>
      <c r="N1966">
        <f ca="1">IF(M1966&lt;&gt;M1965,INDEX(CustInfo!$A$2:$A$1001,RANDBETWEEN(1,1000)),N1965)</f>
        <v>11416</v>
      </c>
      <c r="O1966" t="s">
        <v>1003</v>
      </c>
      <c r="P1966">
        <v>52938100</v>
      </c>
    </row>
    <row r="1967" spans="1:16" x14ac:dyDescent="0.35">
      <c r="A1967">
        <v>93827212748</v>
      </c>
      <c r="C1967" s="2" t="s">
        <v>883</v>
      </c>
      <c r="D1967">
        <v>1</v>
      </c>
      <c r="E1967">
        <v>76891213427</v>
      </c>
      <c r="F1967">
        <f t="shared" ca="1" si="60"/>
        <v>71</v>
      </c>
      <c r="G1967">
        <f ca="1">VLOOKUP(E1967,PurchItem!$A$2:$H$508,8,0)</f>
        <v>2482.576406869925</v>
      </c>
      <c r="H1967">
        <v>0.05</v>
      </c>
      <c r="I1967" t="s">
        <v>244</v>
      </c>
      <c r="M1967">
        <f t="shared" si="61"/>
        <v>10029727978</v>
      </c>
      <c r="N1967">
        <f ca="1">IF(M1967&lt;&gt;M1966,INDEX(CustInfo!$A$2:$A$1001,RANDBETWEEN(1,1000)),N1966)</f>
        <v>11856</v>
      </c>
      <c r="O1967" t="s">
        <v>1001</v>
      </c>
      <c r="P1967">
        <v>52938101</v>
      </c>
    </row>
    <row r="1968" spans="1:16" x14ac:dyDescent="0.35">
      <c r="A1968">
        <v>93827212748</v>
      </c>
      <c r="C1968" s="2" t="s">
        <v>883</v>
      </c>
      <c r="D1968">
        <v>2</v>
      </c>
      <c r="E1968">
        <v>76891213256</v>
      </c>
      <c r="F1968">
        <f t="shared" ca="1" si="60"/>
        <v>54</v>
      </c>
      <c r="G1968">
        <f ca="1">VLOOKUP(E1968,PurchItem!$A$2:$H$508,8,0)</f>
        <v>3555.2525062722539</v>
      </c>
      <c r="H1968">
        <v>0.05</v>
      </c>
      <c r="I1968" t="s">
        <v>244</v>
      </c>
      <c r="M1968">
        <f t="shared" si="61"/>
        <v>10029727978</v>
      </c>
      <c r="N1968">
        <f ca="1">IF(M1968&lt;&gt;M1967,INDEX(CustInfo!$A$2:$A$1001,RANDBETWEEN(1,1000)),N1967)</f>
        <v>11856</v>
      </c>
      <c r="O1968" t="s">
        <v>1001</v>
      </c>
      <c r="P1968">
        <v>52938102</v>
      </c>
    </row>
    <row r="1969" spans="1:16" x14ac:dyDescent="0.35">
      <c r="A1969">
        <v>93827212748</v>
      </c>
      <c r="C1969" s="2" t="s">
        <v>883</v>
      </c>
      <c r="D1969">
        <v>3</v>
      </c>
      <c r="E1969">
        <v>76891213598</v>
      </c>
      <c r="F1969">
        <f t="shared" ca="1" si="60"/>
        <v>30</v>
      </c>
      <c r="G1969">
        <f ca="1">VLOOKUP(E1969,PurchItem!$A$2:$H$508,8,0)</f>
        <v>3209.0538132389734</v>
      </c>
      <c r="H1969">
        <v>0.05</v>
      </c>
      <c r="I1969" t="s">
        <v>244</v>
      </c>
      <c r="M1969">
        <f t="shared" si="61"/>
        <v>10029727978</v>
      </c>
      <c r="N1969">
        <f ca="1">IF(M1969&lt;&gt;M1968,INDEX(CustInfo!$A$2:$A$1001,RANDBETWEEN(1,1000)),N1968)</f>
        <v>11856</v>
      </c>
      <c r="O1969" t="s">
        <v>1001</v>
      </c>
      <c r="P1969">
        <v>52938103</v>
      </c>
    </row>
    <row r="1970" spans="1:16" x14ac:dyDescent="0.35">
      <c r="A1970">
        <v>93827212748</v>
      </c>
      <c r="C1970" s="2" t="s">
        <v>883</v>
      </c>
      <c r="D1970">
        <v>4</v>
      </c>
      <c r="E1970">
        <v>76891213158</v>
      </c>
      <c r="F1970">
        <f t="shared" ca="1" si="60"/>
        <v>89</v>
      </c>
      <c r="G1970">
        <f ca="1">VLOOKUP(E1970,PurchItem!$A$2:$H$508,8,0)</f>
        <v>7429.0948943964459</v>
      </c>
      <c r="H1970">
        <v>0.05</v>
      </c>
      <c r="I1970" t="s">
        <v>244</v>
      </c>
      <c r="M1970">
        <f t="shared" si="61"/>
        <v>10029727978</v>
      </c>
      <c r="N1970">
        <f ca="1">IF(M1970&lt;&gt;M1969,INDEX(CustInfo!$A$2:$A$1001,RANDBETWEEN(1,1000)),N1969)</f>
        <v>11856</v>
      </c>
      <c r="O1970" t="s">
        <v>1001</v>
      </c>
      <c r="P1970">
        <v>52938104</v>
      </c>
    </row>
    <row r="1971" spans="1:16" x14ac:dyDescent="0.35">
      <c r="A1971">
        <v>93827212749</v>
      </c>
      <c r="C1971" s="2" t="s">
        <v>883</v>
      </c>
      <c r="D1971">
        <v>1</v>
      </c>
      <c r="E1971">
        <v>76891213408</v>
      </c>
      <c r="F1971">
        <f t="shared" ca="1" si="60"/>
        <v>83</v>
      </c>
      <c r="G1971">
        <f ca="1">VLOOKUP(E1971,PurchItem!$A$2:$H$508,8,0)</f>
        <v>2585.6504497826659</v>
      </c>
      <c r="H1971">
        <v>0.06</v>
      </c>
      <c r="I1971" t="s">
        <v>244</v>
      </c>
      <c r="M1971">
        <f t="shared" si="61"/>
        <v>10029727979</v>
      </c>
      <c r="N1971">
        <f ca="1">IF(M1971&lt;&gt;M1970,INDEX(CustInfo!$A$2:$A$1001,RANDBETWEEN(1,1000)),N1970)</f>
        <v>11679</v>
      </c>
      <c r="O1971" t="s">
        <v>1003</v>
      </c>
      <c r="P1971">
        <v>52938105</v>
      </c>
    </row>
    <row r="1972" spans="1:16" x14ac:dyDescent="0.35">
      <c r="A1972">
        <v>93827212749</v>
      </c>
      <c r="C1972" s="2" t="s">
        <v>883</v>
      </c>
      <c r="D1972">
        <v>2</v>
      </c>
      <c r="E1972">
        <v>76891213361</v>
      </c>
      <c r="F1972">
        <f t="shared" ca="1" si="60"/>
        <v>74</v>
      </c>
      <c r="G1972">
        <f ca="1">VLOOKUP(E1972,PurchItem!$A$2:$H$508,8,0)</f>
        <v>2867.170727452004</v>
      </c>
      <c r="H1972">
        <v>0.05</v>
      </c>
      <c r="I1972" t="s">
        <v>244</v>
      </c>
      <c r="M1972">
        <f t="shared" si="61"/>
        <v>10029727979</v>
      </c>
      <c r="N1972">
        <f ca="1">IF(M1972&lt;&gt;M1971,INDEX(CustInfo!$A$2:$A$1001,RANDBETWEEN(1,1000)),N1971)</f>
        <v>11679</v>
      </c>
      <c r="O1972" t="s">
        <v>1003</v>
      </c>
      <c r="P1972">
        <v>52938106</v>
      </c>
    </row>
    <row r="1973" spans="1:16" x14ac:dyDescent="0.35">
      <c r="A1973">
        <v>93827212749</v>
      </c>
      <c r="C1973" s="2" t="s">
        <v>883</v>
      </c>
      <c r="D1973">
        <v>3</v>
      </c>
      <c r="E1973">
        <v>76891213604</v>
      </c>
      <c r="F1973">
        <f t="shared" ca="1" si="60"/>
        <v>54</v>
      </c>
      <c r="G1973">
        <f ca="1">VLOOKUP(E1973,PurchItem!$A$2:$H$508,8,0)</f>
        <v>6398.1672211601835</v>
      </c>
      <c r="H1973">
        <v>0.06</v>
      </c>
      <c r="I1973" t="s">
        <v>244</v>
      </c>
      <c r="M1973">
        <f t="shared" si="61"/>
        <v>10029727979</v>
      </c>
      <c r="N1973">
        <f ca="1">IF(M1973&lt;&gt;M1972,INDEX(CustInfo!$A$2:$A$1001,RANDBETWEEN(1,1000)),N1972)</f>
        <v>11679</v>
      </c>
      <c r="O1973" t="s">
        <v>1003</v>
      </c>
      <c r="P1973">
        <v>52938107</v>
      </c>
    </row>
    <row r="1974" spans="1:16" x14ac:dyDescent="0.35">
      <c r="A1974">
        <v>93827212750</v>
      </c>
      <c r="C1974" s="2" t="s">
        <v>883</v>
      </c>
      <c r="D1974">
        <v>1</v>
      </c>
      <c r="E1974">
        <v>76891213150</v>
      </c>
      <c r="F1974">
        <f t="shared" ca="1" si="60"/>
        <v>21</v>
      </c>
      <c r="G1974">
        <f ca="1">VLOOKUP(E1974,PurchItem!$A$2:$H$508,8,0)</f>
        <v>4841.3945699159722</v>
      </c>
      <c r="H1974">
        <v>0.06</v>
      </c>
      <c r="I1974" t="s">
        <v>244</v>
      </c>
      <c r="M1974">
        <f t="shared" si="61"/>
        <v>10029727980</v>
      </c>
      <c r="N1974">
        <f ca="1">IF(M1974&lt;&gt;M1973,INDEX(CustInfo!$A$2:$A$1001,RANDBETWEEN(1,1000)),N1973)</f>
        <v>11288</v>
      </c>
      <c r="O1974" t="s">
        <v>1001</v>
      </c>
      <c r="P1974">
        <v>52938108</v>
      </c>
    </row>
    <row r="1975" spans="1:16" x14ac:dyDescent="0.35">
      <c r="A1975">
        <v>93827212751</v>
      </c>
      <c r="C1975" s="2" t="s">
        <v>883</v>
      </c>
      <c r="D1975">
        <v>1</v>
      </c>
      <c r="E1975">
        <v>76891213595</v>
      </c>
      <c r="F1975">
        <f t="shared" ca="1" si="60"/>
        <v>84</v>
      </c>
      <c r="G1975">
        <f ca="1">VLOOKUP(E1975,PurchItem!$A$2:$H$508,8,0)</f>
        <v>2658.4140040926222</v>
      </c>
      <c r="H1975">
        <v>0.05</v>
      </c>
      <c r="I1975" t="s">
        <v>244</v>
      </c>
      <c r="M1975">
        <f t="shared" si="61"/>
        <v>10029727981</v>
      </c>
      <c r="N1975">
        <f ca="1">IF(M1975&lt;&gt;M1974,INDEX(CustInfo!$A$2:$A$1001,RANDBETWEEN(1,1000)),N1974)</f>
        <v>11705</v>
      </c>
      <c r="O1975" t="s">
        <v>1001</v>
      </c>
      <c r="P1975">
        <v>52938109</v>
      </c>
    </row>
    <row r="1976" spans="1:16" x14ac:dyDescent="0.35">
      <c r="A1976">
        <v>93827212751</v>
      </c>
      <c r="C1976" s="2" t="s">
        <v>883</v>
      </c>
      <c r="D1976">
        <v>2</v>
      </c>
      <c r="E1976">
        <v>76891213399</v>
      </c>
      <c r="F1976">
        <f t="shared" ca="1" si="60"/>
        <v>33</v>
      </c>
      <c r="G1976">
        <f ca="1">VLOOKUP(E1976,PurchItem!$A$2:$H$508,8,0)</f>
        <v>847.70440937695787</v>
      </c>
      <c r="H1976">
        <v>0.05</v>
      </c>
      <c r="I1976" t="s">
        <v>244</v>
      </c>
      <c r="M1976">
        <f t="shared" si="61"/>
        <v>10029727981</v>
      </c>
      <c r="N1976">
        <f ca="1">IF(M1976&lt;&gt;M1975,INDEX(CustInfo!$A$2:$A$1001,RANDBETWEEN(1,1000)),N1975)</f>
        <v>11705</v>
      </c>
      <c r="O1976" t="s">
        <v>1001</v>
      </c>
      <c r="P1976">
        <v>52938110</v>
      </c>
    </row>
    <row r="1977" spans="1:16" x14ac:dyDescent="0.35">
      <c r="A1977">
        <v>93827212751</v>
      </c>
      <c r="C1977" s="2" t="s">
        <v>883</v>
      </c>
      <c r="D1977">
        <v>3</v>
      </c>
      <c r="E1977">
        <v>76891213329</v>
      </c>
      <c r="F1977">
        <f t="shared" ca="1" si="60"/>
        <v>83</v>
      </c>
      <c r="G1977">
        <f ca="1">VLOOKUP(E1977,PurchItem!$A$2:$H$508,8,0)</f>
        <v>3846.001981135933</v>
      </c>
      <c r="H1977">
        <v>0.06</v>
      </c>
      <c r="I1977" t="s">
        <v>244</v>
      </c>
      <c r="M1977">
        <f t="shared" si="61"/>
        <v>10029727981</v>
      </c>
      <c r="N1977">
        <f ca="1">IF(M1977&lt;&gt;M1976,INDEX(CustInfo!$A$2:$A$1001,RANDBETWEEN(1,1000)),N1976)</f>
        <v>11705</v>
      </c>
      <c r="O1977" t="s">
        <v>1001</v>
      </c>
      <c r="P1977">
        <v>52938111</v>
      </c>
    </row>
    <row r="1978" spans="1:16" x14ac:dyDescent="0.35">
      <c r="A1978">
        <v>93827212752</v>
      </c>
      <c r="C1978" s="2" t="s">
        <v>883</v>
      </c>
      <c r="D1978">
        <v>1</v>
      </c>
      <c r="E1978">
        <v>76891213159</v>
      </c>
      <c r="F1978">
        <f t="shared" ca="1" si="60"/>
        <v>23</v>
      </c>
      <c r="G1978">
        <f ca="1">VLOOKUP(E1978,PurchItem!$A$2:$H$508,8,0)</f>
        <v>1020.1296091286805</v>
      </c>
      <c r="H1978">
        <v>0.06</v>
      </c>
      <c r="I1978" t="s">
        <v>244</v>
      </c>
      <c r="M1978">
        <f t="shared" si="61"/>
        <v>10029727982</v>
      </c>
      <c r="N1978">
        <f ca="1">IF(M1978&lt;&gt;M1977,INDEX(CustInfo!$A$2:$A$1001,RANDBETWEEN(1,1000)),N1977)</f>
        <v>11914</v>
      </c>
      <c r="O1978" t="s">
        <v>1002</v>
      </c>
      <c r="P1978">
        <v>52938112</v>
      </c>
    </row>
    <row r="1979" spans="1:16" x14ac:dyDescent="0.35">
      <c r="A1979">
        <v>93827212752</v>
      </c>
      <c r="C1979" s="2" t="s">
        <v>883</v>
      </c>
      <c r="D1979">
        <v>2</v>
      </c>
      <c r="E1979">
        <v>76891213216</v>
      </c>
      <c r="F1979">
        <f t="shared" ca="1" si="60"/>
        <v>61</v>
      </c>
      <c r="G1979">
        <f ca="1">VLOOKUP(E1979,PurchItem!$A$2:$H$508,8,0)</f>
        <v>8641.0792627268274</v>
      </c>
      <c r="H1979">
        <v>0.04</v>
      </c>
      <c r="I1979" t="s">
        <v>244</v>
      </c>
      <c r="M1979">
        <f t="shared" si="61"/>
        <v>10029727982</v>
      </c>
      <c r="N1979">
        <f ca="1">IF(M1979&lt;&gt;M1978,INDEX(CustInfo!$A$2:$A$1001,RANDBETWEEN(1,1000)),N1978)</f>
        <v>11914</v>
      </c>
      <c r="O1979" t="s">
        <v>1002</v>
      </c>
      <c r="P1979">
        <v>52938113</v>
      </c>
    </row>
    <row r="1980" spans="1:16" x14ac:dyDescent="0.35">
      <c r="A1980">
        <v>93827212752</v>
      </c>
      <c r="C1980" s="2" t="s">
        <v>883</v>
      </c>
      <c r="D1980">
        <v>3</v>
      </c>
      <c r="E1980">
        <v>76891213507</v>
      </c>
      <c r="F1980">
        <f t="shared" ca="1" si="60"/>
        <v>70</v>
      </c>
      <c r="G1980">
        <f ca="1">VLOOKUP(E1980,PurchItem!$A$2:$H$508,8,0)</f>
        <v>2641.4732412349708</v>
      </c>
      <c r="H1980">
        <v>0.04</v>
      </c>
      <c r="I1980" t="s">
        <v>244</v>
      </c>
      <c r="M1980">
        <f t="shared" si="61"/>
        <v>10029727982</v>
      </c>
      <c r="N1980">
        <f ca="1">IF(M1980&lt;&gt;M1979,INDEX(CustInfo!$A$2:$A$1001,RANDBETWEEN(1,1000)),N1979)</f>
        <v>11914</v>
      </c>
      <c r="O1980" t="s">
        <v>1002</v>
      </c>
      <c r="P1980">
        <v>52938114</v>
      </c>
    </row>
    <row r="1981" spans="1:16" x14ac:dyDescent="0.35">
      <c r="A1981">
        <v>93827212752</v>
      </c>
      <c r="C1981" s="2" t="s">
        <v>883</v>
      </c>
      <c r="D1981">
        <v>4</v>
      </c>
      <c r="E1981">
        <v>76891213639</v>
      </c>
      <c r="F1981">
        <f t="shared" ca="1" si="60"/>
        <v>55</v>
      </c>
      <c r="G1981">
        <f ca="1">VLOOKUP(E1981,PurchItem!$A$2:$H$508,8,0)</f>
        <v>1848.476115085952</v>
      </c>
      <c r="H1981">
        <v>0.06</v>
      </c>
      <c r="I1981" t="s">
        <v>244</v>
      </c>
      <c r="M1981">
        <f t="shared" si="61"/>
        <v>10029727982</v>
      </c>
      <c r="N1981">
        <f ca="1">IF(M1981&lt;&gt;M1980,INDEX(CustInfo!$A$2:$A$1001,RANDBETWEEN(1,1000)),N1980)</f>
        <v>11914</v>
      </c>
      <c r="O1981" t="s">
        <v>1002</v>
      </c>
      <c r="P1981">
        <v>52938115</v>
      </c>
    </row>
    <row r="1982" spans="1:16" x14ac:dyDescent="0.35">
      <c r="A1982">
        <v>93827212753</v>
      </c>
      <c r="C1982" s="2" t="s">
        <v>883</v>
      </c>
      <c r="D1982">
        <v>1</v>
      </c>
      <c r="E1982">
        <v>76891213209</v>
      </c>
      <c r="F1982">
        <f t="shared" ca="1" si="60"/>
        <v>4</v>
      </c>
      <c r="G1982">
        <f ca="1">VLOOKUP(E1982,PurchItem!$A$2:$H$508,8,0)</f>
        <v>6018.1993043939055</v>
      </c>
      <c r="H1982">
        <v>0.05</v>
      </c>
      <c r="I1982" t="s">
        <v>244</v>
      </c>
      <c r="M1982">
        <f t="shared" si="61"/>
        <v>10029727983</v>
      </c>
      <c r="N1982">
        <f ca="1">IF(M1982&lt;&gt;M1981,INDEX(CustInfo!$A$2:$A$1001,RANDBETWEEN(1,1000)),N1981)</f>
        <v>11997</v>
      </c>
      <c r="O1982" t="s">
        <v>1002</v>
      </c>
      <c r="P1982">
        <v>52938116</v>
      </c>
    </row>
    <row r="1983" spans="1:16" x14ac:dyDescent="0.35">
      <c r="A1983">
        <v>93827212753</v>
      </c>
      <c r="C1983" s="2" t="s">
        <v>883</v>
      </c>
      <c r="D1983">
        <v>2</v>
      </c>
      <c r="E1983">
        <v>76891213243</v>
      </c>
      <c r="F1983">
        <f t="shared" ca="1" si="60"/>
        <v>22</v>
      </c>
      <c r="G1983">
        <f ca="1">VLOOKUP(E1983,PurchItem!$A$2:$H$508,8,0)</f>
        <v>3527.3626929070761</v>
      </c>
      <c r="H1983">
        <v>0.05</v>
      </c>
      <c r="I1983" t="s">
        <v>244</v>
      </c>
      <c r="M1983">
        <f t="shared" si="61"/>
        <v>10029727983</v>
      </c>
      <c r="N1983">
        <f ca="1">IF(M1983&lt;&gt;M1982,INDEX(CustInfo!$A$2:$A$1001,RANDBETWEEN(1,1000)),N1982)</f>
        <v>11997</v>
      </c>
      <c r="O1983" t="s">
        <v>1002</v>
      </c>
      <c r="P1983">
        <v>52938117</v>
      </c>
    </row>
    <row r="1984" spans="1:16" x14ac:dyDescent="0.35">
      <c r="A1984">
        <v>93827212753</v>
      </c>
      <c r="C1984" s="2" t="s">
        <v>883</v>
      </c>
      <c r="D1984">
        <v>3</v>
      </c>
      <c r="E1984">
        <v>76891213531</v>
      </c>
      <c r="F1984">
        <f t="shared" ca="1" si="60"/>
        <v>83</v>
      </c>
      <c r="G1984">
        <f ca="1">VLOOKUP(E1984,PurchItem!$A$2:$H$508,8,0)</f>
        <v>9274.9787353542088</v>
      </c>
      <c r="H1984">
        <v>0.04</v>
      </c>
      <c r="I1984" t="s">
        <v>244</v>
      </c>
      <c r="M1984">
        <f t="shared" si="61"/>
        <v>10029727983</v>
      </c>
      <c r="N1984">
        <f ca="1">IF(M1984&lt;&gt;M1983,INDEX(CustInfo!$A$2:$A$1001,RANDBETWEEN(1,1000)),N1983)</f>
        <v>11997</v>
      </c>
      <c r="O1984" t="s">
        <v>1002</v>
      </c>
      <c r="P1984">
        <v>52938118</v>
      </c>
    </row>
    <row r="1985" spans="1:16" x14ac:dyDescent="0.35">
      <c r="A1985">
        <v>93827212753</v>
      </c>
      <c r="C1985" s="2" t="s">
        <v>883</v>
      </c>
      <c r="D1985">
        <v>4</v>
      </c>
      <c r="E1985">
        <v>76891213372</v>
      </c>
      <c r="F1985">
        <f t="shared" ca="1" si="60"/>
        <v>84</v>
      </c>
      <c r="G1985">
        <f ca="1">VLOOKUP(E1985,PurchItem!$A$2:$H$508,8,0)</f>
        <v>6535.386894947068</v>
      </c>
      <c r="H1985">
        <v>0.06</v>
      </c>
      <c r="I1985" t="s">
        <v>244</v>
      </c>
      <c r="M1985">
        <f t="shared" si="61"/>
        <v>10029727983</v>
      </c>
      <c r="N1985">
        <f ca="1">IF(M1985&lt;&gt;M1984,INDEX(CustInfo!$A$2:$A$1001,RANDBETWEEN(1,1000)),N1984)</f>
        <v>11997</v>
      </c>
      <c r="O1985" t="s">
        <v>1002</v>
      </c>
      <c r="P1985">
        <v>52938119</v>
      </c>
    </row>
    <row r="1986" spans="1:16" x14ac:dyDescent="0.35">
      <c r="A1986">
        <v>93827212754</v>
      </c>
      <c r="C1986" s="2" t="s">
        <v>883</v>
      </c>
      <c r="D1986">
        <v>1</v>
      </c>
      <c r="E1986">
        <v>76891213222</v>
      </c>
      <c r="F1986">
        <f t="shared" ca="1" si="60"/>
        <v>52</v>
      </c>
      <c r="G1986">
        <f ca="1">VLOOKUP(E1986,PurchItem!$A$2:$H$508,8,0)</f>
        <v>1665.2112570616277</v>
      </c>
      <c r="H1986">
        <v>0.06</v>
      </c>
      <c r="I1986" t="s">
        <v>244</v>
      </c>
      <c r="M1986">
        <f t="shared" si="61"/>
        <v>10029727984</v>
      </c>
      <c r="N1986">
        <f ca="1">IF(M1986&lt;&gt;M1985,INDEX(CustInfo!$A$2:$A$1001,RANDBETWEEN(1,1000)),N1985)</f>
        <v>11261</v>
      </c>
      <c r="O1986" t="s">
        <v>1003</v>
      </c>
      <c r="P1986">
        <v>52938120</v>
      </c>
    </row>
    <row r="1987" spans="1:16" x14ac:dyDescent="0.35">
      <c r="A1987">
        <v>93827212754</v>
      </c>
      <c r="C1987" s="2" t="s">
        <v>883</v>
      </c>
      <c r="D1987">
        <v>2</v>
      </c>
      <c r="E1987">
        <v>76891213204</v>
      </c>
      <c r="F1987">
        <f t="shared" ref="F1987:F2000" ca="1" si="62">RANDBETWEEN(1,100)</f>
        <v>19</v>
      </c>
      <c r="G1987">
        <f ca="1">VLOOKUP(E1987,PurchItem!$A$2:$H$508,8,0)</f>
        <v>463.02454813375948</v>
      </c>
      <c r="H1987">
        <v>0.04</v>
      </c>
      <c r="I1987" t="s">
        <v>244</v>
      </c>
      <c r="M1987">
        <f t="shared" si="61"/>
        <v>10029727984</v>
      </c>
      <c r="N1987">
        <f ca="1">IF(M1987&lt;&gt;M1986,INDEX(CustInfo!$A$2:$A$1001,RANDBETWEEN(1,1000)),N1986)</f>
        <v>11261</v>
      </c>
      <c r="O1987" t="s">
        <v>1003</v>
      </c>
      <c r="P1987">
        <v>52938121</v>
      </c>
    </row>
    <row r="1988" spans="1:16" x14ac:dyDescent="0.35">
      <c r="A1988">
        <v>93827212754</v>
      </c>
      <c r="C1988" s="2" t="s">
        <v>883</v>
      </c>
      <c r="D1988">
        <v>3</v>
      </c>
      <c r="E1988">
        <v>76891213438</v>
      </c>
      <c r="F1988">
        <f t="shared" ca="1" si="62"/>
        <v>1</v>
      </c>
      <c r="G1988">
        <f ca="1">VLOOKUP(E1988,PurchItem!$A$2:$H$508,8,0)</f>
        <v>9563.5855628970003</v>
      </c>
      <c r="H1988">
        <v>0.04</v>
      </c>
      <c r="I1988" t="s">
        <v>244</v>
      </c>
      <c r="M1988">
        <f t="shared" si="61"/>
        <v>10029727984</v>
      </c>
      <c r="N1988">
        <f ca="1">IF(M1988&lt;&gt;M1987,INDEX(CustInfo!$A$2:$A$1001,RANDBETWEEN(1,1000)),N1987)</f>
        <v>11261</v>
      </c>
      <c r="O1988" t="s">
        <v>1003</v>
      </c>
      <c r="P1988">
        <v>52938122</v>
      </c>
    </row>
    <row r="1989" spans="1:16" x14ac:dyDescent="0.35">
      <c r="A1989">
        <v>93827212754</v>
      </c>
      <c r="C1989" s="2" t="s">
        <v>883</v>
      </c>
      <c r="D1989">
        <v>4</v>
      </c>
      <c r="E1989">
        <v>76891213413</v>
      </c>
      <c r="F1989">
        <f t="shared" ca="1" si="62"/>
        <v>54</v>
      </c>
      <c r="G1989">
        <f ca="1">VLOOKUP(E1989,PurchItem!$A$2:$H$508,8,0)</f>
        <v>5860.803601844581</v>
      </c>
      <c r="H1989">
        <v>0.05</v>
      </c>
      <c r="I1989" t="s">
        <v>244</v>
      </c>
      <c r="M1989">
        <f t="shared" ref="M1989:M2000" si="63">IF(A1989&lt;&gt;A1988,M1988+1,M1988)</f>
        <v>10029727984</v>
      </c>
      <c r="N1989">
        <f ca="1">IF(M1989&lt;&gt;M1988,INDEX(CustInfo!$A$2:$A$1001,RANDBETWEEN(1,1000)),N1988)</f>
        <v>11261</v>
      </c>
      <c r="O1989" t="s">
        <v>1003</v>
      </c>
      <c r="P1989">
        <v>52938123</v>
      </c>
    </row>
    <row r="1990" spans="1:16" x14ac:dyDescent="0.35">
      <c r="A1990">
        <v>93827212755</v>
      </c>
      <c r="C1990" s="2" t="s">
        <v>883</v>
      </c>
      <c r="D1990">
        <v>1</v>
      </c>
      <c r="E1990">
        <v>76891213260</v>
      </c>
      <c r="F1990">
        <f t="shared" ca="1" si="62"/>
        <v>40</v>
      </c>
      <c r="G1990">
        <f ca="1">VLOOKUP(E1990,PurchItem!$A$2:$H$508,8,0)</f>
        <v>6861.119743288933</v>
      </c>
      <c r="H1990">
        <v>0.04</v>
      </c>
      <c r="I1990" t="s">
        <v>244</v>
      </c>
      <c r="M1990">
        <f t="shared" si="63"/>
        <v>10029727985</v>
      </c>
      <c r="N1990">
        <f ca="1">IF(M1990&lt;&gt;M1989,INDEX(CustInfo!$A$2:$A$1001,RANDBETWEEN(1,1000)),N1989)</f>
        <v>11159</v>
      </c>
      <c r="O1990" t="s">
        <v>1001</v>
      </c>
      <c r="P1990">
        <v>52938124</v>
      </c>
    </row>
    <row r="1991" spans="1:16" x14ac:dyDescent="0.35">
      <c r="A1991">
        <v>93827212755</v>
      </c>
      <c r="C1991" s="2" t="s">
        <v>883</v>
      </c>
      <c r="D1991">
        <v>2</v>
      </c>
      <c r="E1991">
        <v>76891213374</v>
      </c>
      <c r="F1991">
        <f t="shared" ca="1" si="62"/>
        <v>18</v>
      </c>
      <c r="G1991">
        <f ca="1">VLOOKUP(E1991,PurchItem!$A$2:$H$508,8,0)</f>
        <v>3382.3788439006389</v>
      </c>
      <c r="H1991">
        <v>0.06</v>
      </c>
      <c r="I1991" t="s">
        <v>244</v>
      </c>
      <c r="M1991">
        <f t="shared" si="63"/>
        <v>10029727985</v>
      </c>
      <c r="N1991">
        <f ca="1">IF(M1991&lt;&gt;M1990,INDEX(CustInfo!$A$2:$A$1001,RANDBETWEEN(1,1000)),N1990)</f>
        <v>11159</v>
      </c>
      <c r="O1991" t="s">
        <v>1001</v>
      </c>
      <c r="P1991">
        <v>52938125</v>
      </c>
    </row>
    <row r="1992" spans="1:16" x14ac:dyDescent="0.35">
      <c r="A1992">
        <v>93827212756</v>
      </c>
      <c r="C1992" s="2" t="s">
        <v>883</v>
      </c>
      <c r="D1992">
        <v>1</v>
      </c>
      <c r="E1992">
        <v>76891213590</v>
      </c>
      <c r="F1992">
        <f t="shared" ca="1" si="62"/>
        <v>4</v>
      </c>
      <c r="G1992">
        <f ca="1">VLOOKUP(E1992,PurchItem!$A$2:$H$508,8,0)</f>
        <v>7917.0484239555426</v>
      </c>
      <c r="H1992">
        <v>0.05</v>
      </c>
      <c r="I1992" t="s">
        <v>244</v>
      </c>
      <c r="M1992">
        <f t="shared" si="63"/>
        <v>10029727986</v>
      </c>
      <c r="N1992">
        <f ca="1">IF(M1992&lt;&gt;M1991,INDEX(CustInfo!$A$2:$A$1001,RANDBETWEEN(1,1000)),N1991)</f>
        <v>11389</v>
      </c>
      <c r="O1992" t="s">
        <v>1001</v>
      </c>
      <c r="P1992">
        <v>52938126</v>
      </c>
    </row>
    <row r="1993" spans="1:16" x14ac:dyDescent="0.35">
      <c r="A1993">
        <v>93827212757</v>
      </c>
      <c r="C1993" s="2" t="s">
        <v>883</v>
      </c>
      <c r="D1993">
        <v>1</v>
      </c>
      <c r="E1993">
        <v>76891213349</v>
      </c>
      <c r="F1993">
        <f t="shared" ca="1" si="62"/>
        <v>66</v>
      </c>
      <c r="G1993">
        <f ca="1">VLOOKUP(E1993,PurchItem!$A$2:$H$508,8,0)</f>
        <v>5182.697525429865</v>
      </c>
      <c r="H1993">
        <v>0.04</v>
      </c>
      <c r="I1993" t="s">
        <v>244</v>
      </c>
      <c r="M1993">
        <f t="shared" si="63"/>
        <v>10029727987</v>
      </c>
      <c r="N1993">
        <f ca="1">IF(M1993&lt;&gt;M1992,INDEX(CustInfo!$A$2:$A$1001,RANDBETWEEN(1,1000)),N1992)</f>
        <v>11162</v>
      </c>
      <c r="O1993" t="s">
        <v>1002</v>
      </c>
      <c r="P1993">
        <v>52938127</v>
      </c>
    </row>
    <row r="1994" spans="1:16" x14ac:dyDescent="0.35">
      <c r="A1994">
        <v>93827212757</v>
      </c>
      <c r="C1994" s="2" t="s">
        <v>883</v>
      </c>
      <c r="D1994">
        <v>2</v>
      </c>
      <c r="E1994">
        <v>76891213563</v>
      </c>
      <c r="F1994">
        <f t="shared" ca="1" si="62"/>
        <v>51</v>
      </c>
      <c r="G1994">
        <f ca="1">VLOOKUP(E1994,PurchItem!$A$2:$H$508,8,0)</f>
        <v>433.9279992072295</v>
      </c>
      <c r="H1994">
        <v>0.06</v>
      </c>
      <c r="I1994" t="s">
        <v>244</v>
      </c>
      <c r="M1994">
        <f t="shared" si="63"/>
        <v>10029727987</v>
      </c>
      <c r="N1994">
        <f ca="1">IF(M1994&lt;&gt;M1993,INDEX(CustInfo!$A$2:$A$1001,RANDBETWEEN(1,1000)),N1993)</f>
        <v>11162</v>
      </c>
      <c r="O1994" t="s">
        <v>1002</v>
      </c>
      <c r="P1994">
        <v>52938128</v>
      </c>
    </row>
    <row r="1995" spans="1:16" x14ac:dyDescent="0.35">
      <c r="A1995">
        <v>93827212757</v>
      </c>
      <c r="C1995" s="2" t="s">
        <v>883</v>
      </c>
      <c r="D1995">
        <v>3</v>
      </c>
      <c r="E1995">
        <v>76891213336</v>
      </c>
      <c r="F1995">
        <f t="shared" ca="1" si="62"/>
        <v>36</v>
      </c>
      <c r="G1995">
        <f ca="1">VLOOKUP(E1995,PurchItem!$A$2:$H$508,8,0)</f>
        <v>2324.4800791164721</v>
      </c>
      <c r="H1995">
        <v>0.06</v>
      </c>
      <c r="I1995" t="s">
        <v>244</v>
      </c>
      <c r="M1995">
        <f t="shared" si="63"/>
        <v>10029727987</v>
      </c>
      <c r="N1995">
        <f ca="1">IF(M1995&lt;&gt;M1994,INDEX(CustInfo!$A$2:$A$1001,RANDBETWEEN(1,1000)),N1994)</f>
        <v>11162</v>
      </c>
      <c r="O1995" t="s">
        <v>1002</v>
      </c>
      <c r="P1995">
        <v>52938129</v>
      </c>
    </row>
    <row r="1996" spans="1:16" x14ac:dyDescent="0.35">
      <c r="A1996">
        <v>93827212757</v>
      </c>
      <c r="C1996" s="2" t="s">
        <v>883</v>
      </c>
      <c r="D1996">
        <v>4</v>
      </c>
      <c r="E1996">
        <v>76891213238</v>
      </c>
      <c r="F1996">
        <f t="shared" ca="1" si="62"/>
        <v>23</v>
      </c>
      <c r="G1996">
        <f ca="1">VLOOKUP(E1996,PurchItem!$A$2:$H$508,8,0)</f>
        <v>1532.7056343143986</v>
      </c>
      <c r="H1996">
        <v>0.04</v>
      </c>
      <c r="I1996" t="s">
        <v>244</v>
      </c>
      <c r="M1996">
        <f t="shared" si="63"/>
        <v>10029727987</v>
      </c>
      <c r="N1996">
        <f ca="1">IF(M1996&lt;&gt;M1995,INDEX(CustInfo!$A$2:$A$1001,RANDBETWEEN(1,1000)),N1995)</f>
        <v>11162</v>
      </c>
      <c r="O1996" t="s">
        <v>1002</v>
      </c>
      <c r="P1996">
        <v>52938130</v>
      </c>
    </row>
    <row r="1997" spans="1:16" x14ac:dyDescent="0.35">
      <c r="A1997">
        <v>93827212758</v>
      </c>
      <c r="C1997" s="2" t="s">
        <v>883</v>
      </c>
      <c r="D1997">
        <v>1</v>
      </c>
      <c r="E1997">
        <v>76891213276</v>
      </c>
      <c r="F1997">
        <f t="shared" ca="1" si="62"/>
        <v>8</v>
      </c>
      <c r="G1997">
        <f ca="1">VLOOKUP(E1997,PurchItem!$A$2:$H$508,8,0)</f>
        <v>1231.4185671508574</v>
      </c>
      <c r="H1997">
        <v>0.05</v>
      </c>
      <c r="I1997" t="s">
        <v>244</v>
      </c>
      <c r="M1997">
        <f t="shared" si="63"/>
        <v>10029727988</v>
      </c>
      <c r="N1997">
        <f ca="1">IF(M1997&lt;&gt;M1996,INDEX(CustInfo!$A$2:$A$1001,RANDBETWEEN(1,1000)),N1996)</f>
        <v>11681</v>
      </c>
      <c r="O1997" t="s">
        <v>1003</v>
      </c>
      <c r="P1997">
        <v>52938131</v>
      </c>
    </row>
    <row r="1998" spans="1:16" x14ac:dyDescent="0.35">
      <c r="A1998">
        <v>93827212758</v>
      </c>
      <c r="C1998" s="2" t="s">
        <v>883</v>
      </c>
      <c r="D1998">
        <v>2</v>
      </c>
      <c r="E1998">
        <v>76891213473</v>
      </c>
      <c r="F1998">
        <f t="shared" ca="1" si="62"/>
        <v>60</v>
      </c>
      <c r="G1998">
        <f ca="1">VLOOKUP(E1998,PurchItem!$A$2:$H$508,8,0)</f>
        <v>2246.8538983085609</v>
      </c>
      <c r="H1998">
        <v>0.06</v>
      </c>
      <c r="I1998" t="s">
        <v>244</v>
      </c>
      <c r="M1998">
        <f t="shared" si="63"/>
        <v>10029727988</v>
      </c>
      <c r="N1998">
        <f ca="1">IF(M1998&lt;&gt;M1997,INDEX(CustInfo!$A$2:$A$1001,RANDBETWEEN(1,1000)),N1997)</f>
        <v>11681</v>
      </c>
      <c r="O1998" t="s">
        <v>1003</v>
      </c>
      <c r="P1998">
        <v>52938132</v>
      </c>
    </row>
    <row r="1999" spans="1:16" x14ac:dyDescent="0.35">
      <c r="A1999">
        <v>93827212758</v>
      </c>
      <c r="C1999" s="2" t="s">
        <v>883</v>
      </c>
      <c r="D1999">
        <v>3</v>
      </c>
      <c r="E1999">
        <v>76891213287</v>
      </c>
      <c r="F1999">
        <f t="shared" ca="1" si="62"/>
        <v>8</v>
      </c>
      <c r="G1999">
        <f ca="1">VLOOKUP(E1999,PurchItem!$A$2:$H$508,8,0)</f>
        <v>9651.4910930548576</v>
      </c>
      <c r="H1999">
        <v>0.06</v>
      </c>
      <c r="I1999" t="s">
        <v>244</v>
      </c>
      <c r="M1999">
        <f t="shared" si="63"/>
        <v>10029727988</v>
      </c>
      <c r="N1999">
        <f ca="1">IF(M1999&lt;&gt;M1998,INDEX(CustInfo!$A$2:$A$1001,RANDBETWEEN(1,1000)),N1998)</f>
        <v>11681</v>
      </c>
      <c r="O1999" t="s">
        <v>1003</v>
      </c>
      <c r="P1999">
        <v>52938133</v>
      </c>
    </row>
    <row r="2000" spans="1:16" x14ac:dyDescent="0.35">
      <c r="A2000">
        <v>93827212759</v>
      </c>
      <c r="C2000" s="2" t="s">
        <v>883</v>
      </c>
      <c r="D2000">
        <v>1</v>
      </c>
      <c r="E2000">
        <v>76891213298</v>
      </c>
      <c r="F2000">
        <f t="shared" ca="1" si="62"/>
        <v>15</v>
      </c>
      <c r="G2000">
        <f ca="1">VLOOKUP(E2000,PurchItem!$A$2:$H$508,8,0)</f>
        <v>8806.9548730318475</v>
      </c>
      <c r="H2000">
        <v>0.04</v>
      </c>
      <c r="I2000" t="s">
        <v>244</v>
      </c>
      <c r="M2000">
        <f t="shared" si="63"/>
        <v>10029727989</v>
      </c>
      <c r="N2000">
        <f ca="1">IF(M2000&lt;&gt;M1999,INDEX(CustInfo!$A$2:$A$1001,RANDBETWEEN(1,1000)),N1999)</f>
        <v>11696</v>
      </c>
      <c r="O2000" t="s">
        <v>1001</v>
      </c>
      <c r="P2000">
        <v>52938134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zoomScale="85" zoomScaleNormal="85" workbookViewId="0">
      <selection activeCell="B1" sqref="B1:F18"/>
    </sheetView>
  </sheetViews>
  <sheetFormatPr defaultRowHeight="14.5" x14ac:dyDescent="0.35"/>
  <cols>
    <col min="2" max="2" width="25.1796875" bestFit="1" customWidth="1"/>
    <col min="3" max="3" width="42.453125" bestFit="1" customWidth="1"/>
    <col min="4" max="4" width="39.6328125" bestFit="1" customWidth="1"/>
    <col min="5" max="5" width="25.1796875" bestFit="1" customWidth="1"/>
    <col min="6" max="6" width="40.7265625" bestFit="1" customWidth="1"/>
  </cols>
  <sheetData>
    <row r="1" spans="2:6" x14ac:dyDescent="0.35">
      <c r="B1" s="1" t="s">
        <v>889</v>
      </c>
      <c r="C1" s="1" t="s">
        <v>888</v>
      </c>
      <c r="D1" s="1" t="s">
        <v>889</v>
      </c>
      <c r="E1" s="1" t="s">
        <v>888</v>
      </c>
    </row>
    <row r="3" spans="2:6" x14ac:dyDescent="0.35">
      <c r="B3" s="33" t="s">
        <v>4619</v>
      </c>
      <c r="C3" s="33" t="s">
        <v>30</v>
      </c>
      <c r="D3" s="33" t="s">
        <v>4632</v>
      </c>
      <c r="E3" s="33" t="s">
        <v>911</v>
      </c>
    </row>
    <row r="4" spans="2:6" x14ac:dyDescent="0.35">
      <c r="B4" s="33" t="s">
        <v>4619</v>
      </c>
      <c r="C4" s="33" t="s">
        <v>4613</v>
      </c>
      <c r="D4" s="33" t="s">
        <v>4631</v>
      </c>
      <c r="E4" s="33" t="s">
        <v>4613</v>
      </c>
    </row>
    <row r="5" spans="2:6" x14ac:dyDescent="0.35">
      <c r="B5" s="33" t="s">
        <v>4628</v>
      </c>
      <c r="C5" s="33"/>
      <c r="D5" s="33"/>
      <c r="E5" s="33"/>
    </row>
    <row r="8" spans="2:6" x14ac:dyDescent="0.35">
      <c r="B8" s="1" t="s">
        <v>894</v>
      </c>
      <c r="C8" s="6" t="s">
        <v>893</v>
      </c>
    </row>
    <row r="10" spans="2:6" x14ac:dyDescent="0.35">
      <c r="B10" s="29" t="s">
        <v>889</v>
      </c>
      <c r="C10" s="29" t="s">
        <v>890</v>
      </c>
      <c r="D10" s="29" t="s">
        <v>891</v>
      </c>
      <c r="E10" s="29" t="s">
        <v>892</v>
      </c>
      <c r="F10" s="30" t="s">
        <v>902</v>
      </c>
    </row>
    <row r="11" spans="2:6" x14ac:dyDescent="0.35">
      <c r="B11" s="33" t="s">
        <v>4619</v>
      </c>
      <c r="C11" s="31" t="s">
        <v>4611</v>
      </c>
      <c r="D11" s="31"/>
      <c r="E11" s="31"/>
      <c r="F11" s="31"/>
    </row>
    <row r="12" spans="2:6" x14ac:dyDescent="0.35">
      <c r="B12" s="33" t="s">
        <v>4619</v>
      </c>
      <c r="C12" s="31" t="s">
        <v>4612</v>
      </c>
      <c r="D12" s="31"/>
      <c r="E12" s="31"/>
      <c r="F12" s="31"/>
    </row>
    <row r="13" spans="2:6" x14ac:dyDescent="0.35">
      <c r="B13" s="33" t="s">
        <v>4619</v>
      </c>
      <c r="C13" s="31" t="s">
        <v>96</v>
      </c>
      <c r="D13" s="31"/>
      <c r="E13" s="31"/>
      <c r="F13" s="31"/>
    </row>
    <row r="14" spans="2:6" x14ac:dyDescent="0.35">
      <c r="B14" s="33" t="s">
        <v>4619</v>
      </c>
      <c r="C14" s="31" t="s">
        <v>97</v>
      </c>
      <c r="D14" s="32" t="s">
        <v>896</v>
      </c>
      <c r="E14" s="31"/>
      <c r="F14" s="31"/>
    </row>
    <row r="15" spans="2:6" x14ac:dyDescent="0.35">
      <c r="B15" s="33" t="s">
        <v>4619</v>
      </c>
      <c r="C15" s="31" t="s">
        <v>43</v>
      </c>
      <c r="D15" s="31"/>
      <c r="E15" s="31"/>
      <c r="F15" s="31"/>
    </row>
    <row r="16" spans="2:6" x14ac:dyDescent="0.35">
      <c r="B16" s="33" t="s">
        <v>4619</v>
      </c>
      <c r="C16" s="31" t="s">
        <v>34</v>
      </c>
      <c r="D16" s="31"/>
      <c r="E16" s="31"/>
      <c r="F16" s="31"/>
    </row>
    <row r="17" spans="2:6" x14ac:dyDescent="0.35">
      <c r="B17" s="33" t="s">
        <v>4619</v>
      </c>
      <c r="C17" s="31" t="s">
        <v>47</v>
      </c>
      <c r="D17" s="31"/>
      <c r="E17" s="31"/>
      <c r="F17" s="31"/>
    </row>
    <row r="18" spans="2:6" x14ac:dyDescent="0.35">
      <c r="B18" s="33"/>
      <c r="C18" s="31" t="s">
        <v>974</v>
      </c>
      <c r="D18" s="31" t="s">
        <v>4620</v>
      </c>
      <c r="E18" s="31"/>
      <c r="F18" s="31"/>
    </row>
    <row r="19" spans="2:6" x14ac:dyDescent="0.35">
      <c r="B19" s="33"/>
      <c r="C19" s="31" t="s">
        <v>4621</v>
      </c>
      <c r="D19" s="31"/>
      <c r="E19" s="31"/>
      <c r="F19" s="31" t="s">
        <v>4622</v>
      </c>
    </row>
    <row r="20" spans="2:6" x14ac:dyDescent="0.35">
      <c r="B20" s="33" t="s">
        <v>4619</v>
      </c>
      <c r="C20" s="31" t="s">
        <v>70</v>
      </c>
      <c r="D20" s="31"/>
      <c r="E20" s="31"/>
      <c r="F20" s="31"/>
    </row>
    <row r="21" spans="2:6" x14ac:dyDescent="0.35">
      <c r="B21" s="33"/>
      <c r="C21" s="33" t="s">
        <v>66</v>
      </c>
      <c r="D21" s="31" t="s">
        <v>4623</v>
      </c>
      <c r="E21" s="31"/>
      <c r="F21" s="31"/>
    </row>
    <row r="22" spans="2:6" x14ac:dyDescent="0.35">
      <c r="B22" s="33"/>
      <c r="C22" s="33" t="s">
        <v>4624</v>
      </c>
      <c r="D22" s="33" t="s">
        <v>4630</v>
      </c>
      <c r="E22" s="31"/>
      <c r="F22" s="31"/>
    </row>
    <row r="23" spans="2:6" x14ac:dyDescent="0.35">
      <c r="B23" s="33" t="s">
        <v>4</v>
      </c>
      <c r="C23" s="33" t="s">
        <v>926</v>
      </c>
      <c r="D23" s="31"/>
      <c r="E23" s="31"/>
      <c r="F23" s="31"/>
    </row>
    <row r="24" spans="2:6" x14ac:dyDescent="0.35">
      <c r="B24" s="33" t="s">
        <v>4619</v>
      </c>
      <c r="C24" s="31" t="s">
        <v>67</v>
      </c>
      <c r="D24" s="32" t="s">
        <v>896</v>
      </c>
      <c r="E24" s="31"/>
      <c r="F24" s="31"/>
    </row>
    <row r="25" spans="2:6" x14ac:dyDescent="0.35">
      <c r="B25" s="33" t="s">
        <v>4619</v>
      </c>
      <c r="C25" s="33" t="s">
        <v>4625</v>
      </c>
      <c r="D25" s="31" t="s">
        <v>936</v>
      </c>
      <c r="E25" s="31"/>
      <c r="F25" s="31"/>
    </row>
    <row r="26" spans="2:6" x14ac:dyDescent="0.35">
      <c r="B26" s="33" t="s">
        <v>4619</v>
      </c>
      <c r="C26" s="31" t="s">
        <v>68</v>
      </c>
      <c r="D26" s="32" t="s">
        <v>896</v>
      </c>
      <c r="E26" s="31"/>
      <c r="F26" s="31"/>
    </row>
    <row r="27" spans="2:6" x14ac:dyDescent="0.35">
      <c r="B27" s="33" t="s">
        <v>4619</v>
      </c>
      <c r="C27" s="33" t="s">
        <v>4626</v>
      </c>
      <c r="D27" s="31" t="s">
        <v>936</v>
      </c>
      <c r="E27" s="31"/>
      <c r="F27" s="31"/>
    </row>
    <row r="28" spans="2:6" x14ac:dyDescent="0.35">
      <c r="B28" s="33" t="s">
        <v>4619</v>
      </c>
      <c r="C28" s="31" t="s">
        <v>51</v>
      </c>
      <c r="D28" s="32" t="s">
        <v>896</v>
      </c>
      <c r="E28" s="31"/>
      <c r="F28" s="31"/>
    </row>
    <row r="29" spans="2:6" x14ac:dyDescent="0.35">
      <c r="B29" s="33" t="s">
        <v>4619</v>
      </c>
      <c r="C29" s="33" t="s">
        <v>4627</v>
      </c>
      <c r="D29" s="31" t="s">
        <v>936</v>
      </c>
      <c r="E29" s="31"/>
      <c r="F29" s="31"/>
    </row>
    <row r="30" spans="2:6" x14ac:dyDescent="0.35">
      <c r="B30" s="33" t="s">
        <v>4619</v>
      </c>
      <c r="C30" s="31" t="s">
        <v>52</v>
      </c>
      <c r="D30" s="31"/>
      <c r="E30" s="31"/>
      <c r="F30" s="31"/>
    </row>
    <row r="31" spans="2:6" x14ac:dyDescent="0.35">
      <c r="B31" s="33" t="s">
        <v>4619</v>
      </c>
      <c r="C31" s="31" t="s">
        <v>69</v>
      </c>
      <c r="D31" s="31"/>
      <c r="E31" s="31"/>
      <c r="F31" s="31"/>
    </row>
    <row r="32" spans="2:6" x14ac:dyDescent="0.35">
      <c r="B32" s="33" t="s">
        <v>4631</v>
      </c>
      <c r="C32" s="33" t="s">
        <v>81</v>
      </c>
      <c r="D32" s="31"/>
      <c r="E32" s="31"/>
      <c r="F32" s="31"/>
    </row>
    <row r="33" spans="2:6" x14ac:dyDescent="0.35">
      <c r="B33" s="33" t="s">
        <v>4628</v>
      </c>
      <c r="C33" s="33" t="s">
        <v>76</v>
      </c>
      <c r="D33" s="31"/>
      <c r="E33" s="31"/>
      <c r="F33" s="31"/>
    </row>
    <row r="34" spans="2:6" x14ac:dyDescent="0.35">
      <c r="B34" s="33" t="s">
        <v>4619</v>
      </c>
      <c r="C34" s="33" t="s">
        <v>16</v>
      </c>
      <c r="D34" s="31"/>
      <c r="E34" s="33" t="s">
        <v>4629</v>
      </c>
      <c r="F34" s="3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showGridLines="0" workbookViewId="0">
      <selection sqref="A1:E8"/>
    </sheetView>
  </sheetViews>
  <sheetFormatPr defaultRowHeight="14.5" x14ac:dyDescent="0.35"/>
  <cols>
    <col min="1" max="1" width="14.6328125" bestFit="1" customWidth="1"/>
    <col min="2" max="2" width="42.453125" bestFit="1" customWidth="1"/>
    <col min="3" max="3" width="12.453125" bestFit="1" customWidth="1"/>
    <col min="4" max="4" width="13.90625" bestFit="1" customWidth="1"/>
    <col min="5" max="5" width="59.26953125" bestFit="1" customWidth="1"/>
  </cols>
  <sheetData>
    <row r="1" spans="1:5" x14ac:dyDescent="0.35">
      <c r="A1" s="1" t="s">
        <v>885</v>
      </c>
      <c r="B1" t="s">
        <v>4612</v>
      </c>
    </row>
    <row r="4" spans="1:5" x14ac:dyDescent="0.35">
      <c r="A4" s="1" t="s">
        <v>894</v>
      </c>
      <c r="B4" s="6" t="s">
        <v>893</v>
      </c>
    </row>
    <row r="6" spans="1:5" x14ac:dyDescent="0.35">
      <c r="A6" s="7" t="s">
        <v>889</v>
      </c>
      <c r="B6" s="7" t="s">
        <v>890</v>
      </c>
      <c r="C6" s="7" t="s">
        <v>891</v>
      </c>
      <c r="D6" s="7" t="s">
        <v>892</v>
      </c>
      <c r="E6" s="11" t="s">
        <v>902</v>
      </c>
    </row>
    <row r="7" spans="1:5" x14ac:dyDescent="0.35">
      <c r="A7" s="8"/>
      <c r="B7" s="8" t="s">
        <v>81</v>
      </c>
      <c r="C7" s="8"/>
      <c r="D7" s="8"/>
      <c r="E7" s="8" t="s">
        <v>4618</v>
      </c>
    </row>
    <row r="8" spans="1:5" x14ac:dyDescent="0.35">
      <c r="A8" s="8" t="s">
        <v>4612</v>
      </c>
      <c r="B8" s="8" t="s">
        <v>4613</v>
      </c>
      <c r="C8" s="8"/>
      <c r="D8" s="8"/>
      <c r="E8" s="8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N1001"/>
  <sheetViews>
    <sheetView topLeftCell="E1" workbookViewId="0">
      <selection activeCell="H22" sqref="H22"/>
    </sheetView>
  </sheetViews>
  <sheetFormatPr defaultRowHeight="14.5" x14ac:dyDescent="0.35"/>
  <cols>
    <col min="1" max="1" width="10.54296875" bestFit="1" customWidth="1"/>
    <col min="2" max="2" width="28" bestFit="1" customWidth="1"/>
    <col min="3" max="3" width="27" bestFit="1" customWidth="1"/>
    <col min="4" max="4" width="13.90625" bestFit="1" customWidth="1"/>
    <col min="5" max="5" width="32.90625" bestFit="1" customWidth="1"/>
    <col min="6" max="6" width="17.26953125" bestFit="1" customWidth="1"/>
    <col min="7" max="7" width="26.54296875" bestFit="1" customWidth="1"/>
    <col min="8" max="8" width="25.26953125" bestFit="1" customWidth="1"/>
    <col min="10" max="10" width="11.81640625" bestFit="1" customWidth="1"/>
    <col min="13" max="13" width="10.26953125" bestFit="1" customWidth="1"/>
  </cols>
  <sheetData>
    <row r="1" spans="1:14" x14ac:dyDescent="0.35">
      <c r="A1" t="s">
        <v>71</v>
      </c>
      <c r="B1" t="s">
        <v>96</v>
      </c>
      <c r="C1" t="s">
        <v>97</v>
      </c>
      <c r="D1" t="s">
        <v>72</v>
      </c>
      <c r="E1" t="s">
        <v>73</v>
      </c>
      <c r="F1" t="s">
        <v>74</v>
      </c>
      <c r="G1" t="s">
        <v>19</v>
      </c>
      <c r="H1" t="s">
        <v>20</v>
      </c>
      <c r="I1" t="s">
        <v>21</v>
      </c>
      <c r="J1" t="s">
        <v>22</v>
      </c>
      <c r="K1" t="s">
        <v>24</v>
      </c>
      <c r="L1" t="s">
        <v>23</v>
      </c>
      <c r="M1" t="s">
        <v>75</v>
      </c>
      <c r="N1" t="s">
        <v>16</v>
      </c>
    </row>
    <row r="2" spans="1:14" x14ac:dyDescent="0.35">
      <c r="A2">
        <v>11000</v>
      </c>
      <c r="C2" s="2" t="s">
        <v>883</v>
      </c>
      <c r="D2" t="s">
        <v>1004</v>
      </c>
      <c r="E2" s="26" t="s">
        <v>2004</v>
      </c>
      <c r="F2" t="s">
        <v>3004</v>
      </c>
      <c r="G2" t="s">
        <v>3654</v>
      </c>
      <c r="J2" t="s">
        <v>228</v>
      </c>
      <c r="N2">
        <v>59251632</v>
      </c>
    </row>
    <row r="3" spans="1:14" x14ac:dyDescent="0.35">
      <c r="A3">
        <v>11001</v>
      </c>
      <c r="C3" s="2" t="s">
        <v>883</v>
      </c>
      <c r="D3" t="s">
        <v>1005</v>
      </c>
      <c r="E3" t="s">
        <v>2005</v>
      </c>
      <c r="F3" t="s">
        <v>3005</v>
      </c>
      <c r="G3" t="s">
        <v>3655</v>
      </c>
      <c r="J3" t="s">
        <v>228</v>
      </c>
      <c r="N3">
        <v>59251633</v>
      </c>
    </row>
    <row r="4" spans="1:14" x14ac:dyDescent="0.35">
      <c r="A4">
        <v>11002</v>
      </c>
      <c r="C4" s="2" t="s">
        <v>883</v>
      </c>
      <c r="D4" t="s">
        <v>1006</v>
      </c>
      <c r="E4" t="s">
        <v>2006</v>
      </c>
      <c r="F4" t="s">
        <v>3006</v>
      </c>
      <c r="G4" t="s">
        <v>3656</v>
      </c>
      <c r="J4" t="s">
        <v>228</v>
      </c>
      <c r="N4">
        <v>59251634</v>
      </c>
    </row>
    <row r="5" spans="1:14" x14ac:dyDescent="0.35">
      <c r="A5">
        <v>11003</v>
      </c>
      <c r="C5" s="2" t="s">
        <v>883</v>
      </c>
      <c r="D5" t="s">
        <v>1007</v>
      </c>
      <c r="E5" t="s">
        <v>2007</v>
      </c>
      <c r="F5" t="s">
        <v>3004</v>
      </c>
      <c r="G5" t="s">
        <v>3657</v>
      </c>
      <c r="J5" t="s">
        <v>228</v>
      </c>
      <c r="N5">
        <v>59251635</v>
      </c>
    </row>
    <row r="6" spans="1:14" x14ac:dyDescent="0.35">
      <c r="A6">
        <v>11004</v>
      </c>
      <c r="C6" s="2" t="s">
        <v>883</v>
      </c>
      <c r="D6" t="s">
        <v>1008</v>
      </c>
      <c r="E6" t="s">
        <v>2008</v>
      </c>
      <c r="F6" t="s">
        <v>3007</v>
      </c>
      <c r="G6" t="s">
        <v>3658</v>
      </c>
      <c r="J6" t="s">
        <v>228</v>
      </c>
      <c r="N6">
        <v>59251636</v>
      </c>
    </row>
    <row r="7" spans="1:14" x14ac:dyDescent="0.35">
      <c r="A7">
        <v>11005</v>
      </c>
      <c r="C7" s="2" t="s">
        <v>883</v>
      </c>
      <c r="D7" t="s">
        <v>1009</v>
      </c>
      <c r="E7" t="s">
        <v>2009</v>
      </c>
      <c r="F7" t="s">
        <v>3008</v>
      </c>
      <c r="G7" t="s">
        <v>3659</v>
      </c>
      <c r="J7" t="s">
        <v>228</v>
      </c>
      <c r="N7">
        <v>59251637</v>
      </c>
    </row>
    <row r="8" spans="1:14" x14ac:dyDescent="0.35">
      <c r="A8">
        <v>11006</v>
      </c>
      <c r="C8" s="2" t="s">
        <v>883</v>
      </c>
      <c r="D8" t="s">
        <v>1010</v>
      </c>
      <c r="E8" t="s">
        <v>2010</v>
      </c>
      <c r="F8" t="s">
        <v>3006</v>
      </c>
      <c r="G8" t="s">
        <v>3660</v>
      </c>
      <c r="J8" t="s">
        <v>228</v>
      </c>
      <c r="N8">
        <v>59251638</v>
      </c>
    </row>
    <row r="9" spans="1:14" x14ac:dyDescent="0.35">
      <c r="A9">
        <v>11007</v>
      </c>
      <c r="C9" s="2" t="s">
        <v>883</v>
      </c>
      <c r="D9" t="s">
        <v>1011</v>
      </c>
      <c r="E9" t="s">
        <v>2011</v>
      </c>
      <c r="F9" t="s">
        <v>3009</v>
      </c>
      <c r="G9" t="s">
        <v>3661</v>
      </c>
      <c r="J9" t="s">
        <v>228</v>
      </c>
      <c r="N9">
        <v>59251639</v>
      </c>
    </row>
    <row r="10" spans="1:14" x14ac:dyDescent="0.35">
      <c r="A10">
        <v>11008</v>
      </c>
      <c r="C10" s="2" t="s">
        <v>883</v>
      </c>
      <c r="D10" t="s">
        <v>1012</v>
      </c>
      <c r="E10" t="s">
        <v>2012</v>
      </c>
      <c r="F10" t="s">
        <v>3010</v>
      </c>
      <c r="G10" t="s">
        <v>3662</v>
      </c>
      <c r="J10" t="s">
        <v>228</v>
      </c>
      <c r="N10">
        <v>59251640</v>
      </c>
    </row>
    <row r="11" spans="1:14" x14ac:dyDescent="0.35">
      <c r="A11">
        <v>11009</v>
      </c>
      <c r="C11" s="2" t="s">
        <v>883</v>
      </c>
      <c r="D11" t="s">
        <v>1013</v>
      </c>
      <c r="E11" t="s">
        <v>2013</v>
      </c>
      <c r="F11" t="s">
        <v>3005</v>
      </c>
      <c r="G11" t="s">
        <v>3663</v>
      </c>
      <c r="J11" t="s">
        <v>228</v>
      </c>
      <c r="N11">
        <v>59251641</v>
      </c>
    </row>
    <row r="12" spans="1:14" x14ac:dyDescent="0.35">
      <c r="A12">
        <v>11010</v>
      </c>
      <c r="C12" s="2" t="s">
        <v>883</v>
      </c>
      <c r="D12" t="s">
        <v>1014</v>
      </c>
      <c r="E12" t="s">
        <v>2014</v>
      </c>
      <c r="F12" t="s">
        <v>3011</v>
      </c>
      <c r="G12" t="s">
        <v>3664</v>
      </c>
      <c r="J12" t="s">
        <v>228</v>
      </c>
      <c r="N12">
        <v>59251642</v>
      </c>
    </row>
    <row r="13" spans="1:14" x14ac:dyDescent="0.35">
      <c r="A13">
        <v>11011</v>
      </c>
      <c r="C13" s="2" t="s">
        <v>883</v>
      </c>
      <c r="D13" t="s">
        <v>1015</v>
      </c>
      <c r="E13" t="s">
        <v>2015</v>
      </c>
      <c r="F13" t="s">
        <v>3012</v>
      </c>
      <c r="G13" t="s">
        <v>3665</v>
      </c>
      <c r="J13" t="s">
        <v>228</v>
      </c>
      <c r="N13">
        <v>59251643</v>
      </c>
    </row>
    <row r="14" spans="1:14" x14ac:dyDescent="0.35">
      <c r="A14">
        <v>11012</v>
      </c>
      <c r="C14" s="2" t="s">
        <v>883</v>
      </c>
      <c r="D14" t="s">
        <v>1016</v>
      </c>
      <c r="E14" t="s">
        <v>2016</v>
      </c>
      <c r="F14" t="s">
        <v>3013</v>
      </c>
      <c r="G14" t="s">
        <v>3666</v>
      </c>
      <c r="J14" t="s">
        <v>228</v>
      </c>
      <c r="N14">
        <v>59251644</v>
      </c>
    </row>
    <row r="15" spans="1:14" x14ac:dyDescent="0.35">
      <c r="A15">
        <v>11013</v>
      </c>
      <c r="C15" s="2" t="s">
        <v>883</v>
      </c>
      <c r="D15" t="s">
        <v>1017</v>
      </c>
      <c r="E15" t="s">
        <v>2017</v>
      </c>
      <c r="F15" t="s">
        <v>3014</v>
      </c>
      <c r="G15" t="s">
        <v>3667</v>
      </c>
      <c r="J15" t="s">
        <v>228</v>
      </c>
      <c r="N15">
        <v>59251645</v>
      </c>
    </row>
    <row r="16" spans="1:14" x14ac:dyDescent="0.35">
      <c r="A16">
        <v>11014</v>
      </c>
      <c r="C16" s="2" t="s">
        <v>883</v>
      </c>
      <c r="D16" t="s">
        <v>1018</v>
      </c>
      <c r="E16" t="s">
        <v>2018</v>
      </c>
      <c r="F16" t="s">
        <v>3015</v>
      </c>
      <c r="G16" t="s">
        <v>3668</v>
      </c>
      <c r="J16" t="s">
        <v>228</v>
      </c>
      <c r="N16">
        <v>59251646</v>
      </c>
    </row>
    <row r="17" spans="1:14" x14ac:dyDescent="0.35">
      <c r="A17">
        <v>11015</v>
      </c>
      <c r="C17" s="2" t="s">
        <v>883</v>
      </c>
      <c r="D17" t="s">
        <v>1019</v>
      </c>
      <c r="E17" t="s">
        <v>2019</v>
      </c>
      <c r="F17" t="s">
        <v>3016</v>
      </c>
      <c r="G17" t="s">
        <v>3669</v>
      </c>
      <c r="J17" t="s">
        <v>228</v>
      </c>
      <c r="N17">
        <v>59251647</v>
      </c>
    </row>
    <row r="18" spans="1:14" x14ac:dyDescent="0.35">
      <c r="A18">
        <v>11016</v>
      </c>
      <c r="C18" s="2" t="s">
        <v>883</v>
      </c>
      <c r="D18" t="s">
        <v>1020</v>
      </c>
      <c r="E18" t="s">
        <v>2020</v>
      </c>
      <c r="F18" t="s">
        <v>3017</v>
      </c>
      <c r="G18" t="s">
        <v>3670</v>
      </c>
      <c r="J18" t="s">
        <v>228</v>
      </c>
      <c r="N18">
        <v>59251648</v>
      </c>
    </row>
    <row r="19" spans="1:14" x14ac:dyDescent="0.35">
      <c r="A19">
        <v>11017</v>
      </c>
      <c r="C19" s="2" t="s">
        <v>883</v>
      </c>
      <c r="D19" t="s">
        <v>1021</v>
      </c>
      <c r="E19" t="s">
        <v>2021</v>
      </c>
      <c r="F19" t="s">
        <v>3018</v>
      </c>
      <c r="G19" t="s">
        <v>3671</v>
      </c>
      <c r="J19" t="s">
        <v>228</v>
      </c>
      <c r="N19">
        <v>59251649</v>
      </c>
    </row>
    <row r="20" spans="1:14" x14ac:dyDescent="0.35">
      <c r="A20">
        <v>11018</v>
      </c>
      <c r="C20" s="2" t="s">
        <v>883</v>
      </c>
      <c r="D20" t="s">
        <v>1022</v>
      </c>
      <c r="E20" t="s">
        <v>2022</v>
      </c>
      <c r="F20" t="s">
        <v>3019</v>
      </c>
      <c r="G20" t="s">
        <v>3672</v>
      </c>
      <c r="J20" t="s">
        <v>228</v>
      </c>
      <c r="N20">
        <v>59251650</v>
      </c>
    </row>
    <row r="21" spans="1:14" x14ac:dyDescent="0.35">
      <c r="A21">
        <v>11019</v>
      </c>
      <c r="C21" s="2" t="s">
        <v>883</v>
      </c>
      <c r="D21" t="s">
        <v>1023</v>
      </c>
      <c r="E21" t="s">
        <v>2023</v>
      </c>
      <c r="F21" t="s">
        <v>3020</v>
      </c>
      <c r="G21" t="s">
        <v>3673</v>
      </c>
      <c r="J21" t="s">
        <v>228</v>
      </c>
      <c r="N21">
        <v>59251651</v>
      </c>
    </row>
    <row r="22" spans="1:14" x14ac:dyDescent="0.35">
      <c r="A22">
        <v>11020</v>
      </c>
      <c r="C22" s="2" t="s">
        <v>883</v>
      </c>
      <c r="D22" t="s">
        <v>1024</v>
      </c>
      <c r="E22" t="s">
        <v>2024</v>
      </c>
      <c r="F22" t="s">
        <v>3021</v>
      </c>
      <c r="G22" t="s">
        <v>3674</v>
      </c>
      <c r="J22" t="s">
        <v>228</v>
      </c>
      <c r="N22">
        <v>59251652</v>
      </c>
    </row>
    <row r="23" spans="1:14" x14ac:dyDescent="0.35">
      <c r="A23">
        <v>11021</v>
      </c>
      <c r="C23" s="2" t="s">
        <v>883</v>
      </c>
      <c r="D23" t="s">
        <v>1025</v>
      </c>
      <c r="E23" t="s">
        <v>2025</v>
      </c>
      <c r="F23" t="s">
        <v>3022</v>
      </c>
      <c r="G23" t="s">
        <v>3675</v>
      </c>
      <c r="J23" t="s">
        <v>228</v>
      </c>
      <c r="N23">
        <v>59251653</v>
      </c>
    </row>
    <row r="24" spans="1:14" x14ac:dyDescent="0.35">
      <c r="A24">
        <v>11022</v>
      </c>
      <c r="C24" s="2" t="s">
        <v>883</v>
      </c>
      <c r="D24" t="s">
        <v>1026</v>
      </c>
      <c r="E24" t="s">
        <v>2026</v>
      </c>
      <c r="F24" t="s">
        <v>3023</v>
      </c>
      <c r="G24" t="s">
        <v>3676</v>
      </c>
      <c r="J24" t="s">
        <v>228</v>
      </c>
      <c r="N24">
        <v>59251654</v>
      </c>
    </row>
    <row r="25" spans="1:14" x14ac:dyDescent="0.35">
      <c r="A25">
        <v>11023</v>
      </c>
      <c r="C25" s="2" t="s">
        <v>883</v>
      </c>
      <c r="D25" t="s">
        <v>1027</v>
      </c>
      <c r="E25" t="s">
        <v>2027</v>
      </c>
      <c r="F25" t="s">
        <v>3024</v>
      </c>
      <c r="G25" t="s">
        <v>3677</v>
      </c>
      <c r="J25" t="s">
        <v>228</v>
      </c>
      <c r="N25">
        <v>59251655</v>
      </c>
    </row>
    <row r="26" spans="1:14" x14ac:dyDescent="0.35">
      <c r="A26">
        <v>11024</v>
      </c>
      <c r="C26" s="2" t="s">
        <v>883</v>
      </c>
      <c r="D26" t="s">
        <v>1028</v>
      </c>
      <c r="E26" t="s">
        <v>2028</v>
      </c>
      <c r="F26" t="s">
        <v>3025</v>
      </c>
      <c r="G26" t="s">
        <v>3678</v>
      </c>
      <c r="J26" t="s">
        <v>228</v>
      </c>
      <c r="N26">
        <v>59251656</v>
      </c>
    </row>
    <row r="27" spans="1:14" x14ac:dyDescent="0.35">
      <c r="A27">
        <v>11025</v>
      </c>
      <c r="C27" s="2" t="s">
        <v>883</v>
      </c>
      <c r="D27" t="s">
        <v>1029</v>
      </c>
      <c r="E27" t="s">
        <v>2029</v>
      </c>
      <c r="F27" t="s">
        <v>3026</v>
      </c>
      <c r="G27" t="s">
        <v>3679</v>
      </c>
      <c r="J27" t="s">
        <v>228</v>
      </c>
      <c r="N27">
        <v>59251657</v>
      </c>
    </row>
    <row r="28" spans="1:14" x14ac:dyDescent="0.35">
      <c r="A28">
        <v>11026</v>
      </c>
      <c r="C28" s="2" t="s">
        <v>883</v>
      </c>
      <c r="D28" t="s">
        <v>1030</v>
      </c>
      <c r="E28" t="s">
        <v>2030</v>
      </c>
      <c r="F28" t="s">
        <v>3007</v>
      </c>
      <c r="G28" t="s">
        <v>3680</v>
      </c>
      <c r="J28" t="s">
        <v>228</v>
      </c>
      <c r="N28">
        <v>59251658</v>
      </c>
    </row>
    <row r="29" spans="1:14" x14ac:dyDescent="0.35">
      <c r="A29">
        <v>11027</v>
      </c>
      <c r="C29" s="2" t="s">
        <v>883</v>
      </c>
      <c r="D29" t="s">
        <v>1031</v>
      </c>
      <c r="E29" t="s">
        <v>2031</v>
      </c>
      <c r="F29" t="s">
        <v>3006</v>
      </c>
      <c r="G29" t="s">
        <v>3681</v>
      </c>
      <c r="J29" t="s">
        <v>228</v>
      </c>
      <c r="N29">
        <v>59251659</v>
      </c>
    </row>
    <row r="30" spans="1:14" x14ac:dyDescent="0.35">
      <c r="A30">
        <v>11028</v>
      </c>
      <c r="C30" s="2" t="s">
        <v>883</v>
      </c>
      <c r="D30" t="s">
        <v>1032</v>
      </c>
      <c r="E30" t="s">
        <v>2032</v>
      </c>
      <c r="F30" t="s">
        <v>3027</v>
      </c>
      <c r="G30" t="s">
        <v>3682</v>
      </c>
      <c r="J30" t="s">
        <v>228</v>
      </c>
      <c r="N30">
        <v>59251660</v>
      </c>
    </row>
    <row r="31" spans="1:14" x14ac:dyDescent="0.35">
      <c r="A31">
        <v>11029</v>
      </c>
      <c r="C31" s="2" t="s">
        <v>883</v>
      </c>
      <c r="D31" t="s">
        <v>1033</v>
      </c>
      <c r="E31" t="s">
        <v>2033</v>
      </c>
      <c r="F31" t="s">
        <v>3028</v>
      </c>
      <c r="G31" t="s">
        <v>3683</v>
      </c>
      <c r="J31" t="s">
        <v>228</v>
      </c>
      <c r="N31">
        <v>59251661</v>
      </c>
    </row>
    <row r="32" spans="1:14" x14ac:dyDescent="0.35">
      <c r="A32">
        <v>11030</v>
      </c>
      <c r="C32" s="2" t="s">
        <v>883</v>
      </c>
      <c r="D32" t="s">
        <v>1034</v>
      </c>
      <c r="E32" t="s">
        <v>2034</v>
      </c>
      <c r="F32" t="s">
        <v>3029</v>
      </c>
      <c r="G32" t="s">
        <v>3684</v>
      </c>
      <c r="J32" t="s">
        <v>228</v>
      </c>
      <c r="N32">
        <v>59251662</v>
      </c>
    </row>
    <row r="33" spans="1:14" x14ac:dyDescent="0.35">
      <c r="A33">
        <v>11031</v>
      </c>
      <c r="C33" s="2" t="s">
        <v>883</v>
      </c>
      <c r="D33" t="s">
        <v>1035</v>
      </c>
      <c r="E33" t="s">
        <v>2035</v>
      </c>
      <c r="F33" t="s">
        <v>3018</v>
      </c>
      <c r="G33" t="s">
        <v>3685</v>
      </c>
      <c r="J33" t="s">
        <v>228</v>
      </c>
      <c r="N33">
        <v>59251663</v>
      </c>
    </row>
    <row r="34" spans="1:14" x14ac:dyDescent="0.35">
      <c r="A34">
        <v>11032</v>
      </c>
      <c r="C34" s="2" t="s">
        <v>883</v>
      </c>
      <c r="D34" t="s">
        <v>1036</v>
      </c>
      <c r="E34" t="s">
        <v>2036</v>
      </c>
      <c r="F34" t="s">
        <v>3011</v>
      </c>
      <c r="G34" t="s">
        <v>3686</v>
      </c>
      <c r="J34" t="s">
        <v>228</v>
      </c>
      <c r="N34">
        <v>59251664</v>
      </c>
    </row>
    <row r="35" spans="1:14" x14ac:dyDescent="0.35">
      <c r="A35">
        <v>11033</v>
      </c>
      <c r="C35" s="2" t="s">
        <v>883</v>
      </c>
      <c r="D35" t="s">
        <v>1037</v>
      </c>
      <c r="E35" t="s">
        <v>2037</v>
      </c>
      <c r="F35" t="s">
        <v>3019</v>
      </c>
      <c r="G35" t="s">
        <v>3687</v>
      </c>
      <c r="J35" t="s">
        <v>228</v>
      </c>
      <c r="N35">
        <v>59251665</v>
      </c>
    </row>
    <row r="36" spans="1:14" x14ac:dyDescent="0.35">
      <c r="A36">
        <v>11034</v>
      </c>
      <c r="C36" s="2" t="s">
        <v>883</v>
      </c>
      <c r="D36" t="s">
        <v>1038</v>
      </c>
      <c r="E36" t="s">
        <v>2038</v>
      </c>
      <c r="F36" t="s">
        <v>3030</v>
      </c>
      <c r="G36" t="s">
        <v>3688</v>
      </c>
      <c r="J36" t="s">
        <v>228</v>
      </c>
      <c r="N36">
        <v>59251666</v>
      </c>
    </row>
    <row r="37" spans="1:14" x14ac:dyDescent="0.35">
      <c r="A37">
        <v>11035</v>
      </c>
      <c r="C37" s="2" t="s">
        <v>883</v>
      </c>
      <c r="D37" t="s">
        <v>1039</v>
      </c>
      <c r="E37" t="s">
        <v>2039</v>
      </c>
      <c r="F37" t="s">
        <v>3031</v>
      </c>
      <c r="G37" t="s">
        <v>3689</v>
      </c>
      <c r="J37" t="s">
        <v>228</v>
      </c>
      <c r="N37">
        <v>59251667</v>
      </c>
    </row>
    <row r="38" spans="1:14" x14ac:dyDescent="0.35">
      <c r="A38">
        <v>11036</v>
      </c>
      <c r="C38" s="2" t="s">
        <v>883</v>
      </c>
      <c r="D38" t="s">
        <v>1040</v>
      </c>
      <c r="E38" t="s">
        <v>2040</v>
      </c>
      <c r="F38" t="s">
        <v>3032</v>
      </c>
      <c r="G38" t="s">
        <v>3690</v>
      </c>
      <c r="J38" t="s">
        <v>228</v>
      </c>
      <c r="N38">
        <v>59251668</v>
      </c>
    </row>
    <row r="39" spans="1:14" x14ac:dyDescent="0.35">
      <c r="A39">
        <v>11037</v>
      </c>
      <c r="C39" s="2" t="s">
        <v>883</v>
      </c>
      <c r="D39" t="s">
        <v>1041</v>
      </c>
      <c r="E39" t="s">
        <v>2041</v>
      </c>
      <c r="F39" t="s">
        <v>3033</v>
      </c>
      <c r="G39" t="s">
        <v>3691</v>
      </c>
      <c r="J39" t="s">
        <v>228</v>
      </c>
      <c r="N39">
        <v>59251669</v>
      </c>
    </row>
    <row r="40" spans="1:14" x14ac:dyDescent="0.35">
      <c r="A40">
        <v>11038</v>
      </c>
      <c r="C40" s="2" t="s">
        <v>883</v>
      </c>
      <c r="D40" t="s">
        <v>1042</v>
      </c>
      <c r="E40" t="s">
        <v>2042</v>
      </c>
      <c r="F40" t="s">
        <v>3034</v>
      </c>
      <c r="G40" t="s">
        <v>3692</v>
      </c>
      <c r="J40" t="s">
        <v>228</v>
      </c>
      <c r="N40">
        <v>59251670</v>
      </c>
    </row>
    <row r="41" spans="1:14" x14ac:dyDescent="0.35">
      <c r="A41">
        <v>11039</v>
      </c>
      <c r="C41" s="2" t="s">
        <v>883</v>
      </c>
      <c r="D41" t="s">
        <v>1043</v>
      </c>
      <c r="E41" t="s">
        <v>2043</v>
      </c>
      <c r="F41" t="s">
        <v>3035</v>
      </c>
      <c r="G41" t="s">
        <v>3693</v>
      </c>
      <c r="J41" t="s">
        <v>228</v>
      </c>
      <c r="N41">
        <v>59251671</v>
      </c>
    </row>
    <row r="42" spans="1:14" x14ac:dyDescent="0.35">
      <c r="A42">
        <v>11040</v>
      </c>
      <c r="C42" s="2" t="s">
        <v>883</v>
      </c>
      <c r="D42" t="s">
        <v>1044</v>
      </c>
      <c r="E42" t="s">
        <v>2044</v>
      </c>
      <c r="F42" t="s">
        <v>3036</v>
      </c>
      <c r="G42" t="s">
        <v>3694</v>
      </c>
      <c r="J42" t="s">
        <v>228</v>
      </c>
      <c r="N42">
        <v>59251672</v>
      </c>
    </row>
    <row r="43" spans="1:14" x14ac:dyDescent="0.35">
      <c r="A43">
        <v>11041</v>
      </c>
      <c r="C43" s="2" t="s">
        <v>883</v>
      </c>
      <c r="D43" t="s">
        <v>1045</v>
      </c>
      <c r="E43" t="s">
        <v>2045</v>
      </c>
      <c r="F43" t="s">
        <v>3037</v>
      </c>
      <c r="G43" t="s">
        <v>3695</v>
      </c>
      <c r="J43" t="s">
        <v>228</v>
      </c>
      <c r="N43">
        <v>59251673</v>
      </c>
    </row>
    <row r="44" spans="1:14" x14ac:dyDescent="0.35">
      <c r="A44">
        <v>11042</v>
      </c>
      <c r="C44" s="2" t="s">
        <v>883</v>
      </c>
      <c r="D44" t="s">
        <v>1046</v>
      </c>
      <c r="E44" t="s">
        <v>2046</v>
      </c>
      <c r="F44" t="s">
        <v>3038</v>
      </c>
      <c r="G44" t="s">
        <v>3696</v>
      </c>
      <c r="J44" t="s">
        <v>228</v>
      </c>
      <c r="N44">
        <v>59251674</v>
      </c>
    </row>
    <row r="45" spans="1:14" x14ac:dyDescent="0.35">
      <c r="A45">
        <v>11043</v>
      </c>
      <c r="C45" s="2" t="s">
        <v>883</v>
      </c>
      <c r="D45" t="s">
        <v>1047</v>
      </c>
      <c r="E45" t="s">
        <v>2047</v>
      </c>
      <c r="F45" t="s">
        <v>3039</v>
      </c>
      <c r="G45" t="s">
        <v>3697</v>
      </c>
      <c r="J45" t="s">
        <v>228</v>
      </c>
      <c r="N45">
        <v>59251675</v>
      </c>
    </row>
    <row r="46" spans="1:14" x14ac:dyDescent="0.35">
      <c r="A46">
        <v>11044</v>
      </c>
      <c r="C46" s="2" t="s">
        <v>883</v>
      </c>
      <c r="D46" t="s">
        <v>1048</v>
      </c>
      <c r="E46" t="s">
        <v>2048</v>
      </c>
      <c r="F46" t="s">
        <v>3040</v>
      </c>
      <c r="G46" t="s">
        <v>3698</v>
      </c>
      <c r="J46" t="s">
        <v>228</v>
      </c>
      <c r="N46">
        <v>59251676</v>
      </c>
    </row>
    <row r="47" spans="1:14" x14ac:dyDescent="0.35">
      <c r="A47">
        <v>11045</v>
      </c>
      <c r="C47" s="2" t="s">
        <v>883</v>
      </c>
      <c r="D47" t="s">
        <v>1049</v>
      </c>
      <c r="E47" t="s">
        <v>2049</v>
      </c>
      <c r="F47" t="s">
        <v>3008</v>
      </c>
      <c r="G47" t="s">
        <v>3699</v>
      </c>
      <c r="J47" t="s">
        <v>228</v>
      </c>
      <c r="N47">
        <v>59251677</v>
      </c>
    </row>
    <row r="48" spans="1:14" x14ac:dyDescent="0.35">
      <c r="A48">
        <v>11046</v>
      </c>
      <c r="C48" s="2" t="s">
        <v>883</v>
      </c>
      <c r="D48" t="s">
        <v>1050</v>
      </c>
      <c r="E48" t="s">
        <v>2050</v>
      </c>
      <c r="F48" t="s">
        <v>3041</v>
      </c>
      <c r="G48" t="s">
        <v>3700</v>
      </c>
      <c r="J48" t="s">
        <v>228</v>
      </c>
      <c r="N48">
        <v>59251678</v>
      </c>
    </row>
    <row r="49" spans="1:14" x14ac:dyDescent="0.35">
      <c r="A49">
        <v>11047</v>
      </c>
      <c r="C49" s="2" t="s">
        <v>883</v>
      </c>
      <c r="D49" t="s">
        <v>1051</v>
      </c>
      <c r="E49" t="s">
        <v>2051</v>
      </c>
      <c r="F49" t="s">
        <v>3019</v>
      </c>
      <c r="G49" t="s">
        <v>3701</v>
      </c>
      <c r="J49" t="s">
        <v>228</v>
      </c>
      <c r="N49">
        <v>59251679</v>
      </c>
    </row>
    <row r="50" spans="1:14" x14ac:dyDescent="0.35">
      <c r="A50">
        <v>11048</v>
      </c>
      <c r="C50" s="2" t="s">
        <v>883</v>
      </c>
      <c r="D50" t="s">
        <v>1052</v>
      </c>
      <c r="E50" t="s">
        <v>2052</v>
      </c>
      <c r="F50" t="s">
        <v>3035</v>
      </c>
      <c r="G50" t="s">
        <v>3702</v>
      </c>
      <c r="J50" t="s">
        <v>228</v>
      </c>
      <c r="N50">
        <v>59251680</v>
      </c>
    </row>
    <row r="51" spans="1:14" x14ac:dyDescent="0.35">
      <c r="A51">
        <v>11049</v>
      </c>
      <c r="C51" s="2" t="s">
        <v>883</v>
      </c>
      <c r="D51" t="s">
        <v>1053</v>
      </c>
      <c r="E51" t="s">
        <v>2053</v>
      </c>
      <c r="F51" t="s">
        <v>3042</v>
      </c>
      <c r="G51" t="s">
        <v>3703</v>
      </c>
      <c r="J51" t="s">
        <v>228</v>
      </c>
      <c r="N51">
        <v>59251681</v>
      </c>
    </row>
    <row r="52" spans="1:14" x14ac:dyDescent="0.35">
      <c r="A52">
        <v>11050</v>
      </c>
      <c r="C52" s="2" t="s">
        <v>883</v>
      </c>
      <c r="D52" t="s">
        <v>1054</v>
      </c>
      <c r="E52" t="s">
        <v>2054</v>
      </c>
      <c r="F52" t="s">
        <v>3043</v>
      </c>
      <c r="G52" t="s">
        <v>3704</v>
      </c>
      <c r="J52" t="s">
        <v>228</v>
      </c>
      <c r="N52">
        <v>59251682</v>
      </c>
    </row>
    <row r="53" spans="1:14" x14ac:dyDescent="0.35">
      <c r="A53">
        <v>11051</v>
      </c>
      <c r="C53" s="2" t="s">
        <v>883</v>
      </c>
      <c r="D53" t="s">
        <v>1055</v>
      </c>
      <c r="E53" t="s">
        <v>2055</v>
      </c>
      <c r="F53" t="s">
        <v>3044</v>
      </c>
      <c r="G53" t="s">
        <v>3705</v>
      </c>
      <c r="J53" t="s">
        <v>228</v>
      </c>
      <c r="N53">
        <v>59251683</v>
      </c>
    </row>
    <row r="54" spans="1:14" x14ac:dyDescent="0.35">
      <c r="A54">
        <v>11052</v>
      </c>
      <c r="C54" s="2" t="s">
        <v>883</v>
      </c>
      <c r="D54" t="s">
        <v>1056</v>
      </c>
      <c r="E54" t="s">
        <v>2056</v>
      </c>
      <c r="F54" t="s">
        <v>3045</v>
      </c>
      <c r="G54" t="s">
        <v>3706</v>
      </c>
      <c r="J54" t="s">
        <v>228</v>
      </c>
      <c r="N54">
        <v>59251684</v>
      </c>
    </row>
    <row r="55" spans="1:14" x14ac:dyDescent="0.35">
      <c r="A55">
        <v>11053</v>
      </c>
      <c r="C55" s="2" t="s">
        <v>883</v>
      </c>
      <c r="D55" t="s">
        <v>1057</v>
      </c>
      <c r="E55" t="s">
        <v>2057</v>
      </c>
      <c r="F55" t="s">
        <v>3046</v>
      </c>
      <c r="G55" t="s">
        <v>3707</v>
      </c>
      <c r="J55" t="s">
        <v>228</v>
      </c>
      <c r="N55">
        <v>59251685</v>
      </c>
    </row>
    <row r="56" spans="1:14" x14ac:dyDescent="0.35">
      <c r="A56">
        <v>11054</v>
      </c>
      <c r="C56" s="2" t="s">
        <v>883</v>
      </c>
      <c r="D56" t="s">
        <v>1058</v>
      </c>
      <c r="E56" t="s">
        <v>2058</v>
      </c>
      <c r="F56" t="s">
        <v>3047</v>
      </c>
      <c r="G56" t="s">
        <v>3708</v>
      </c>
      <c r="J56" t="s">
        <v>228</v>
      </c>
      <c r="N56">
        <v>59251686</v>
      </c>
    </row>
    <row r="57" spans="1:14" x14ac:dyDescent="0.35">
      <c r="A57">
        <v>11055</v>
      </c>
      <c r="C57" s="2" t="s">
        <v>883</v>
      </c>
      <c r="D57" t="s">
        <v>1059</v>
      </c>
      <c r="E57" t="s">
        <v>2059</v>
      </c>
      <c r="F57" t="s">
        <v>3048</v>
      </c>
      <c r="G57" t="s">
        <v>3709</v>
      </c>
      <c r="J57" t="s">
        <v>228</v>
      </c>
      <c r="N57">
        <v>59251687</v>
      </c>
    </row>
    <row r="58" spans="1:14" x14ac:dyDescent="0.35">
      <c r="A58">
        <v>11056</v>
      </c>
      <c r="C58" s="2" t="s">
        <v>883</v>
      </c>
      <c r="D58" t="s">
        <v>1060</v>
      </c>
      <c r="E58" t="s">
        <v>2060</v>
      </c>
      <c r="F58" t="s">
        <v>3026</v>
      </c>
      <c r="G58" t="s">
        <v>3710</v>
      </c>
      <c r="J58" t="s">
        <v>228</v>
      </c>
      <c r="N58">
        <v>59251688</v>
      </c>
    </row>
    <row r="59" spans="1:14" x14ac:dyDescent="0.35">
      <c r="A59">
        <v>11057</v>
      </c>
      <c r="C59" s="2" t="s">
        <v>883</v>
      </c>
      <c r="D59" t="s">
        <v>1061</v>
      </c>
      <c r="E59" t="s">
        <v>2061</v>
      </c>
      <c r="F59" t="s">
        <v>3049</v>
      </c>
      <c r="G59" t="s">
        <v>3711</v>
      </c>
      <c r="J59" t="s">
        <v>228</v>
      </c>
      <c r="N59">
        <v>59251689</v>
      </c>
    </row>
    <row r="60" spans="1:14" x14ac:dyDescent="0.35">
      <c r="A60">
        <v>11058</v>
      </c>
      <c r="C60" s="2" t="s">
        <v>883</v>
      </c>
      <c r="D60" t="s">
        <v>1062</v>
      </c>
      <c r="E60" t="s">
        <v>2062</v>
      </c>
      <c r="F60" t="s">
        <v>3050</v>
      </c>
      <c r="G60" t="s">
        <v>3712</v>
      </c>
      <c r="J60" t="s">
        <v>228</v>
      </c>
      <c r="N60">
        <v>59251690</v>
      </c>
    </row>
    <row r="61" spans="1:14" x14ac:dyDescent="0.35">
      <c r="A61">
        <v>11059</v>
      </c>
      <c r="C61" s="2" t="s">
        <v>883</v>
      </c>
      <c r="D61" t="s">
        <v>1063</v>
      </c>
      <c r="E61" t="s">
        <v>2063</v>
      </c>
      <c r="F61" t="s">
        <v>3051</v>
      </c>
      <c r="G61" t="s">
        <v>3713</v>
      </c>
      <c r="J61" t="s">
        <v>228</v>
      </c>
      <c r="N61">
        <v>59251691</v>
      </c>
    </row>
    <row r="62" spans="1:14" x14ac:dyDescent="0.35">
      <c r="A62">
        <v>11060</v>
      </c>
      <c r="C62" s="2" t="s">
        <v>883</v>
      </c>
      <c r="D62" t="s">
        <v>1064</v>
      </c>
      <c r="E62" t="s">
        <v>2064</v>
      </c>
      <c r="F62" t="s">
        <v>3052</v>
      </c>
      <c r="G62" t="s">
        <v>3714</v>
      </c>
      <c r="J62" t="s">
        <v>228</v>
      </c>
      <c r="N62">
        <v>59251692</v>
      </c>
    </row>
    <row r="63" spans="1:14" x14ac:dyDescent="0.35">
      <c r="A63">
        <v>11061</v>
      </c>
      <c r="C63" s="2" t="s">
        <v>883</v>
      </c>
      <c r="D63" t="s">
        <v>1065</v>
      </c>
      <c r="E63" t="s">
        <v>2065</v>
      </c>
      <c r="F63" t="s">
        <v>3053</v>
      </c>
      <c r="G63" t="s">
        <v>3715</v>
      </c>
      <c r="J63" t="s">
        <v>228</v>
      </c>
      <c r="N63">
        <v>59251693</v>
      </c>
    </row>
    <row r="64" spans="1:14" x14ac:dyDescent="0.35">
      <c r="A64">
        <v>11062</v>
      </c>
      <c r="C64" s="2" t="s">
        <v>883</v>
      </c>
      <c r="D64" t="s">
        <v>1066</v>
      </c>
      <c r="E64" t="s">
        <v>2066</v>
      </c>
      <c r="F64" t="s">
        <v>3054</v>
      </c>
      <c r="G64" t="s">
        <v>3716</v>
      </c>
      <c r="J64" t="s">
        <v>228</v>
      </c>
      <c r="N64">
        <v>59251694</v>
      </c>
    </row>
    <row r="65" spans="1:14" x14ac:dyDescent="0.35">
      <c r="A65">
        <v>11063</v>
      </c>
      <c r="C65" s="2" t="s">
        <v>883</v>
      </c>
      <c r="D65" t="s">
        <v>1067</v>
      </c>
      <c r="E65" t="s">
        <v>2067</v>
      </c>
      <c r="F65" t="s">
        <v>3055</v>
      </c>
      <c r="G65" t="s">
        <v>3717</v>
      </c>
      <c r="J65" t="s">
        <v>228</v>
      </c>
      <c r="N65">
        <v>59251695</v>
      </c>
    </row>
    <row r="66" spans="1:14" x14ac:dyDescent="0.35">
      <c r="A66">
        <v>11064</v>
      </c>
      <c r="C66" s="2" t="s">
        <v>883</v>
      </c>
      <c r="D66" t="s">
        <v>1068</v>
      </c>
      <c r="E66" t="s">
        <v>2068</v>
      </c>
      <c r="F66" t="s">
        <v>3056</v>
      </c>
      <c r="G66" t="s">
        <v>3718</v>
      </c>
      <c r="J66" t="s">
        <v>228</v>
      </c>
      <c r="N66">
        <v>59251696</v>
      </c>
    </row>
    <row r="67" spans="1:14" x14ac:dyDescent="0.35">
      <c r="A67">
        <v>11065</v>
      </c>
      <c r="C67" s="2" t="s">
        <v>883</v>
      </c>
      <c r="D67" t="s">
        <v>1069</v>
      </c>
      <c r="E67" t="s">
        <v>2069</v>
      </c>
      <c r="F67" t="s">
        <v>3057</v>
      </c>
      <c r="G67" t="s">
        <v>3719</v>
      </c>
      <c r="J67" t="s">
        <v>228</v>
      </c>
      <c r="N67">
        <v>59251697</v>
      </c>
    </row>
    <row r="68" spans="1:14" x14ac:dyDescent="0.35">
      <c r="A68">
        <v>11066</v>
      </c>
      <c r="C68" s="2" t="s">
        <v>883</v>
      </c>
      <c r="D68" t="s">
        <v>1070</v>
      </c>
      <c r="E68" t="s">
        <v>2070</v>
      </c>
      <c r="F68" t="s">
        <v>3058</v>
      </c>
      <c r="G68" t="s">
        <v>3720</v>
      </c>
      <c r="J68" t="s">
        <v>228</v>
      </c>
      <c r="N68">
        <v>59251698</v>
      </c>
    </row>
    <row r="69" spans="1:14" x14ac:dyDescent="0.35">
      <c r="A69">
        <v>11067</v>
      </c>
      <c r="C69" s="2" t="s">
        <v>883</v>
      </c>
      <c r="D69" t="s">
        <v>1071</v>
      </c>
      <c r="E69" t="s">
        <v>2071</v>
      </c>
      <c r="F69" t="s">
        <v>3059</v>
      </c>
      <c r="G69" t="s">
        <v>3721</v>
      </c>
      <c r="J69" t="s">
        <v>228</v>
      </c>
      <c r="N69">
        <v>59251699</v>
      </c>
    </row>
    <row r="70" spans="1:14" x14ac:dyDescent="0.35">
      <c r="A70">
        <v>11068</v>
      </c>
      <c r="C70" s="2" t="s">
        <v>883</v>
      </c>
      <c r="D70" t="s">
        <v>1072</v>
      </c>
      <c r="E70" t="s">
        <v>2072</v>
      </c>
      <c r="F70" t="s">
        <v>3031</v>
      </c>
      <c r="G70" t="s">
        <v>3722</v>
      </c>
      <c r="J70" t="s">
        <v>228</v>
      </c>
      <c r="N70">
        <v>59251700</v>
      </c>
    </row>
    <row r="71" spans="1:14" x14ac:dyDescent="0.35">
      <c r="A71">
        <v>11069</v>
      </c>
      <c r="C71" s="2" t="s">
        <v>883</v>
      </c>
      <c r="D71" t="s">
        <v>1073</v>
      </c>
      <c r="E71" t="s">
        <v>2073</v>
      </c>
      <c r="F71" t="s">
        <v>3060</v>
      </c>
      <c r="G71" t="s">
        <v>3723</v>
      </c>
      <c r="J71" t="s">
        <v>228</v>
      </c>
      <c r="N71">
        <v>59251701</v>
      </c>
    </row>
    <row r="72" spans="1:14" x14ac:dyDescent="0.35">
      <c r="A72">
        <v>11070</v>
      </c>
      <c r="C72" s="2" t="s">
        <v>883</v>
      </c>
      <c r="D72" t="s">
        <v>1074</v>
      </c>
      <c r="E72" t="s">
        <v>2074</v>
      </c>
      <c r="F72" t="s">
        <v>3008</v>
      </c>
      <c r="G72" t="s">
        <v>3724</v>
      </c>
      <c r="J72" t="s">
        <v>228</v>
      </c>
      <c r="N72">
        <v>59251702</v>
      </c>
    </row>
    <row r="73" spans="1:14" x14ac:dyDescent="0.35">
      <c r="A73">
        <v>11071</v>
      </c>
      <c r="C73" s="2" t="s">
        <v>883</v>
      </c>
      <c r="D73" t="s">
        <v>1075</v>
      </c>
      <c r="E73" t="s">
        <v>2075</v>
      </c>
      <c r="F73" t="s">
        <v>3061</v>
      </c>
      <c r="G73" t="s">
        <v>3725</v>
      </c>
      <c r="J73" t="s">
        <v>228</v>
      </c>
      <c r="N73">
        <v>59251703</v>
      </c>
    </row>
    <row r="74" spans="1:14" x14ac:dyDescent="0.35">
      <c r="A74">
        <v>11072</v>
      </c>
      <c r="C74" s="2" t="s">
        <v>883</v>
      </c>
      <c r="D74" t="s">
        <v>1076</v>
      </c>
      <c r="E74" t="s">
        <v>2076</v>
      </c>
      <c r="F74" t="s">
        <v>3062</v>
      </c>
      <c r="G74" t="s">
        <v>3726</v>
      </c>
      <c r="J74" t="s">
        <v>228</v>
      </c>
      <c r="N74">
        <v>59251704</v>
      </c>
    </row>
    <row r="75" spans="1:14" x14ac:dyDescent="0.35">
      <c r="A75">
        <v>11073</v>
      </c>
      <c r="C75" s="2" t="s">
        <v>883</v>
      </c>
      <c r="D75" t="s">
        <v>1077</v>
      </c>
      <c r="E75" t="s">
        <v>2077</v>
      </c>
      <c r="F75" t="s">
        <v>3063</v>
      </c>
      <c r="G75" t="s">
        <v>3727</v>
      </c>
      <c r="J75" t="s">
        <v>228</v>
      </c>
      <c r="N75">
        <v>59251705</v>
      </c>
    </row>
    <row r="76" spans="1:14" x14ac:dyDescent="0.35">
      <c r="A76">
        <v>11074</v>
      </c>
      <c r="C76" s="2" t="s">
        <v>883</v>
      </c>
      <c r="D76" t="s">
        <v>1078</v>
      </c>
      <c r="E76" t="s">
        <v>2078</v>
      </c>
      <c r="F76" t="s">
        <v>3064</v>
      </c>
      <c r="G76" t="s">
        <v>3728</v>
      </c>
      <c r="J76" t="s">
        <v>228</v>
      </c>
      <c r="N76">
        <v>59251706</v>
      </c>
    </row>
    <row r="77" spans="1:14" x14ac:dyDescent="0.35">
      <c r="A77">
        <v>11075</v>
      </c>
      <c r="C77" s="2" t="s">
        <v>883</v>
      </c>
      <c r="D77" t="s">
        <v>1079</v>
      </c>
      <c r="E77" t="s">
        <v>2079</v>
      </c>
      <c r="F77" t="s">
        <v>3065</v>
      </c>
      <c r="G77" t="s">
        <v>3729</v>
      </c>
      <c r="J77" t="s">
        <v>228</v>
      </c>
      <c r="N77">
        <v>59251707</v>
      </c>
    </row>
    <row r="78" spans="1:14" x14ac:dyDescent="0.35">
      <c r="A78">
        <v>11076</v>
      </c>
      <c r="C78" s="2" t="s">
        <v>883</v>
      </c>
      <c r="D78" t="s">
        <v>1080</v>
      </c>
      <c r="E78" t="s">
        <v>2080</v>
      </c>
      <c r="F78" t="s">
        <v>3041</v>
      </c>
      <c r="G78" t="s">
        <v>3730</v>
      </c>
      <c r="J78" t="s">
        <v>228</v>
      </c>
      <c r="N78">
        <v>59251708</v>
      </c>
    </row>
    <row r="79" spans="1:14" x14ac:dyDescent="0.35">
      <c r="A79">
        <v>11077</v>
      </c>
      <c r="C79" s="2" t="s">
        <v>883</v>
      </c>
      <c r="D79" t="s">
        <v>1081</v>
      </c>
      <c r="E79" t="s">
        <v>2081</v>
      </c>
      <c r="F79" t="s">
        <v>3066</v>
      </c>
      <c r="G79" t="s">
        <v>3731</v>
      </c>
      <c r="J79" t="s">
        <v>228</v>
      </c>
      <c r="N79">
        <v>59251709</v>
      </c>
    </row>
    <row r="80" spans="1:14" x14ac:dyDescent="0.35">
      <c r="A80">
        <v>11078</v>
      </c>
      <c r="C80" s="2" t="s">
        <v>883</v>
      </c>
      <c r="D80" t="s">
        <v>1082</v>
      </c>
      <c r="E80" t="s">
        <v>2082</v>
      </c>
      <c r="F80" t="s">
        <v>3067</v>
      </c>
      <c r="G80" t="s">
        <v>3732</v>
      </c>
      <c r="J80" t="s">
        <v>228</v>
      </c>
      <c r="N80">
        <v>59251710</v>
      </c>
    </row>
    <row r="81" spans="1:14" x14ac:dyDescent="0.35">
      <c r="A81">
        <v>11079</v>
      </c>
      <c r="C81" s="2" t="s">
        <v>883</v>
      </c>
      <c r="D81" t="s">
        <v>1083</v>
      </c>
      <c r="E81" t="s">
        <v>2083</v>
      </c>
      <c r="F81" t="s">
        <v>3019</v>
      </c>
      <c r="G81" t="s">
        <v>3733</v>
      </c>
      <c r="J81" t="s">
        <v>228</v>
      </c>
      <c r="N81">
        <v>59251711</v>
      </c>
    </row>
    <row r="82" spans="1:14" x14ac:dyDescent="0.35">
      <c r="A82">
        <v>11080</v>
      </c>
      <c r="C82" s="2" t="s">
        <v>883</v>
      </c>
      <c r="D82" t="s">
        <v>1084</v>
      </c>
      <c r="E82" t="s">
        <v>2084</v>
      </c>
      <c r="F82" t="s">
        <v>3068</v>
      </c>
      <c r="G82" t="s">
        <v>3734</v>
      </c>
      <c r="J82" t="s">
        <v>228</v>
      </c>
      <c r="N82">
        <v>59251712</v>
      </c>
    </row>
    <row r="83" spans="1:14" x14ac:dyDescent="0.35">
      <c r="A83">
        <v>11081</v>
      </c>
      <c r="C83" s="2" t="s">
        <v>883</v>
      </c>
      <c r="D83" t="s">
        <v>1085</v>
      </c>
      <c r="E83" t="s">
        <v>2085</v>
      </c>
      <c r="F83" t="s">
        <v>3069</v>
      </c>
      <c r="G83" t="s">
        <v>3735</v>
      </c>
      <c r="J83" t="s">
        <v>228</v>
      </c>
      <c r="N83">
        <v>59251713</v>
      </c>
    </row>
    <row r="84" spans="1:14" x14ac:dyDescent="0.35">
      <c r="A84">
        <v>11082</v>
      </c>
      <c r="C84" s="2" t="s">
        <v>883</v>
      </c>
      <c r="D84" t="s">
        <v>1086</v>
      </c>
      <c r="E84" t="s">
        <v>2086</v>
      </c>
      <c r="F84" t="s">
        <v>3070</v>
      </c>
      <c r="G84" t="s">
        <v>3736</v>
      </c>
      <c r="J84" t="s">
        <v>228</v>
      </c>
      <c r="N84">
        <v>59251714</v>
      </c>
    </row>
    <row r="85" spans="1:14" x14ac:dyDescent="0.35">
      <c r="A85">
        <v>11083</v>
      </c>
      <c r="C85" s="2" t="s">
        <v>883</v>
      </c>
      <c r="D85" t="s">
        <v>1087</v>
      </c>
      <c r="E85" t="s">
        <v>2087</v>
      </c>
      <c r="F85" t="s">
        <v>3071</v>
      </c>
      <c r="G85" t="s">
        <v>3737</v>
      </c>
      <c r="J85" t="s">
        <v>228</v>
      </c>
      <c r="N85">
        <v>59251715</v>
      </c>
    </row>
    <row r="86" spans="1:14" x14ac:dyDescent="0.35">
      <c r="A86">
        <v>11084</v>
      </c>
      <c r="C86" s="2" t="s">
        <v>883</v>
      </c>
      <c r="D86" t="s">
        <v>1088</v>
      </c>
      <c r="E86" t="s">
        <v>2088</v>
      </c>
      <c r="F86" t="s">
        <v>3072</v>
      </c>
      <c r="G86" t="s">
        <v>3738</v>
      </c>
      <c r="J86" t="s">
        <v>228</v>
      </c>
      <c r="N86">
        <v>59251716</v>
      </c>
    </row>
    <row r="87" spans="1:14" x14ac:dyDescent="0.35">
      <c r="A87">
        <v>11085</v>
      </c>
      <c r="C87" s="2" t="s">
        <v>883</v>
      </c>
      <c r="D87" t="s">
        <v>1089</v>
      </c>
      <c r="E87" t="s">
        <v>2089</v>
      </c>
      <c r="F87" t="s">
        <v>3073</v>
      </c>
      <c r="G87" t="s">
        <v>3739</v>
      </c>
      <c r="J87" t="s">
        <v>228</v>
      </c>
      <c r="N87">
        <v>59251717</v>
      </c>
    </row>
    <row r="88" spans="1:14" x14ac:dyDescent="0.35">
      <c r="A88">
        <v>11086</v>
      </c>
      <c r="C88" s="2" t="s">
        <v>883</v>
      </c>
      <c r="D88" t="s">
        <v>1090</v>
      </c>
      <c r="E88" t="s">
        <v>2090</v>
      </c>
      <c r="F88" t="s">
        <v>3074</v>
      </c>
      <c r="G88" t="s">
        <v>3740</v>
      </c>
      <c r="J88" t="s">
        <v>228</v>
      </c>
      <c r="N88">
        <v>59251718</v>
      </c>
    </row>
    <row r="89" spans="1:14" x14ac:dyDescent="0.35">
      <c r="A89">
        <v>11087</v>
      </c>
      <c r="C89" s="2" t="s">
        <v>883</v>
      </c>
      <c r="D89" t="s">
        <v>1091</v>
      </c>
      <c r="E89" t="s">
        <v>2091</v>
      </c>
      <c r="F89" t="s">
        <v>3075</v>
      </c>
      <c r="G89" t="s">
        <v>3741</v>
      </c>
      <c r="J89" t="s">
        <v>228</v>
      </c>
      <c r="N89">
        <v>59251719</v>
      </c>
    </row>
    <row r="90" spans="1:14" x14ac:dyDescent="0.35">
      <c r="A90">
        <v>11088</v>
      </c>
      <c r="C90" s="2" t="s">
        <v>883</v>
      </c>
      <c r="D90" t="s">
        <v>1092</v>
      </c>
      <c r="E90" t="s">
        <v>2092</v>
      </c>
      <c r="F90" t="s">
        <v>3076</v>
      </c>
      <c r="G90" t="s">
        <v>3742</v>
      </c>
      <c r="J90" t="s">
        <v>228</v>
      </c>
      <c r="N90">
        <v>59251720</v>
      </c>
    </row>
    <row r="91" spans="1:14" x14ac:dyDescent="0.35">
      <c r="A91">
        <v>11089</v>
      </c>
      <c r="C91" s="2" t="s">
        <v>883</v>
      </c>
      <c r="D91" t="s">
        <v>1093</v>
      </c>
      <c r="E91" t="s">
        <v>2093</v>
      </c>
      <c r="F91" t="s">
        <v>3077</v>
      </c>
      <c r="G91" t="s">
        <v>3743</v>
      </c>
      <c r="J91" t="s">
        <v>228</v>
      </c>
      <c r="N91">
        <v>59251721</v>
      </c>
    </row>
    <row r="92" spans="1:14" x14ac:dyDescent="0.35">
      <c r="A92">
        <v>11090</v>
      </c>
      <c r="C92" s="2" t="s">
        <v>883</v>
      </c>
      <c r="D92" t="s">
        <v>1094</v>
      </c>
      <c r="E92" t="s">
        <v>2094</v>
      </c>
      <c r="F92" t="s">
        <v>3078</v>
      </c>
      <c r="G92" t="s">
        <v>3744</v>
      </c>
      <c r="J92" t="s">
        <v>228</v>
      </c>
      <c r="N92">
        <v>59251722</v>
      </c>
    </row>
    <row r="93" spans="1:14" x14ac:dyDescent="0.35">
      <c r="A93">
        <v>11091</v>
      </c>
      <c r="C93" s="2" t="s">
        <v>883</v>
      </c>
      <c r="D93" t="s">
        <v>1095</v>
      </c>
      <c r="E93" t="s">
        <v>2095</v>
      </c>
      <c r="F93" t="s">
        <v>3079</v>
      </c>
      <c r="G93" t="s">
        <v>3745</v>
      </c>
      <c r="J93" t="s">
        <v>228</v>
      </c>
      <c r="N93">
        <v>59251723</v>
      </c>
    </row>
    <row r="94" spans="1:14" x14ac:dyDescent="0.35">
      <c r="A94">
        <v>11092</v>
      </c>
      <c r="C94" s="2" t="s">
        <v>883</v>
      </c>
      <c r="D94" t="s">
        <v>1096</v>
      </c>
      <c r="E94" t="s">
        <v>2096</v>
      </c>
      <c r="F94" t="s">
        <v>3047</v>
      </c>
      <c r="G94" t="s">
        <v>3746</v>
      </c>
      <c r="J94" t="s">
        <v>228</v>
      </c>
      <c r="N94">
        <v>59251724</v>
      </c>
    </row>
    <row r="95" spans="1:14" x14ac:dyDescent="0.35">
      <c r="A95">
        <v>11093</v>
      </c>
      <c r="C95" s="2" t="s">
        <v>883</v>
      </c>
      <c r="D95" t="s">
        <v>1097</v>
      </c>
      <c r="E95" t="s">
        <v>2097</v>
      </c>
      <c r="F95" t="s">
        <v>3080</v>
      </c>
      <c r="G95" t="s">
        <v>3747</v>
      </c>
      <c r="J95" t="s">
        <v>228</v>
      </c>
      <c r="N95">
        <v>59251725</v>
      </c>
    </row>
    <row r="96" spans="1:14" x14ac:dyDescent="0.35">
      <c r="A96">
        <v>11094</v>
      </c>
      <c r="C96" s="2" t="s">
        <v>883</v>
      </c>
      <c r="D96" t="s">
        <v>1098</v>
      </c>
      <c r="E96" t="s">
        <v>2098</v>
      </c>
      <c r="F96" t="s">
        <v>3081</v>
      </c>
      <c r="G96" t="s">
        <v>3748</v>
      </c>
      <c r="J96" t="s">
        <v>228</v>
      </c>
      <c r="N96">
        <v>59251726</v>
      </c>
    </row>
    <row r="97" spans="1:14" x14ac:dyDescent="0.35">
      <c r="A97">
        <v>11095</v>
      </c>
      <c r="C97" s="2" t="s">
        <v>883</v>
      </c>
      <c r="D97" t="s">
        <v>1099</v>
      </c>
      <c r="E97" t="s">
        <v>2099</v>
      </c>
      <c r="F97" t="s">
        <v>3008</v>
      </c>
      <c r="G97" t="s">
        <v>3749</v>
      </c>
      <c r="J97" t="s">
        <v>228</v>
      </c>
      <c r="N97">
        <v>59251727</v>
      </c>
    </row>
    <row r="98" spans="1:14" x14ac:dyDescent="0.35">
      <c r="A98">
        <v>11096</v>
      </c>
      <c r="C98" s="2" t="s">
        <v>883</v>
      </c>
      <c r="D98" t="s">
        <v>1100</v>
      </c>
      <c r="E98" t="s">
        <v>2100</v>
      </c>
      <c r="F98" t="s">
        <v>3006</v>
      </c>
      <c r="G98" t="s">
        <v>3750</v>
      </c>
      <c r="J98" t="s">
        <v>228</v>
      </c>
      <c r="N98">
        <v>59251728</v>
      </c>
    </row>
    <row r="99" spans="1:14" x14ac:dyDescent="0.35">
      <c r="A99">
        <v>11097</v>
      </c>
      <c r="C99" s="2" t="s">
        <v>883</v>
      </c>
      <c r="D99" t="s">
        <v>1101</v>
      </c>
      <c r="E99" t="s">
        <v>2101</v>
      </c>
      <c r="F99" t="s">
        <v>3051</v>
      </c>
      <c r="G99" t="s">
        <v>3751</v>
      </c>
      <c r="J99" t="s">
        <v>228</v>
      </c>
      <c r="N99">
        <v>59251729</v>
      </c>
    </row>
    <row r="100" spans="1:14" x14ac:dyDescent="0.35">
      <c r="A100">
        <v>11098</v>
      </c>
      <c r="C100" s="2" t="s">
        <v>883</v>
      </c>
      <c r="D100" t="s">
        <v>1102</v>
      </c>
      <c r="E100" t="s">
        <v>2102</v>
      </c>
      <c r="F100" t="s">
        <v>3082</v>
      </c>
      <c r="G100" t="s">
        <v>3752</v>
      </c>
      <c r="J100" t="s">
        <v>228</v>
      </c>
      <c r="N100">
        <v>59251730</v>
      </c>
    </row>
    <row r="101" spans="1:14" x14ac:dyDescent="0.35">
      <c r="A101">
        <v>11099</v>
      </c>
      <c r="C101" s="2" t="s">
        <v>883</v>
      </c>
      <c r="D101" t="s">
        <v>1103</v>
      </c>
      <c r="E101" t="s">
        <v>2103</v>
      </c>
      <c r="F101" t="s">
        <v>3083</v>
      </c>
      <c r="G101" t="s">
        <v>3753</v>
      </c>
      <c r="J101" t="s">
        <v>228</v>
      </c>
      <c r="N101">
        <v>59251731</v>
      </c>
    </row>
    <row r="102" spans="1:14" x14ac:dyDescent="0.35">
      <c r="A102">
        <v>11100</v>
      </c>
      <c r="C102" s="2" t="s">
        <v>883</v>
      </c>
      <c r="D102" t="s">
        <v>1104</v>
      </c>
      <c r="E102" t="s">
        <v>2104</v>
      </c>
      <c r="F102" t="s">
        <v>3084</v>
      </c>
      <c r="G102" t="s">
        <v>3754</v>
      </c>
      <c r="J102" t="s">
        <v>228</v>
      </c>
      <c r="N102">
        <v>59251732</v>
      </c>
    </row>
    <row r="103" spans="1:14" x14ac:dyDescent="0.35">
      <c r="A103">
        <v>11101</v>
      </c>
      <c r="C103" s="2" t="s">
        <v>883</v>
      </c>
      <c r="D103" t="s">
        <v>1105</v>
      </c>
      <c r="E103" t="s">
        <v>2105</v>
      </c>
      <c r="F103" t="s">
        <v>3052</v>
      </c>
      <c r="G103" t="s">
        <v>3755</v>
      </c>
      <c r="J103" t="s">
        <v>228</v>
      </c>
      <c r="N103">
        <v>59251733</v>
      </c>
    </row>
    <row r="104" spans="1:14" x14ac:dyDescent="0.35">
      <c r="A104">
        <v>11102</v>
      </c>
      <c r="C104" s="2" t="s">
        <v>883</v>
      </c>
      <c r="D104" t="s">
        <v>1106</v>
      </c>
      <c r="E104" t="s">
        <v>2106</v>
      </c>
      <c r="F104" t="s">
        <v>3085</v>
      </c>
      <c r="G104" t="s">
        <v>3756</v>
      </c>
      <c r="J104" t="s">
        <v>228</v>
      </c>
      <c r="N104">
        <v>59251734</v>
      </c>
    </row>
    <row r="105" spans="1:14" x14ac:dyDescent="0.35">
      <c r="A105">
        <v>11103</v>
      </c>
      <c r="C105" s="2" t="s">
        <v>883</v>
      </c>
      <c r="D105" t="s">
        <v>1107</v>
      </c>
      <c r="E105" t="s">
        <v>2107</v>
      </c>
      <c r="F105" t="s">
        <v>3086</v>
      </c>
      <c r="G105" t="s">
        <v>3757</v>
      </c>
      <c r="J105" t="s">
        <v>228</v>
      </c>
      <c r="N105">
        <v>59251735</v>
      </c>
    </row>
    <row r="106" spans="1:14" x14ac:dyDescent="0.35">
      <c r="A106">
        <v>11104</v>
      </c>
      <c r="C106" s="2" t="s">
        <v>883</v>
      </c>
      <c r="D106" t="s">
        <v>1108</v>
      </c>
      <c r="E106" t="s">
        <v>2108</v>
      </c>
      <c r="F106" t="s">
        <v>3062</v>
      </c>
      <c r="G106" t="s">
        <v>3758</v>
      </c>
      <c r="J106" t="s">
        <v>228</v>
      </c>
      <c r="N106">
        <v>59251736</v>
      </c>
    </row>
    <row r="107" spans="1:14" x14ac:dyDescent="0.35">
      <c r="A107">
        <v>11105</v>
      </c>
      <c r="C107" s="2" t="s">
        <v>883</v>
      </c>
      <c r="D107" t="s">
        <v>1109</v>
      </c>
      <c r="E107" t="s">
        <v>2109</v>
      </c>
      <c r="F107" t="s">
        <v>3004</v>
      </c>
      <c r="G107" t="s">
        <v>3759</v>
      </c>
      <c r="J107" t="s">
        <v>228</v>
      </c>
      <c r="N107">
        <v>59251737</v>
      </c>
    </row>
    <row r="108" spans="1:14" x14ac:dyDescent="0.35">
      <c r="A108">
        <v>11106</v>
      </c>
      <c r="C108" s="2" t="s">
        <v>883</v>
      </c>
      <c r="D108" t="s">
        <v>1110</v>
      </c>
      <c r="E108" t="s">
        <v>2110</v>
      </c>
      <c r="F108" t="s">
        <v>3040</v>
      </c>
      <c r="G108" t="s">
        <v>3760</v>
      </c>
      <c r="J108" t="s">
        <v>228</v>
      </c>
      <c r="N108">
        <v>59251738</v>
      </c>
    </row>
    <row r="109" spans="1:14" x14ac:dyDescent="0.35">
      <c r="A109">
        <v>11107</v>
      </c>
      <c r="C109" s="2" t="s">
        <v>883</v>
      </c>
      <c r="D109" t="s">
        <v>1111</v>
      </c>
      <c r="E109" t="s">
        <v>2111</v>
      </c>
      <c r="F109" t="s">
        <v>3087</v>
      </c>
      <c r="G109" t="s">
        <v>3761</v>
      </c>
      <c r="J109" t="s">
        <v>228</v>
      </c>
      <c r="N109">
        <v>59251739</v>
      </c>
    </row>
    <row r="110" spans="1:14" x14ac:dyDescent="0.35">
      <c r="A110">
        <v>11108</v>
      </c>
      <c r="C110" s="2" t="s">
        <v>883</v>
      </c>
      <c r="D110" t="s">
        <v>1112</v>
      </c>
      <c r="E110" t="s">
        <v>2112</v>
      </c>
      <c r="F110" t="s">
        <v>3011</v>
      </c>
      <c r="G110" t="s">
        <v>3762</v>
      </c>
      <c r="J110" t="s">
        <v>228</v>
      </c>
      <c r="N110">
        <v>59251740</v>
      </c>
    </row>
    <row r="111" spans="1:14" x14ac:dyDescent="0.35">
      <c r="A111">
        <v>11109</v>
      </c>
      <c r="C111" s="2" t="s">
        <v>883</v>
      </c>
      <c r="D111" t="s">
        <v>1113</v>
      </c>
      <c r="E111" t="s">
        <v>2113</v>
      </c>
      <c r="F111" t="s">
        <v>3088</v>
      </c>
      <c r="G111" t="s">
        <v>3763</v>
      </c>
      <c r="J111" t="s">
        <v>228</v>
      </c>
      <c r="N111">
        <v>59251741</v>
      </c>
    </row>
    <row r="112" spans="1:14" x14ac:dyDescent="0.35">
      <c r="A112">
        <v>11110</v>
      </c>
      <c r="C112" s="2" t="s">
        <v>883</v>
      </c>
      <c r="D112" t="s">
        <v>1114</v>
      </c>
      <c r="E112" t="s">
        <v>2114</v>
      </c>
      <c r="F112" t="s">
        <v>3064</v>
      </c>
      <c r="G112" t="s">
        <v>3764</v>
      </c>
      <c r="J112" t="s">
        <v>228</v>
      </c>
      <c r="N112">
        <v>59251742</v>
      </c>
    </row>
    <row r="113" spans="1:14" x14ac:dyDescent="0.35">
      <c r="A113">
        <v>11111</v>
      </c>
      <c r="C113" s="2" t="s">
        <v>883</v>
      </c>
      <c r="D113" t="s">
        <v>1115</v>
      </c>
      <c r="E113" t="s">
        <v>2115</v>
      </c>
      <c r="F113" t="s">
        <v>3089</v>
      </c>
      <c r="G113" t="s">
        <v>3765</v>
      </c>
      <c r="J113" t="s">
        <v>228</v>
      </c>
      <c r="N113">
        <v>59251743</v>
      </c>
    </row>
    <row r="114" spans="1:14" x14ac:dyDescent="0.35">
      <c r="A114">
        <v>11112</v>
      </c>
      <c r="C114" s="2" t="s">
        <v>883</v>
      </c>
      <c r="D114" t="s">
        <v>1116</v>
      </c>
      <c r="E114" t="s">
        <v>2116</v>
      </c>
      <c r="F114" t="s">
        <v>3090</v>
      </c>
      <c r="G114" t="s">
        <v>3766</v>
      </c>
      <c r="J114" t="s">
        <v>228</v>
      </c>
      <c r="N114">
        <v>59251744</v>
      </c>
    </row>
    <row r="115" spans="1:14" x14ac:dyDescent="0.35">
      <c r="A115">
        <v>11113</v>
      </c>
      <c r="C115" s="2" t="s">
        <v>883</v>
      </c>
      <c r="D115" t="s">
        <v>1117</v>
      </c>
      <c r="E115" t="s">
        <v>2117</v>
      </c>
      <c r="F115" t="s">
        <v>3007</v>
      </c>
      <c r="G115" t="s">
        <v>3767</v>
      </c>
      <c r="J115" t="s">
        <v>228</v>
      </c>
      <c r="N115">
        <v>59251745</v>
      </c>
    </row>
    <row r="116" spans="1:14" x14ac:dyDescent="0.35">
      <c r="A116">
        <v>11114</v>
      </c>
      <c r="C116" s="2" t="s">
        <v>883</v>
      </c>
      <c r="D116" t="s">
        <v>1118</v>
      </c>
      <c r="E116" t="s">
        <v>2118</v>
      </c>
      <c r="F116" t="s">
        <v>3081</v>
      </c>
      <c r="G116" t="s">
        <v>3768</v>
      </c>
      <c r="J116" t="s">
        <v>228</v>
      </c>
      <c r="N116">
        <v>59251746</v>
      </c>
    </row>
    <row r="117" spans="1:14" x14ac:dyDescent="0.35">
      <c r="A117">
        <v>11115</v>
      </c>
      <c r="C117" s="2" t="s">
        <v>883</v>
      </c>
      <c r="D117" t="s">
        <v>1119</v>
      </c>
      <c r="E117" t="s">
        <v>2119</v>
      </c>
      <c r="F117" t="s">
        <v>3053</v>
      </c>
      <c r="G117" t="s">
        <v>3769</v>
      </c>
      <c r="J117" t="s">
        <v>228</v>
      </c>
      <c r="N117">
        <v>59251747</v>
      </c>
    </row>
    <row r="118" spans="1:14" x14ac:dyDescent="0.35">
      <c r="A118">
        <v>11116</v>
      </c>
      <c r="C118" s="2" t="s">
        <v>883</v>
      </c>
      <c r="D118" t="s">
        <v>1120</v>
      </c>
      <c r="E118" t="s">
        <v>2120</v>
      </c>
      <c r="F118" t="s">
        <v>3006</v>
      </c>
      <c r="G118" t="s">
        <v>3770</v>
      </c>
      <c r="J118" t="s">
        <v>228</v>
      </c>
      <c r="N118">
        <v>59251748</v>
      </c>
    </row>
    <row r="119" spans="1:14" x14ac:dyDescent="0.35">
      <c r="A119">
        <v>11117</v>
      </c>
      <c r="C119" s="2" t="s">
        <v>883</v>
      </c>
      <c r="D119" t="s">
        <v>1121</v>
      </c>
      <c r="E119" t="s">
        <v>2121</v>
      </c>
      <c r="F119" t="s">
        <v>3029</v>
      </c>
      <c r="G119" t="s">
        <v>3771</v>
      </c>
      <c r="J119" t="s">
        <v>228</v>
      </c>
      <c r="N119">
        <v>59251749</v>
      </c>
    </row>
    <row r="120" spans="1:14" x14ac:dyDescent="0.35">
      <c r="A120">
        <v>11118</v>
      </c>
      <c r="C120" s="2" t="s">
        <v>883</v>
      </c>
      <c r="D120" t="s">
        <v>1122</v>
      </c>
      <c r="E120" t="s">
        <v>2122</v>
      </c>
      <c r="F120" t="s">
        <v>3052</v>
      </c>
      <c r="G120" t="s">
        <v>3772</v>
      </c>
      <c r="J120" t="s">
        <v>228</v>
      </c>
      <c r="N120">
        <v>59251750</v>
      </c>
    </row>
    <row r="121" spans="1:14" x14ac:dyDescent="0.35">
      <c r="A121">
        <v>11119</v>
      </c>
      <c r="C121" s="2" t="s">
        <v>883</v>
      </c>
      <c r="D121" t="s">
        <v>1123</v>
      </c>
      <c r="E121" t="s">
        <v>2123</v>
      </c>
      <c r="F121" t="s">
        <v>3091</v>
      </c>
      <c r="G121" t="s">
        <v>3773</v>
      </c>
      <c r="J121" t="s">
        <v>228</v>
      </c>
      <c r="N121">
        <v>59251751</v>
      </c>
    </row>
    <row r="122" spans="1:14" x14ac:dyDescent="0.35">
      <c r="A122">
        <v>11120</v>
      </c>
      <c r="C122" s="2" t="s">
        <v>883</v>
      </c>
      <c r="D122" t="s">
        <v>1124</v>
      </c>
      <c r="E122" t="s">
        <v>2124</v>
      </c>
      <c r="F122" t="s">
        <v>3010</v>
      </c>
      <c r="G122" t="s">
        <v>3774</v>
      </c>
      <c r="J122" t="s">
        <v>228</v>
      </c>
      <c r="N122">
        <v>59251752</v>
      </c>
    </row>
    <row r="123" spans="1:14" x14ac:dyDescent="0.35">
      <c r="A123">
        <v>11121</v>
      </c>
      <c r="C123" s="2" t="s">
        <v>883</v>
      </c>
      <c r="D123" t="s">
        <v>1125</v>
      </c>
      <c r="E123" t="s">
        <v>2125</v>
      </c>
      <c r="F123" t="s">
        <v>3092</v>
      </c>
      <c r="G123" t="s">
        <v>3775</v>
      </c>
      <c r="J123" t="s">
        <v>228</v>
      </c>
      <c r="N123">
        <v>59251753</v>
      </c>
    </row>
    <row r="124" spans="1:14" x14ac:dyDescent="0.35">
      <c r="A124">
        <v>11122</v>
      </c>
      <c r="C124" s="2" t="s">
        <v>883</v>
      </c>
      <c r="D124" t="s">
        <v>1126</v>
      </c>
      <c r="E124" t="s">
        <v>2126</v>
      </c>
      <c r="F124" t="s">
        <v>3030</v>
      </c>
      <c r="G124" t="s">
        <v>3776</v>
      </c>
      <c r="J124" t="s">
        <v>228</v>
      </c>
      <c r="N124">
        <v>59251754</v>
      </c>
    </row>
    <row r="125" spans="1:14" x14ac:dyDescent="0.35">
      <c r="A125">
        <v>11123</v>
      </c>
      <c r="C125" s="2" t="s">
        <v>883</v>
      </c>
      <c r="D125" t="s">
        <v>1127</v>
      </c>
      <c r="E125" t="s">
        <v>2127</v>
      </c>
      <c r="F125" t="s">
        <v>3053</v>
      </c>
      <c r="G125" t="s">
        <v>3777</v>
      </c>
      <c r="J125" t="s">
        <v>228</v>
      </c>
      <c r="N125">
        <v>59251755</v>
      </c>
    </row>
    <row r="126" spans="1:14" x14ac:dyDescent="0.35">
      <c r="A126">
        <v>11124</v>
      </c>
      <c r="C126" s="2" t="s">
        <v>883</v>
      </c>
      <c r="D126" t="s">
        <v>1128</v>
      </c>
      <c r="E126" t="s">
        <v>2128</v>
      </c>
      <c r="F126" t="s">
        <v>3009</v>
      </c>
      <c r="G126" t="s">
        <v>3778</v>
      </c>
      <c r="J126" t="s">
        <v>228</v>
      </c>
      <c r="N126">
        <v>59251756</v>
      </c>
    </row>
    <row r="127" spans="1:14" x14ac:dyDescent="0.35">
      <c r="A127">
        <v>11125</v>
      </c>
      <c r="C127" s="2" t="s">
        <v>883</v>
      </c>
      <c r="D127" t="s">
        <v>1129</v>
      </c>
      <c r="E127" t="s">
        <v>2129</v>
      </c>
      <c r="F127" t="s">
        <v>3093</v>
      </c>
      <c r="G127" t="s">
        <v>3779</v>
      </c>
      <c r="J127" t="s">
        <v>228</v>
      </c>
      <c r="N127">
        <v>59251757</v>
      </c>
    </row>
    <row r="128" spans="1:14" x14ac:dyDescent="0.35">
      <c r="A128">
        <v>11126</v>
      </c>
      <c r="C128" s="2" t="s">
        <v>883</v>
      </c>
      <c r="D128" t="s">
        <v>1130</v>
      </c>
      <c r="E128" t="s">
        <v>2130</v>
      </c>
      <c r="F128" t="s">
        <v>3044</v>
      </c>
      <c r="G128" t="s">
        <v>3780</v>
      </c>
      <c r="J128" t="s">
        <v>228</v>
      </c>
      <c r="N128">
        <v>59251758</v>
      </c>
    </row>
    <row r="129" spans="1:14" x14ac:dyDescent="0.35">
      <c r="A129">
        <v>11127</v>
      </c>
      <c r="C129" s="2" t="s">
        <v>883</v>
      </c>
      <c r="D129" t="s">
        <v>1131</v>
      </c>
      <c r="E129" t="s">
        <v>2131</v>
      </c>
      <c r="F129" t="s">
        <v>3094</v>
      </c>
      <c r="G129" t="s">
        <v>3781</v>
      </c>
      <c r="J129" t="s">
        <v>228</v>
      </c>
      <c r="N129">
        <v>59251759</v>
      </c>
    </row>
    <row r="130" spans="1:14" x14ac:dyDescent="0.35">
      <c r="A130">
        <v>11128</v>
      </c>
      <c r="C130" s="2" t="s">
        <v>883</v>
      </c>
      <c r="D130" t="s">
        <v>1132</v>
      </c>
      <c r="E130" t="s">
        <v>2132</v>
      </c>
      <c r="F130" t="s">
        <v>3095</v>
      </c>
      <c r="G130" t="s">
        <v>3782</v>
      </c>
      <c r="J130" t="s">
        <v>228</v>
      </c>
      <c r="N130">
        <v>59251760</v>
      </c>
    </row>
    <row r="131" spans="1:14" x14ac:dyDescent="0.35">
      <c r="A131">
        <v>11129</v>
      </c>
      <c r="C131" s="2" t="s">
        <v>883</v>
      </c>
      <c r="D131" t="s">
        <v>1133</v>
      </c>
      <c r="E131" t="s">
        <v>2133</v>
      </c>
      <c r="F131" t="s">
        <v>3096</v>
      </c>
      <c r="G131" t="s">
        <v>3783</v>
      </c>
      <c r="J131" t="s">
        <v>228</v>
      </c>
      <c r="N131">
        <v>59251761</v>
      </c>
    </row>
    <row r="132" spans="1:14" x14ac:dyDescent="0.35">
      <c r="A132">
        <v>11130</v>
      </c>
      <c r="C132" s="2" t="s">
        <v>883</v>
      </c>
      <c r="D132" t="s">
        <v>1134</v>
      </c>
      <c r="E132" t="s">
        <v>2134</v>
      </c>
      <c r="F132" t="s">
        <v>3097</v>
      </c>
      <c r="G132" t="s">
        <v>3784</v>
      </c>
      <c r="J132" t="s">
        <v>228</v>
      </c>
      <c r="N132">
        <v>59251762</v>
      </c>
    </row>
    <row r="133" spans="1:14" x14ac:dyDescent="0.35">
      <c r="A133">
        <v>11131</v>
      </c>
      <c r="C133" s="2" t="s">
        <v>883</v>
      </c>
      <c r="D133" t="s">
        <v>1135</v>
      </c>
      <c r="E133" t="s">
        <v>2135</v>
      </c>
      <c r="F133" t="s">
        <v>3098</v>
      </c>
      <c r="G133" t="s">
        <v>3785</v>
      </c>
      <c r="J133" t="s">
        <v>228</v>
      </c>
      <c r="N133">
        <v>59251763</v>
      </c>
    </row>
    <row r="134" spans="1:14" x14ac:dyDescent="0.35">
      <c r="A134">
        <v>11132</v>
      </c>
      <c r="C134" s="2" t="s">
        <v>883</v>
      </c>
      <c r="D134" t="s">
        <v>1136</v>
      </c>
      <c r="E134" t="s">
        <v>2136</v>
      </c>
      <c r="F134" t="s">
        <v>3099</v>
      </c>
      <c r="G134" t="s">
        <v>3786</v>
      </c>
      <c r="J134" t="s">
        <v>228</v>
      </c>
      <c r="N134">
        <v>59251764</v>
      </c>
    </row>
    <row r="135" spans="1:14" x14ac:dyDescent="0.35">
      <c r="A135">
        <v>11133</v>
      </c>
      <c r="C135" s="2" t="s">
        <v>883</v>
      </c>
      <c r="D135" t="s">
        <v>1137</v>
      </c>
      <c r="E135" t="s">
        <v>2137</v>
      </c>
      <c r="F135" t="s">
        <v>3100</v>
      </c>
      <c r="G135" t="s">
        <v>3787</v>
      </c>
      <c r="J135" t="s">
        <v>228</v>
      </c>
      <c r="N135">
        <v>59251765</v>
      </c>
    </row>
    <row r="136" spans="1:14" x14ac:dyDescent="0.35">
      <c r="A136">
        <v>11134</v>
      </c>
      <c r="C136" s="2" t="s">
        <v>883</v>
      </c>
      <c r="D136" t="s">
        <v>1138</v>
      </c>
      <c r="E136" t="s">
        <v>2138</v>
      </c>
      <c r="F136" t="s">
        <v>3061</v>
      </c>
      <c r="G136" t="s">
        <v>3788</v>
      </c>
      <c r="J136" t="s">
        <v>228</v>
      </c>
      <c r="N136">
        <v>59251766</v>
      </c>
    </row>
    <row r="137" spans="1:14" x14ac:dyDescent="0.35">
      <c r="A137">
        <v>11135</v>
      </c>
      <c r="C137" s="2" t="s">
        <v>883</v>
      </c>
      <c r="D137" t="s">
        <v>1139</v>
      </c>
      <c r="E137" t="s">
        <v>2139</v>
      </c>
      <c r="F137" t="s">
        <v>3101</v>
      </c>
      <c r="G137" t="s">
        <v>3789</v>
      </c>
      <c r="J137" t="s">
        <v>228</v>
      </c>
      <c r="N137">
        <v>59251767</v>
      </c>
    </row>
    <row r="138" spans="1:14" x14ac:dyDescent="0.35">
      <c r="A138">
        <v>11136</v>
      </c>
      <c r="C138" s="2" t="s">
        <v>883</v>
      </c>
      <c r="D138" t="s">
        <v>1140</v>
      </c>
      <c r="E138" t="s">
        <v>2140</v>
      </c>
      <c r="F138" t="s">
        <v>3102</v>
      </c>
      <c r="G138" t="s">
        <v>3790</v>
      </c>
      <c r="J138" t="s">
        <v>228</v>
      </c>
      <c r="N138">
        <v>59251768</v>
      </c>
    </row>
    <row r="139" spans="1:14" x14ac:dyDescent="0.35">
      <c r="A139">
        <v>11137</v>
      </c>
      <c r="C139" s="2" t="s">
        <v>883</v>
      </c>
      <c r="D139" t="s">
        <v>1141</v>
      </c>
      <c r="E139" t="s">
        <v>2141</v>
      </c>
      <c r="F139" t="s">
        <v>3103</v>
      </c>
      <c r="G139" t="s">
        <v>3791</v>
      </c>
      <c r="J139" t="s">
        <v>228</v>
      </c>
      <c r="N139">
        <v>59251769</v>
      </c>
    </row>
    <row r="140" spans="1:14" x14ac:dyDescent="0.35">
      <c r="A140">
        <v>11138</v>
      </c>
      <c r="C140" s="2" t="s">
        <v>883</v>
      </c>
      <c r="D140" t="s">
        <v>1142</v>
      </c>
      <c r="E140" t="s">
        <v>2142</v>
      </c>
      <c r="F140" t="s">
        <v>3104</v>
      </c>
      <c r="G140" t="s">
        <v>3792</v>
      </c>
      <c r="J140" t="s">
        <v>228</v>
      </c>
      <c r="N140">
        <v>59251770</v>
      </c>
    </row>
    <row r="141" spans="1:14" x14ac:dyDescent="0.35">
      <c r="A141">
        <v>11139</v>
      </c>
      <c r="C141" s="2" t="s">
        <v>883</v>
      </c>
      <c r="D141" t="s">
        <v>1143</v>
      </c>
      <c r="E141" t="s">
        <v>2143</v>
      </c>
      <c r="F141" t="s">
        <v>3063</v>
      </c>
      <c r="G141" t="s">
        <v>3793</v>
      </c>
      <c r="J141" t="s">
        <v>228</v>
      </c>
      <c r="N141">
        <v>59251771</v>
      </c>
    </row>
    <row r="142" spans="1:14" x14ac:dyDescent="0.35">
      <c r="A142">
        <v>11140</v>
      </c>
      <c r="C142" s="2" t="s">
        <v>883</v>
      </c>
      <c r="D142" t="s">
        <v>1144</v>
      </c>
      <c r="E142" t="s">
        <v>2144</v>
      </c>
      <c r="F142" t="s">
        <v>3105</v>
      </c>
      <c r="G142" t="s">
        <v>3794</v>
      </c>
      <c r="J142" t="s">
        <v>228</v>
      </c>
      <c r="N142">
        <v>59251772</v>
      </c>
    </row>
    <row r="143" spans="1:14" x14ac:dyDescent="0.35">
      <c r="A143">
        <v>11141</v>
      </c>
      <c r="C143" s="2" t="s">
        <v>883</v>
      </c>
      <c r="D143" t="s">
        <v>1145</v>
      </c>
      <c r="E143" t="s">
        <v>2145</v>
      </c>
      <c r="F143" t="s">
        <v>3106</v>
      </c>
      <c r="G143" t="s">
        <v>3795</v>
      </c>
      <c r="J143" t="s">
        <v>228</v>
      </c>
      <c r="N143">
        <v>59251773</v>
      </c>
    </row>
    <row r="144" spans="1:14" x14ac:dyDescent="0.35">
      <c r="A144">
        <v>11142</v>
      </c>
      <c r="C144" s="2" t="s">
        <v>883</v>
      </c>
      <c r="D144" t="s">
        <v>1146</v>
      </c>
      <c r="E144" t="s">
        <v>2146</v>
      </c>
      <c r="F144" t="s">
        <v>3107</v>
      </c>
      <c r="G144" t="s">
        <v>3796</v>
      </c>
      <c r="J144" t="s">
        <v>228</v>
      </c>
      <c r="N144">
        <v>59251774</v>
      </c>
    </row>
    <row r="145" spans="1:14" x14ac:dyDescent="0.35">
      <c r="A145">
        <v>11143</v>
      </c>
      <c r="C145" s="2" t="s">
        <v>883</v>
      </c>
      <c r="D145" t="s">
        <v>1147</v>
      </c>
      <c r="E145" t="s">
        <v>2147</v>
      </c>
      <c r="F145" t="s">
        <v>3108</v>
      </c>
      <c r="G145" t="s">
        <v>3797</v>
      </c>
      <c r="J145" t="s">
        <v>228</v>
      </c>
      <c r="N145">
        <v>59251775</v>
      </c>
    </row>
    <row r="146" spans="1:14" x14ac:dyDescent="0.35">
      <c r="A146">
        <v>11144</v>
      </c>
      <c r="C146" s="2" t="s">
        <v>883</v>
      </c>
      <c r="D146" t="s">
        <v>1148</v>
      </c>
      <c r="E146" t="s">
        <v>2148</v>
      </c>
      <c r="F146" t="s">
        <v>3109</v>
      </c>
      <c r="G146" t="s">
        <v>3798</v>
      </c>
      <c r="J146" t="s">
        <v>228</v>
      </c>
      <c r="N146">
        <v>59251776</v>
      </c>
    </row>
    <row r="147" spans="1:14" x14ac:dyDescent="0.35">
      <c r="A147">
        <v>11145</v>
      </c>
      <c r="C147" s="2" t="s">
        <v>883</v>
      </c>
      <c r="D147" t="s">
        <v>1149</v>
      </c>
      <c r="E147" t="s">
        <v>2149</v>
      </c>
      <c r="F147" t="s">
        <v>3110</v>
      </c>
      <c r="G147" t="s">
        <v>3799</v>
      </c>
      <c r="J147" t="s">
        <v>228</v>
      </c>
      <c r="N147">
        <v>59251777</v>
      </c>
    </row>
    <row r="148" spans="1:14" x14ac:dyDescent="0.35">
      <c r="A148">
        <v>11146</v>
      </c>
      <c r="C148" s="2" t="s">
        <v>883</v>
      </c>
      <c r="D148" t="s">
        <v>1150</v>
      </c>
      <c r="E148" t="s">
        <v>2150</v>
      </c>
      <c r="F148" t="s">
        <v>3019</v>
      </c>
      <c r="G148" t="s">
        <v>3800</v>
      </c>
      <c r="J148" t="s">
        <v>228</v>
      </c>
      <c r="N148">
        <v>59251778</v>
      </c>
    </row>
    <row r="149" spans="1:14" x14ac:dyDescent="0.35">
      <c r="A149">
        <v>11147</v>
      </c>
      <c r="C149" s="2" t="s">
        <v>883</v>
      </c>
      <c r="D149" t="s">
        <v>1151</v>
      </c>
      <c r="E149" t="s">
        <v>2151</v>
      </c>
      <c r="F149" t="s">
        <v>3111</v>
      </c>
      <c r="G149" t="s">
        <v>3801</v>
      </c>
      <c r="J149" t="s">
        <v>228</v>
      </c>
      <c r="N149">
        <v>59251779</v>
      </c>
    </row>
    <row r="150" spans="1:14" x14ac:dyDescent="0.35">
      <c r="A150">
        <v>11148</v>
      </c>
      <c r="C150" s="2" t="s">
        <v>883</v>
      </c>
      <c r="D150" t="s">
        <v>1152</v>
      </c>
      <c r="E150" t="s">
        <v>2152</v>
      </c>
      <c r="F150" t="s">
        <v>3040</v>
      </c>
      <c r="G150" t="s">
        <v>3802</v>
      </c>
      <c r="J150" t="s">
        <v>228</v>
      </c>
      <c r="N150">
        <v>59251780</v>
      </c>
    </row>
    <row r="151" spans="1:14" x14ac:dyDescent="0.35">
      <c r="A151">
        <v>11149</v>
      </c>
      <c r="C151" s="2" t="s">
        <v>883</v>
      </c>
      <c r="D151" t="s">
        <v>1153</v>
      </c>
      <c r="E151" t="s">
        <v>2153</v>
      </c>
      <c r="F151" t="s">
        <v>3112</v>
      </c>
      <c r="G151" t="s">
        <v>3803</v>
      </c>
      <c r="J151" t="s">
        <v>228</v>
      </c>
      <c r="N151">
        <v>59251781</v>
      </c>
    </row>
    <row r="152" spans="1:14" x14ac:dyDescent="0.35">
      <c r="A152">
        <v>11150</v>
      </c>
      <c r="C152" s="2" t="s">
        <v>883</v>
      </c>
      <c r="D152" t="s">
        <v>1154</v>
      </c>
      <c r="E152" t="s">
        <v>2154</v>
      </c>
      <c r="F152" t="s">
        <v>3053</v>
      </c>
      <c r="G152" t="s">
        <v>3804</v>
      </c>
      <c r="J152" t="s">
        <v>228</v>
      </c>
      <c r="N152">
        <v>59251782</v>
      </c>
    </row>
    <row r="153" spans="1:14" x14ac:dyDescent="0.35">
      <c r="A153">
        <v>11151</v>
      </c>
      <c r="C153" s="2" t="s">
        <v>883</v>
      </c>
      <c r="D153" t="s">
        <v>1155</v>
      </c>
      <c r="E153" t="s">
        <v>2155</v>
      </c>
      <c r="F153" t="s">
        <v>3012</v>
      </c>
      <c r="G153" t="s">
        <v>3805</v>
      </c>
      <c r="J153" t="s">
        <v>228</v>
      </c>
      <c r="N153">
        <v>59251783</v>
      </c>
    </row>
    <row r="154" spans="1:14" x14ac:dyDescent="0.35">
      <c r="A154">
        <v>11152</v>
      </c>
      <c r="C154" s="2" t="s">
        <v>883</v>
      </c>
      <c r="D154" t="s">
        <v>1156</v>
      </c>
      <c r="E154" t="s">
        <v>2156</v>
      </c>
      <c r="F154" t="s">
        <v>3113</v>
      </c>
      <c r="G154" t="s">
        <v>3806</v>
      </c>
      <c r="J154" t="s">
        <v>228</v>
      </c>
      <c r="N154">
        <v>59251784</v>
      </c>
    </row>
    <row r="155" spans="1:14" x14ac:dyDescent="0.35">
      <c r="A155">
        <v>11153</v>
      </c>
      <c r="C155" s="2" t="s">
        <v>883</v>
      </c>
      <c r="D155" t="s">
        <v>1157</v>
      </c>
      <c r="E155" t="s">
        <v>2157</v>
      </c>
      <c r="F155" t="s">
        <v>3114</v>
      </c>
      <c r="G155" t="s">
        <v>3807</v>
      </c>
      <c r="J155" t="s">
        <v>228</v>
      </c>
      <c r="N155">
        <v>59251785</v>
      </c>
    </row>
    <row r="156" spans="1:14" x14ac:dyDescent="0.35">
      <c r="A156">
        <v>11154</v>
      </c>
      <c r="C156" s="2" t="s">
        <v>883</v>
      </c>
      <c r="D156" t="s">
        <v>1158</v>
      </c>
      <c r="E156" t="s">
        <v>2158</v>
      </c>
      <c r="F156" t="s">
        <v>3115</v>
      </c>
      <c r="G156" t="s">
        <v>3808</v>
      </c>
      <c r="J156" t="s">
        <v>228</v>
      </c>
      <c r="N156">
        <v>59251786</v>
      </c>
    </row>
    <row r="157" spans="1:14" x14ac:dyDescent="0.35">
      <c r="A157">
        <v>11155</v>
      </c>
      <c r="C157" s="2" t="s">
        <v>883</v>
      </c>
      <c r="D157" t="s">
        <v>1159</v>
      </c>
      <c r="E157" t="s">
        <v>2159</v>
      </c>
      <c r="F157" t="s">
        <v>3116</v>
      </c>
      <c r="G157" t="s">
        <v>3809</v>
      </c>
      <c r="J157" t="s">
        <v>228</v>
      </c>
      <c r="N157">
        <v>59251787</v>
      </c>
    </row>
    <row r="158" spans="1:14" x14ac:dyDescent="0.35">
      <c r="A158">
        <v>11156</v>
      </c>
      <c r="C158" s="2" t="s">
        <v>883</v>
      </c>
      <c r="D158" t="s">
        <v>1160</v>
      </c>
      <c r="E158" t="s">
        <v>2160</v>
      </c>
      <c r="F158" t="s">
        <v>3117</v>
      </c>
      <c r="G158" t="s">
        <v>3810</v>
      </c>
      <c r="J158" t="s">
        <v>228</v>
      </c>
      <c r="N158">
        <v>59251788</v>
      </c>
    </row>
    <row r="159" spans="1:14" x14ac:dyDescent="0.35">
      <c r="A159">
        <v>11157</v>
      </c>
      <c r="C159" s="2" t="s">
        <v>883</v>
      </c>
      <c r="D159" t="s">
        <v>1161</v>
      </c>
      <c r="E159" t="s">
        <v>2161</v>
      </c>
      <c r="F159" t="s">
        <v>3118</v>
      </c>
      <c r="G159" t="s">
        <v>3811</v>
      </c>
      <c r="J159" t="s">
        <v>228</v>
      </c>
      <c r="N159">
        <v>59251789</v>
      </c>
    </row>
    <row r="160" spans="1:14" x14ac:dyDescent="0.35">
      <c r="A160">
        <v>11158</v>
      </c>
      <c r="C160" s="2" t="s">
        <v>883</v>
      </c>
      <c r="D160" t="s">
        <v>1162</v>
      </c>
      <c r="E160" t="s">
        <v>2162</v>
      </c>
      <c r="F160" t="s">
        <v>3119</v>
      </c>
      <c r="G160" t="s">
        <v>3812</v>
      </c>
      <c r="J160" t="s">
        <v>228</v>
      </c>
      <c r="N160">
        <v>59251790</v>
      </c>
    </row>
    <row r="161" spans="1:14" x14ac:dyDescent="0.35">
      <c r="A161">
        <v>11159</v>
      </c>
      <c r="C161" s="2" t="s">
        <v>883</v>
      </c>
      <c r="D161" t="s">
        <v>1163</v>
      </c>
      <c r="E161" t="s">
        <v>2163</v>
      </c>
      <c r="F161" t="s">
        <v>3120</v>
      </c>
      <c r="G161" t="s">
        <v>3813</v>
      </c>
      <c r="J161" t="s">
        <v>228</v>
      </c>
      <c r="N161">
        <v>59251791</v>
      </c>
    </row>
    <row r="162" spans="1:14" x14ac:dyDescent="0.35">
      <c r="A162">
        <v>11160</v>
      </c>
      <c r="C162" s="2" t="s">
        <v>883</v>
      </c>
      <c r="D162" t="s">
        <v>1164</v>
      </c>
      <c r="E162" t="s">
        <v>2164</v>
      </c>
      <c r="F162" t="s">
        <v>3121</v>
      </c>
      <c r="G162" t="s">
        <v>3814</v>
      </c>
      <c r="J162" t="s">
        <v>228</v>
      </c>
      <c r="N162">
        <v>59251792</v>
      </c>
    </row>
    <row r="163" spans="1:14" x14ac:dyDescent="0.35">
      <c r="A163">
        <v>11161</v>
      </c>
      <c r="C163" s="2" t="s">
        <v>883</v>
      </c>
      <c r="D163" t="s">
        <v>1165</v>
      </c>
      <c r="E163" t="s">
        <v>2165</v>
      </c>
      <c r="F163" t="s">
        <v>3122</v>
      </c>
      <c r="G163" t="s">
        <v>3815</v>
      </c>
      <c r="J163" t="s">
        <v>228</v>
      </c>
      <c r="N163">
        <v>59251793</v>
      </c>
    </row>
    <row r="164" spans="1:14" x14ac:dyDescent="0.35">
      <c r="A164">
        <v>11162</v>
      </c>
      <c r="C164" s="2" t="s">
        <v>883</v>
      </c>
      <c r="D164" t="s">
        <v>1166</v>
      </c>
      <c r="E164" t="s">
        <v>2166</v>
      </c>
      <c r="F164" t="s">
        <v>3123</v>
      </c>
      <c r="G164" t="s">
        <v>3816</v>
      </c>
      <c r="J164" t="s">
        <v>228</v>
      </c>
      <c r="N164">
        <v>59251794</v>
      </c>
    </row>
    <row r="165" spans="1:14" x14ac:dyDescent="0.35">
      <c r="A165">
        <v>11163</v>
      </c>
      <c r="C165" s="2" t="s">
        <v>883</v>
      </c>
      <c r="D165" t="s">
        <v>1167</v>
      </c>
      <c r="E165" t="s">
        <v>2167</v>
      </c>
      <c r="F165" t="s">
        <v>3124</v>
      </c>
      <c r="G165" t="s">
        <v>3817</v>
      </c>
      <c r="J165" t="s">
        <v>228</v>
      </c>
      <c r="N165">
        <v>59251795</v>
      </c>
    </row>
    <row r="166" spans="1:14" x14ac:dyDescent="0.35">
      <c r="A166">
        <v>11164</v>
      </c>
      <c r="C166" s="2" t="s">
        <v>883</v>
      </c>
      <c r="D166" t="s">
        <v>1168</v>
      </c>
      <c r="E166" t="s">
        <v>2168</v>
      </c>
      <c r="F166" t="s">
        <v>3125</v>
      </c>
      <c r="G166" t="s">
        <v>3818</v>
      </c>
      <c r="J166" t="s">
        <v>228</v>
      </c>
      <c r="N166">
        <v>59251796</v>
      </c>
    </row>
    <row r="167" spans="1:14" x14ac:dyDescent="0.35">
      <c r="A167">
        <v>11165</v>
      </c>
      <c r="C167" s="2" t="s">
        <v>883</v>
      </c>
      <c r="D167" t="s">
        <v>1169</v>
      </c>
      <c r="E167" t="s">
        <v>2169</v>
      </c>
      <c r="F167" t="s">
        <v>3126</v>
      </c>
      <c r="G167" t="s">
        <v>3819</v>
      </c>
      <c r="J167" t="s">
        <v>228</v>
      </c>
      <c r="N167">
        <v>59251797</v>
      </c>
    </row>
    <row r="168" spans="1:14" x14ac:dyDescent="0.35">
      <c r="A168">
        <v>11166</v>
      </c>
      <c r="C168" s="2" t="s">
        <v>883</v>
      </c>
      <c r="D168" t="s">
        <v>1170</v>
      </c>
      <c r="E168" t="s">
        <v>2170</v>
      </c>
      <c r="F168" t="s">
        <v>3127</v>
      </c>
      <c r="G168" t="s">
        <v>3820</v>
      </c>
      <c r="J168" t="s">
        <v>228</v>
      </c>
      <c r="N168">
        <v>59251798</v>
      </c>
    </row>
    <row r="169" spans="1:14" x14ac:dyDescent="0.35">
      <c r="A169">
        <v>11167</v>
      </c>
      <c r="C169" s="2" t="s">
        <v>883</v>
      </c>
      <c r="D169" t="s">
        <v>1171</v>
      </c>
      <c r="E169" t="s">
        <v>2171</v>
      </c>
      <c r="F169" t="s">
        <v>3128</v>
      </c>
      <c r="G169" t="s">
        <v>3821</v>
      </c>
      <c r="J169" t="s">
        <v>228</v>
      </c>
      <c r="N169">
        <v>59251799</v>
      </c>
    </row>
    <row r="170" spans="1:14" x14ac:dyDescent="0.35">
      <c r="A170">
        <v>11168</v>
      </c>
      <c r="C170" s="2" t="s">
        <v>883</v>
      </c>
      <c r="D170" t="s">
        <v>1172</v>
      </c>
      <c r="E170" t="s">
        <v>2172</v>
      </c>
      <c r="F170" t="s">
        <v>3129</v>
      </c>
      <c r="G170" t="s">
        <v>3822</v>
      </c>
      <c r="J170" t="s">
        <v>228</v>
      </c>
      <c r="N170">
        <v>59251800</v>
      </c>
    </row>
    <row r="171" spans="1:14" x14ac:dyDescent="0.35">
      <c r="A171">
        <v>11169</v>
      </c>
      <c r="C171" s="2" t="s">
        <v>883</v>
      </c>
      <c r="D171" t="s">
        <v>1173</v>
      </c>
      <c r="E171" t="s">
        <v>2173</v>
      </c>
      <c r="F171" t="s">
        <v>3130</v>
      </c>
      <c r="G171" t="s">
        <v>3823</v>
      </c>
      <c r="J171" t="s">
        <v>228</v>
      </c>
      <c r="N171">
        <v>59251801</v>
      </c>
    </row>
    <row r="172" spans="1:14" x14ac:dyDescent="0.35">
      <c r="A172">
        <v>11170</v>
      </c>
      <c r="C172" s="2" t="s">
        <v>883</v>
      </c>
      <c r="D172" t="s">
        <v>1174</v>
      </c>
      <c r="E172" t="s">
        <v>2174</v>
      </c>
      <c r="F172" t="s">
        <v>3131</v>
      </c>
      <c r="G172" t="s">
        <v>3824</v>
      </c>
      <c r="J172" t="s">
        <v>228</v>
      </c>
      <c r="N172">
        <v>59251802</v>
      </c>
    </row>
    <row r="173" spans="1:14" x14ac:dyDescent="0.35">
      <c r="A173">
        <v>11171</v>
      </c>
      <c r="C173" s="2" t="s">
        <v>883</v>
      </c>
      <c r="D173" t="s">
        <v>1175</v>
      </c>
      <c r="E173" t="s">
        <v>2175</v>
      </c>
      <c r="F173" t="s">
        <v>3132</v>
      </c>
      <c r="G173" t="s">
        <v>3825</v>
      </c>
      <c r="J173" t="s">
        <v>228</v>
      </c>
      <c r="N173">
        <v>59251803</v>
      </c>
    </row>
    <row r="174" spans="1:14" x14ac:dyDescent="0.35">
      <c r="A174">
        <v>11172</v>
      </c>
      <c r="C174" s="2" t="s">
        <v>883</v>
      </c>
      <c r="D174" t="s">
        <v>1176</v>
      </c>
      <c r="E174" t="s">
        <v>2176</v>
      </c>
      <c r="F174" t="s">
        <v>3133</v>
      </c>
      <c r="G174" t="s">
        <v>3826</v>
      </c>
      <c r="J174" t="s">
        <v>228</v>
      </c>
      <c r="N174">
        <v>59251804</v>
      </c>
    </row>
    <row r="175" spans="1:14" x14ac:dyDescent="0.35">
      <c r="A175">
        <v>11173</v>
      </c>
      <c r="C175" s="2" t="s">
        <v>883</v>
      </c>
      <c r="D175" t="s">
        <v>1177</v>
      </c>
      <c r="E175" t="s">
        <v>2177</v>
      </c>
      <c r="F175" t="s">
        <v>3134</v>
      </c>
      <c r="G175" t="s">
        <v>3827</v>
      </c>
      <c r="J175" t="s">
        <v>228</v>
      </c>
      <c r="N175">
        <v>59251805</v>
      </c>
    </row>
    <row r="176" spans="1:14" x14ac:dyDescent="0.35">
      <c r="A176">
        <v>11174</v>
      </c>
      <c r="C176" s="2" t="s">
        <v>883</v>
      </c>
      <c r="D176" t="s">
        <v>1178</v>
      </c>
      <c r="E176" t="s">
        <v>2178</v>
      </c>
      <c r="F176" t="s">
        <v>3135</v>
      </c>
      <c r="G176" t="s">
        <v>3828</v>
      </c>
      <c r="J176" t="s">
        <v>228</v>
      </c>
      <c r="N176">
        <v>59251806</v>
      </c>
    </row>
    <row r="177" spans="1:14" x14ac:dyDescent="0.35">
      <c r="A177">
        <v>11175</v>
      </c>
      <c r="C177" s="2" t="s">
        <v>883</v>
      </c>
      <c r="D177" t="s">
        <v>1179</v>
      </c>
      <c r="E177" t="s">
        <v>2179</v>
      </c>
      <c r="F177" t="s">
        <v>3136</v>
      </c>
      <c r="G177" t="s">
        <v>3829</v>
      </c>
      <c r="J177" t="s">
        <v>228</v>
      </c>
      <c r="N177">
        <v>59251807</v>
      </c>
    </row>
    <row r="178" spans="1:14" x14ac:dyDescent="0.35">
      <c r="A178">
        <v>11176</v>
      </c>
      <c r="C178" s="2" t="s">
        <v>883</v>
      </c>
      <c r="D178" t="s">
        <v>1180</v>
      </c>
      <c r="E178" t="s">
        <v>2180</v>
      </c>
      <c r="F178" t="s">
        <v>3137</v>
      </c>
      <c r="G178" t="s">
        <v>3830</v>
      </c>
      <c r="J178" t="s">
        <v>228</v>
      </c>
      <c r="N178">
        <v>59251808</v>
      </c>
    </row>
    <row r="179" spans="1:14" x14ac:dyDescent="0.35">
      <c r="A179">
        <v>11177</v>
      </c>
      <c r="C179" s="2" t="s">
        <v>883</v>
      </c>
      <c r="D179" t="s">
        <v>1181</v>
      </c>
      <c r="E179" t="s">
        <v>2181</v>
      </c>
      <c r="F179" t="s">
        <v>3138</v>
      </c>
      <c r="G179" t="s">
        <v>3831</v>
      </c>
      <c r="J179" t="s">
        <v>228</v>
      </c>
      <c r="N179">
        <v>59251809</v>
      </c>
    </row>
    <row r="180" spans="1:14" x14ac:dyDescent="0.35">
      <c r="A180">
        <v>11178</v>
      </c>
      <c r="C180" s="2" t="s">
        <v>883</v>
      </c>
      <c r="D180" t="s">
        <v>1182</v>
      </c>
      <c r="E180" t="s">
        <v>2182</v>
      </c>
      <c r="F180" t="s">
        <v>3139</v>
      </c>
      <c r="G180" t="s">
        <v>3832</v>
      </c>
      <c r="J180" t="s">
        <v>228</v>
      </c>
      <c r="N180">
        <v>59251810</v>
      </c>
    </row>
    <row r="181" spans="1:14" x14ac:dyDescent="0.35">
      <c r="A181">
        <v>11179</v>
      </c>
      <c r="C181" s="2" t="s">
        <v>883</v>
      </c>
      <c r="D181" t="s">
        <v>1183</v>
      </c>
      <c r="E181" t="s">
        <v>2183</v>
      </c>
      <c r="F181" t="s">
        <v>3140</v>
      </c>
      <c r="G181" t="s">
        <v>3833</v>
      </c>
      <c r="J181" t="s">
        <v>228</v>
      </c>
      <c r="N181">
        <v>59251811</v>
      </c>
    </row>
    <row r="182" spans="1:14" x14ac:dyDescent="0.35">
      <c r="A182">
        <v>11180</v>
      </c>
      <c r="C182" s="2" t="s">
        <v>883</v>
      </c>
      <c r="D182" t="s">
        <v>1184</v>
      </c>
      <c r="E182" t="s">
        <v>2184</v>
      </c>
      <c r="F182" t="s">
        <v>3141</v>
      </c>
      <c r="G182" t="s">
        <v>3834</v>
      </c>
      <c r="J182" t="s">
        <v>228</v>
      </c>
      <c r="N182">
        <v>59251812</v>
      </c>
    </row>
    <row r="183" spans="1:14" x14ac:dyDescent="0.35">
      <c r="A183">
        <v>11181</v>
      </c>
      <c r="C183" s="2" t="s">
        <v>883</v>
      </c>
      <c r="D183" t="s">
        <v>1185</v>
      </c>
      <c r="E183" t="s">
        <v>2185</v>
      </c>
      <c r="F183" t="s">
        <v>3142</v>
      </c>
      <c r="G183" t="s">
        <v>3835</v>
      </c>
      <c r="J183" t="s">
        <v>228</v>
      </c>
      <c r="N183">
        <v>59251813</v>
      </c>
    </row>
    <row r="184" spans="1:14" x14ac:dyDescent="0.35">
      <c r="A184">
        <v>11182</v>
      </c>
      <c r="C184" s="2" t="s">
        <v>883</v>
      </c>
      <c r="D184" t="s">
        <v>1186</v>
      </c>
      <c r="E184" t="s">
        <v>2186</v>
      </c>
      <c r="F184" t="s">
        <v>3143</v>
      </c>
      <c r="G184" t="s">
        <v>3836</v>
      </c>
      <c r="J184" t="s">
        <v>228</v>
      </c>
      <c r="N184">
        <v>59251814</v>
      </c>
    </row>
    <row r="185" spans="1:14" x14ac:dyDescent="0.35">
      <c r="A185">
        <v>11183</v>
      </c>
      <c r="C185" s="2" t="s">
        <v>883</v>
      </c>
      <c r="D185" t="s">
        <v>1187</v>
      </c>
      <c r="E185" t="s">
        <v>2187</v>
      </c>
      <c r="F185" t="s">
        <v>3144</v>
      </c>
      <c r="G185" t="s">
        <v>3837</v>
      </c>
      <c r="J185" t="s">
        <v>228</v>
      </c>
      <c r="N185">
        <v>59251815</v>
      </c>
    </row>
    <row r="186" spans="1:14" x14ac:dyDescent="0.35">
      <c r="A186">
        <v>11184</v>
      </c>
      <c r="C186" s="2" t="s">
        <v>883</v>
      </c>
      <c r="D186" t="s">
        <v>1188</v>
      </c>
      <c r="E186" t="s">
        <v>2188</v>
      </c>
      <c r="F186" t="s">
        <v>3145</v>
      </c>
      <c r="G186" t="s">
        <v>3838</v>
      </c>
      <c r="J186" t="s">
        <v>228</v>
      </c>
      <c r="N186">
        <v>59251816</v>
      </c>
    </row>
    <row r="187" spans="1:14" x14ac:dyDescent="0.35">
      <c r="A187">
        <v>11185</v>
      </c>
      <c r="C187" s="2" t="s">
        <v>883</v>
      </c>
      <c r="D187" t="s">
        <v>1189</v>
      </c>
      <c r="E187" t="s">
        <v>2189</v>
      </c>
      <c r="F187" t="s">
        <v>3146</v>
      </c>
      <c r="G187" t="s">
        <v>3839</v>
      </c>
      <c r="J187" t="s">
        <v>228</v>
      </c>
      <c r="N187">
        <v>59251817</v>
      </c>
    </row>
    <row r="188" spans="1:14" x14ac:dyDescent="0.35">
      <c r="A188">
        <v>11186</v>
      </c>
      <c r="C188" s="2" t="s">
        <v>883</v>
      </c>
      <c r="D188" t="s">
        <v>1190</v>
      </c>
      <c r="E188" t="s">
        <v>2190</v>
      </c>
      <c r="F188" t="s">
        <v>3147</v>
      </c>
      <c r="G188" t="s">
        <v>3840</v>
      </c>
      <c r="J188" t="s">
        <v>228</v>
      </c>
      <c r="N188">
        <v>59251818</v>
      </c>
    </row>
    <row r="189" spans="1:14" x14ac:dyDescent="0.35">
      <c r="A189">
        <v>11187</v>
      </c>
      <c r="C189" s="2" t="s">
        <v>883</v>
      </c>
      <c r="D189" t="s">
        <v>1191</v>
      </c>
      <c r="E189" t="s">
        <v>2191</v>
      </c>
      <c r="F189" t="s">
        <v>3148</v>
      </c>
      <c r="G189" t="s">
        <v>3841</v>
      </c>
      <c r="J189" t="s">
        <v>228</v>
      </c>
      <c r="N189">
        <v>59251819</v>
      </c>
    </row>
    <row r="190" spans="1:14" x14ac:dyDescent="0.35">
      <c r="A190">
        <v>11188</v>
      </c>
      <c r="C190" s="2" t="s">
        <v>883</v>
      </c>
      <c r="D190" t="s">
        <v>1192</v>
      </c>
      <c r="E190" t="s">
        <v>2192</v>
      </c>
      <c r="F190" t="s">
        <v>3149</v>
      </c>
      <c r="G190" t="s">
        <v>3842</v>
      </c>
      <c r="J190" t="s">
        <v>228</v>
      </c>
      <c r="N190">
        <v>59251820</v>
      </c>
    </row>
    <row r="191" spans="1:14" x14ac:dyDescent="0.35">
      <c r="A191">
        <v>11189</v>
      </c>
      <c r="C191" s="2" t="s">
        <v>883</v>
      </c>
      <c r="D191" t="s">
        <v>1193</v>
      </c>
      <c r="E191" t="s">
        <v>2193</v>
      </c>
      <c r="F191" t="s">
        <v>3150</v>
      </c>
      <c r="G191" t="s">
        <v>3837</v>
      </c>
      <c r="J191" t="s">
        <v>228</v>
      </c>
      <c r="N191">
        <v>59251821</v>
      </c>
    </row>
    <row r="192" spans="1:14" x14ac:dyDescent="0.35">
      <c r="A192">
        <v>11190</v>
      </c>
      <c r="C192" s="2" t="s">
        <v>883</v>
      </c>
      <c r="D192" t="s">
        <v>1194</v>
      </c>
      <c r="E192" t="s">
        <v>2194</v>
      </c>
      <c r="F192" t="s">
        <v>3151</v>
      </c>
      <c r="G192" t="s">
        <v>3843</v>
      </c>
      <c r="J192" t="s">
        <v>228</v>
      </c>
      <c r="N192">
        <v>59251822</v>
      </c>
    </row>
    <row r="193" spans="1:14" x14ac:dyDescent="0.35">
      <c r="A193">
        <v>11191</v>
      </c>
      <c r="C193" s="2" t="s">
        <v>883</v>
      </c>
      <c r="D193" t="s">
        <v>1195</v>
      </c>
      <c r="E193" t="s">
        <v>2195</v>
      </c>
      <c r="F193" t="s">
        <v>3152</v>
      </c>
      <c r="G193" t="s">
        <v>3844</v>
      </c>
      <c r="J193" t="s">
        <v>228</v>
      </c>
      <c r="N193">
        <v>59251823</v>
      </c>
    </row>
    <row r="194" spans="1:14" x14ac:dyDescent="0.35">
      <c r="A194">
        <v>11192</v>
      </c>
      <c r="C194" s="2" t="s">
        <v>883</v>
      </c>
      <c r="D194" t="s">
        <v>1196</v>
      </c>
      <c r="E194" t="s">
        <v>2196</v>
      </c>
      <c r="F194" t="s">
        <v>3153</v>
      </c>
      <c r="G194" t="s">
        <v>3845</v>
      </c>
      <c r="J194" t="s">
        <v>228</v>
      </c>
      <c r="N194">
        <v>59251824</v>
      </c>
    </row>
    <row r="195" spans="1:14" x14ac:dyDescent="0.35">
      <c r="A195">
        <v>11193</v>
      </c>
      <c r="C195" s="2" t="s">
        <v>883</v>
      </c>
      <c r="D195" t="s">
        <v>1197</v>
      </c>
      <c r="E195" t="s">
        <v>2197</v>
      </c>
      <c r="F195" t="s">
        <v>3154</v>
      </c>
      <c r="G195" t="s">
        <v>3846</v>
      </c>
      <c r="J195" t="s">
        <v>228</v>
      </c>
      <c r="N195">
        <v>59251825</v>
      </c>
    </row>
    <row r="196" spans="1:14" x14ac:dyDescent="0.35">
      <c r="A196">
        <v>11194</v>
      </c>
      <c r="C196" s="2" t="s">
        <v>883</v>
      </c>
      <c r="D196" t="s">
        <v>1198</v>
      </c>
      <c r="E196" t="s">
        <v>2198</v>
      </c>
      <c r="F196" t="s">
        <v>3155</v>
      </c>
      <c r="G196" t="s">
        <v>3847</v>
      </c>
      <c r="J196" t="s">
        <v>228</v>
      </c>
      <c r="N196">
        <v>59251826</v>
      </c>
    </row>
    <row r="197" spans="1:14" x14ac:dyDescent="0.35">
      <c r="A197">
        <v>11195</v>
      </c>
      <c r="C197" s="2" t="s">
        <v>883</v>
      </c>
      <c r="D197" t="s">
        <v>1199</v>
      </c>
      <c r="E197" t="s">
        <v>2199</v>
      </c>
      <c r="F197" t="s">
        <v>3156</v>
      </c>
      <c r="G197" t="s">
        <v>3848</v>
      </c>
      <c r="J197" t="s">
        <v>228</v>
      </c>
      <c r="N197">
        <v>59251827</v>
      </c>
    </row>
    <row r="198" spans="1:14" x14ac:dyDescent="0.35">
      <c r="A198">
        <v>11196</v>
      </c>
      <c r="C198" s="2" t="s">
        <v>883</v>
      </c>
      <c r="D198" t="s">
        <v>1200</v>
      </c>
      <c r="E198" t="s">
        <v>2200</v>
      </c>
      <c r="F198" t="s">
        <v>3157</v>
      </c>
      <c r="G198" t="s">
        <v>3849</v>
      </c>
      <c r="J198" t="s">
        <v>228</v>
      </c>
      <c r="N198">
        <v>59251828</v>
      </c>
    </row>
    <row r="199" spans="1:14" x14ac:dyDescent="0.35">
      <c r="A199">
        <v>11197</v>
      </c>
      <c r="C199" s="2" t="s">
        <v>883</v>
      </c>
      <c r="D199" t="s">
        <v>1201</v>
      </c>
      <c r="E199" t="s">
        <v>2201</v>
      </c>
      <c r="F199" t="s">
        <v>3158</v>
      </c>
      <c r="G199" t="s">
        <v>3850</v>
      </c>
      <c r="J199" t="s">
        <v>228</v>
      </c>
      <c r="N199">
        <v>59251829</v>
      </c>
    </row>
    <row r="200" spans="1:14" x14ac:dyDescent="0.35">
      <c r="A200">
        <v>11198</v>
      </c>
      <c r="C200" s="2" t="s">
        <v>883</v>
      </c>
      <c r="D200" t="s">
        <v>1202</v>
      </c>
      <c r="E200" t="s">
        <v>2202</v>
      </c>
      <c r="F200" t="s">
        <v>3159</v>
      </c>
      <c r="G200" t="s">
        <v>3851</v>
      </c>
      <c r="J200" t="s">
        <v>228</v>
      </c>
      <c r="N200">
        <v>59251830</v>
      </c>
    </row>
    <row r="201" spans="1:14" x14ac:dyDescent="0.35">
      <c r="A201">
        <v>11199</v>
      </c>
      <c r="C201" s="2" t="s">
        <v>883</v>
      </c>
      <c r="D201" t="s">
        <v>1203</v>
      </c>
      <c r="E201" t="s">
        <v>2203</v>
      </c>
      <c r="F201" t="s">
        <v>3160</v>
      </c>
      <c r="G201" t="s">
        <v>3852</v>
      </c>
      <c r="J201" t="s">
        <v>228</v>
      </c>
      <c r="N201">
        <v>59251831</v>
      </c>
    </row>
    <row r="202" spans="1:14" x14ac:dyDescent="0.35">
      <c r="A202">
        <v>11200</v>
      </c>
      <c r="C202" s="2" t="s">
        <v>883</v>
      </c>
      <c r="D202" t="s">
        <v>1204</v>
      </c>
      <c r="E202" t="s">
        <v>2204</v>
      </c>
      <c r="F202" t="s">
        <v>3161</v>
      </c>
      <c r="G202" t="s">
        <v>3853</v>
      </c>
      <c r="J202" t="s">
        <v>228</v>
      </c>
      <c r="N202">
        <v>59251832</v>
      </c>
    </row>
    <row r="203" spans="1:14" x14ac:dyDescent="0.35">
      <c r="A203">
        <v>11201</v>
      </c>
      <c r="C203" s="2" t="s">
        <v>883</v>
      </c>
      <c r="D203" t="s">
        <v>1205</v>
      </c>
      <c r="E203" t="s">
        <v>2205</v>
      </c>
      <c r="F203" t="s">
        <v>3162</v>
      </c>
      <c r="G203" t="s">
        <v>3854</v>
      </c>
      <c r="J203" t="s">
        <v>228</v>
      </c>
      <c r="N203">
        <v>59251833</v>
      </c>
    </row>
    <row r="204" spans="1:14" x14ac:dyDescent="0.35">
      <c r="A204">
        <v>11202</v>
      </c>
      <c r="C204" s="2" t="s">
        <v>883</v>
      </c>
      <c r="D204" t="s">
        <v>1206</v>
      </c>
      <c r="E204" t="s">
        <v>2206</v>
      </c>
      <c r="F204" t="s">
        <v>3163</v>
      </c>
      <c r="G204" t="s">
        <v>3855</v>
      </c>
      <c r="J204" t="s">
        <v>228</v>
      </c>
      <c r="N204">
        <v>59251834</v>
      </c>
    </row>
    <row r="205" spans="1:14" x14ac:dyDescent="0.35">
      <c r="A205">
        <v>11203</v>
      </c>
      <c r="C205" s="2" t="s">
        <v>883</v>
      </c>
      <c r="D205" t="s">
        <v>1207</v>
      </c>
      <c r="E205" t="s">
        <v>2207</v>
      </c>
      <c r="F205" t="s">
        <v>3164</v>
      </c>
      <c r="G205" t="s">
        <v>3856</v>
      </c>
      <c r="J205" t="s">
        <v>228</v>
      </c>
      <c r="N205">
        <v>59251835</v>
      </c>
    </row>
    <row r="206" spans="1:14" x14ac:dyDescent="0.35">
      <c r="A206">
        <v>11204</v>
      </c>
      <c r="C206" s="2" t="s">
        <v>883</v>
      </c>
      <c r="D206" t="s">
        <v>1208</v>
      </c>
      <c r="E206" t="s">
        <v>2208</v>
      </c>
      <c r="F206" t="s">
        <v>3165</v>
      </c>
      <c r="G206" t="s">
        <v>3857</v>
      </c>
      <c r="J206" t="s">
        <v>228</v>
      </c>
      <c r="N206">
        <v>59251836</v>
      </c>
    </row>
    <row r="207" spans="1:14" x14ac:dyDescent="0.35">
      <c r="A207">
        <v>11205</v>
      </c>
      <c r="C207" s="2" t="s">
        <v>883</v>
      </c>
      <c r="D207" t="s">
        <v>1209</v>
      </c>
      <c r="E207" t="s">
        <v>2209</v>
      </c>
      <c r="F207" t="s">
        <v>3166</v>
      </c>
      <c r="G207" t="s">
        <v>3858</v>
      </c>
      <c r="J207" t="s">
        <v>228</v>
      </c>
      <c r="N207">
        <v>59251837</v>
      </c>
    </row>
    <row r="208" spans="1:14" x14ac:dyDescent="0.35">
      <c r="A208">
        <v>11206</v>
      </c>
      <c r="C208" s="2" t="s">
        <v>883</v>
      </c>
      <c r="D208" t="s">
        <v>1210</v>
      </c>
      <c r="E208" t="s">
        <v>2210</v>
      </c>
      <c r="F208" t="s">
        <v>3167</v>
      </c>
      <c r="G208" t="s">
        <v>3859</v>
      </c>
      <c r="J208" t="s">
        <v>228</v>
      </c>
      <c r="N208">
        <v>59251838</v>
      </c>
    </row>
    <row r="209" spans="1:14" x14ac:dyDescent="0.35">
      <c r="A209">
        <v>11207</v>
      </c>
      <c r="C209" s="2" t="s">
        <v>883</v>
      </c>
      <c r="D209" t="s">
        <v>1211</v>
      </c>
      <c r="E209" t="s">
        <v>2211</v>
      </c>
      <c r="F209" t="s">
        <v>3168</v>
      </c>
      <c r="G209" t="s">
        <v>3860</v>
      </c>
      <c r="J209" t="s">
        <v>228</v>
      </c>
      <c r="N209">
        <v>59251839</v>
      </c>
    </row>
    <row r="210" spans="1:14" x14ac:dyDescent="0.35">
      <c r="A210">
        <v>11208</v>
      </c>
      <c r="C210" s="2" t="s">
        <v>883</v>
      </c>
      <c r="D210" t="s">
        <v>1212</v>
      </c>
      <c r="E210" t="s">
        <v>2212</v>
      </c>
      <c r="F210" t="s">
        <v>3169</v>
      </c>
      <c r="G210" t="s">
        <v>3861</v>
      </c>
      <c r="J210" t="s">
        <v>228</v>
      </c>
      <c r="N210">
        <v>59251840</v>
      </c>
    </row>
    <row r="211" spans="1:14" x14ac:dyDescent="0.35">
      <c r="A211">
        <v>11209</v>
      </c>
      <c r="C211" s="2" t="s">
        <v>883</v>
      </c>
      <c r="D211" t="s">
        <v>1213</v>
      </c>
      <c r="E211" t="s">
        <v>2213</v>
      </c>
      <c r="F211" t="s">
        <v>3170</v>
      </c>
      <c r="G211" t="s">
        <v>3862</v>
      </c>
      <c r="J211" t="s">
        <v>228</v>
      </c>
      <c r="N211">
        <v>59251841</v>
      </c>
    </row>
    <row r="212" spans="1:14" x14ac:dyDescent="0.35">
      <c r="A212">
        <v>11210</v>
      </c>
      <c r="C212" s="2" t="s">
        <v>883</v>
      </c>
      <c r="D212" t="s">
        <v>1214</v>
      </c>
      <c r="E212" t="s">
        <v>2214</v>
      </c>
      <c r="F212" t="s">
        <v>3171</v>
      </c>
      <c r="G212" t="s">
        <v>3863</v>
      </c>
      <c r="J212" t="s">
        <v>228</v>
      </c>
      <c r="N212">
        <v>59251842</v>
      </c>
    </row>
    <row r="213" spans="1:14" x14ac:dyDescent="0.35">
      <c r="A213">
        <v>11211</v>
      </c>
      <c r="C213" s="2" t="s">
        <v>883</v>
      </c>
      <c r="D213" t="s">
        <v>1215</v>
      </c>
      <c r="E213" t="s">
        <v>2215</v>
      </c>
      <c r="F213" t="s">
        <v>3172</v>
      </c>
      <c r="G213" t="s">
        <v>3864</v>
      </c>
      <c r="J213" t="s">
        <v>228</v>
      </c>
      <c r="N213">
        <v>59251843</v>
      </c>
    </row>
    <row r="214" spans="1:14" x14ac:dyDescent="0.35">
      <c r="A214">
        <v>11212</v>
      </c>
      <c r="C214" s="2" t="s">
        <v>883</v>
      </c>
      <c r="D214" t="s">
        <v>1216</v>
      </c>
      <c r="E214" t="s">
        <v>2216</v>
      </c>
      <c r="F214" t="s">
        <v>3173</v>
      </c>
      <c r="G214" t="s">
        <v>3865</v>
      </c>
      <c r="J214" t="s">
        <v>228</v>
      </c>
      <c r="N214">
        <v>59251844</v>
      </c>
    </row>
    <row r="215" spans="1:14" x14ac:dyDescent="0.35">
      <c r="A215">
        <v>11213</v>
      </c>
      <c r="C215" s="2" t="s">
        <v>883</v>
      </c>
      <c r="D215" t="s">
        <v>1217</v>
      </c>
      <c r="E215" t="s">
        <v>2217</v>
      </c>
      <c r="F215" t="s">
        <v>3174</v>
      </c>
      <c r="G215" t="s">
        <v>3866</v>
      </c>
      <c r="J215" t="s">
        <v>228</v>
      </c>
      <c r="N215">
        <v>59251845</v>
      </c>
    </row>
    <row r="216" spans="1:14" x14ac:dyDescent="0.35">
      <c r="A216">
        <v>11214</v>
      </c>
      <c r="C216" s="2" t="s">
        <v>883</v>
      </c>
      <c r="D216" t="s">
        <v>1218</v>
      </c>
      <c r="E216" t="s">
        <v>2218</v>
      </c>
      <c r="F216" t="s">
        <v>3175</v>
      </c>
      <c r="G216" t="s">
        <v>3867</v>
      </c>
      <c r="J216" t="s">
        <v>228</v>
      </c>
      <c r="N216">
        <v>59251846</v>
      </c>
    </row>
    <row r="217" spans="1:14" x14ac:dyDescent="0.35">
      <c r="A217">
        <v>11215</v>
      </c>
      <c r="C217" s="2" t="s">
        <v>883</v>
      </c>
      <c r="D217" t="s">
        <v>1219</v>
      </c>
      <c r="E217" t="s">
        <v>2219</v>
      </c>
      <c r="F217" t="s">
        <v>3176</v>
      </c>
      <c r="G217" t="s">
        <v>3868</v>
      </c>
      <c r="J217" t="s">
        <v>228</v>
      </c>
      <c r="N217">
        <v>59251847</v>
      </c>
    </row>
    <row r="218" spans="1:14" x14ac:dyDescent="0.35">
      <c r="A218">
        <v>11216</v>
      </c>
      <c r="C218" s="2" t="s">
        <v>883</v>
      </c>
      <c r="D218" t="s">
        <v>1220</v>
      </c>
      <c r="E218" t="s">
        <v>2220</v>
      </c>
      <c r="F218" t="s">
        <v>3177</v>
      </c>
      <c r="G218" t="s">
        <v>3869</v>
      </c>
      <c r="J218" t="s">
        <v>228</v>
      </c>
      <c r="N218">
        <v>59251848</v>
      </c>
    </row>
    <row r="219" spans="1:14" x14ac:dyDescent="0.35">
      <c r="A219">
        <v>11217</v>
      </c>
      <c r="C219" s="2" t="s">
        <v>883</v>
      </c>
      <c r="D219" t="s">
        <v>1221</v>
      </c>
      <c r="E219" t="s">
        <v>2221</v>
      </c>
      <c r="F219" t="s">
        <v>3178</v>
      </c>
      <c r="G219" t="s">
        <v>3870</v>
      </c>
      <c r="J219" t="s">
        <v>228</v>
      </c>
      <c r="N219">
        <v>59251849</v>
      </c>
    </row>
    <row r="220" spans="1:14" x14ac:dyDescent="0.35">
      <c r="A220">
        <v>11218</v>
      </c>
      <c r="C220" s="2" t="s">
        <v>883</v>
      </c>
      <c r="D220" t="s">
        <v>1222</v>
      </c>
      <c r="E220" t="s">
        <v>2222</v>
      </c>
      <c r="F220" t="s">
        <v>3179</v>
      </c>
      <c r="G220" t="s">
        <v>3871</v>
      </c>
      <c r="J220" t="s">
        <v>228</v>
      </c>
      <c r="N220">
        <v>59251850</v>
      </c>
    </row>
    <row r="221" spans="1:14" x14ac:dyDescent="0.35">
      <c r="A221">
        <v>11219</v>
      </c>
      <c r="C221" s="2" t="s">
        <v>883</v>
      </c>
      <c r="D221" t="s">
        <v>1223</v>
      </c>
      <c r="E221" t="s">
        <v>2223</v>
      </c>
      <c r="F221" t="s">
        <v>3180</v>
      </c>
      <c r="G221" t="s">
        <v>3872</v>
      </c>
      <c r="J221" t="s">
        <v>228</v>
      </c>
      <c r="N221">
        <v>59251851</v>
      </c>
    </row>
    <row r="222" spans="1:14" x14ac:dyDescent="0.35">
      <c r="A222">
        <v>11220</v>
      </c>
      <c r="C222" s="2" t="s">
        <v>883</v>
      </c>
      <c r="D222" t="s">
        <v>1224</v>
      </c>
      <c r="E222" t="s">
        <v>2224</v>
      </c>
      <c r="F222" t="s">
        <v>3181</v>
      </c>
      <c r="G222" t="s">
        <v>3873</v>
      </c>
      <c r="J222" t="s">
        <v>228</v>
      </c>
      <c r="N222">
        <v>59251852</v>
      </c>
    </row>
    <row r="223" spans="1:14" x14ac:dyDescent="0.35">
      <c r="A223">
        <v>11221</v>
      </c>
      <c r="C223" s="2" t="s">
        <v>883</v>
      </c>
      <c r="D223" t="s">
        <v>1225</v>
      </c>
      <c r="E223" t="s">
        <v>2225</v>
      </c>
      <c r="F223" t="s">
        <v>3182</v>
      </c>
      <c r="G223" t="s">
        <v>3874</v>
      </c>
      <c r="J223" t="s">
        <v>228</v>
      </c>
      <c r="N223">
        <v>59251853</v>
      </c>
    </row>
    <row r="224" spans="1:14" x14ac:dyDescent="0.35">
      <c r="A224">
        <v>11222</v>
      </c>
      <c r="C224" s="2" t="s">
        <v>883</v>
      </c>
      <c r="D224" t="s">
        <v>1226</v>
      </c>
      <c r="E224" t="s">
        <v>2226</v>
      </c>
      <c r="F224" t="s">
        <v>3183</v>
      </c>
      <c r="G224" t="s">
        <v>3875</v>
      </c>
      <c r="J224" t="s">
        <v>228</v>
      </c>
      <c r="N224">
        <v>59251854</v>
      </c>
    </row>
    <row r="225" spans="1:14" x14ac:dyDescent="0.35">
      <c r="A225">
        <v>11223</v>
      </c>
      <c r="C225" s="2" t="s">
        <v>883</v>
      </c>
      <c r="D225" t="s">
        <v>1227</v>
      </c>
      <c r="E225" t="s">
        <v>2227</v>
      </c>
      <c r="F225" t="s">
        <v>3184</v>
      </c>
      <c r="G225" t="s">
        <v>3876</v>
      </c>
      <c r="J225" t="s">
        <v>228</v>
      </c>
      <c r="N225">
        <v>59251855</v>
      </c>
    </row>
    <row r="226" spans="1:14" x14ac:dyDescent="0.35">
      <c r="A226">
        <v>11224</v>
      </c>
      <c r="C226" s="2" t="s">
        <v>883</v>
      </c>
      <c r="D226" t="s">
        <v>1228</v>
      </c>
      <c r="E226" t="s">
        <v>2228</v>
      </c>
      <c r="F226" t="s">
        <v>3185</v>
      </c>
      <c r="G226" t="s">
        <v>3877</v>
      </c>
      <c r="J226" t="s">
        <v>228</v>
      </c>
      <c r="N226">
        <v>59251856</v>
      </c>
    </row>
    <row r="227" spans="1:14" x14ac:dyDescent="0.35">
      <c r="A227">
        <v>11225</v>
      </c>
      <c r="C227" s="2" t="s">
        <v>883</v>
      </c>
      <c r="D227" t="s">
        <v>1229</v>
      </c>
      <c r="E227" t="s">
        <v>2229</v>
      </c>
      <c r="F227" t="s">
        <v>3186</v>
      </c>
      <c r="G227" t="s">
        <v>3878</v>
      </c>
      <c r="J227" t="s">
        <v>228</v>
      </c>
      <c r="N227">
        <v>59251857</v>
      </c>
    </row>
    <row r="228" spans="1:14" x14ac:dyDescent="0.35">
      <c r="A228">
        <v>11226</v>
      </c>
      <c r="C228" s="2" t="s">
        <v>883</v>
      </c>
      <c r="D228" t="s">
        <v>1230</v>
      </c>
      <c r="E228" t="s">
        <v>2230</v>
      </c>
      <c r="F228" t="s">
        <v>3187</v>
      </c>
      <c r="G228" t="s">
        <v>3879</v>
      </c>
      <c r="J228" t="s">
        <v>228</v>
      </c>
      <c r="N228">
        <v>59251858</v>
      </c>
    </row>
    <row r="229" spans="1:14" x14ac:dyDescent="0.35">
      <c r="A229">
        <v>11227</v>
      </c>
      <c r="C229" s="2" t="s">
        <v>883</v>
      </c>
      <c r="D229" t="s">
        <v>1231</v>
      </c>
      <c r="E229" t="s">
        <v>2231</v>
      </c>
      <c r="F229" t="s">
        <v>3188</v>
      </c>
      <c r="G229" t="s">
        <v>3880</v>
      </c>
      <c r="J229" t="s">
        <v>228</v>
      </c>
      <c r="N229">
        <v>59251859</v>
      </c>
    </row>
    <row r="230" spans="1:14" x14ac:dyDescent="0.35">
      <c r="A230">
        <v>11228</v>
      </c>
      <c r="C230" s="2" t="s">
        <v>883</v>
      </c>
      <c r="D230" t="s">
        <v>1232</v>
      </c>
      <c r="E230" t="s">
        <v>2232</v>
      </c>
      <c r="F230" t="s">
        <v>3189</v>
      </c>
      <c r="G230" t="s">
        <v>3881</v>
      </c>
      <c r="J230" t="s">
        <v>228</v>
      </c>
      <c r="N230">
        <v>59251860</v>
      </c>
    </row>
    <row r="231" spans="1:14" x14ac:dyDescent="0.35">
      <c r="A231">
        <v>11229</v>
      </c>
      <c r="C231" s="2" t="s">
        <v>883</v>
      </c>
      <c r="D231" t="s">
        <v>1233</v>
      </c>
      <c r="E231" t="s">
        <v>2233</v>
      </c>
      <c r="F231" t="s">
        <v>3190</v>
      </c>
      <c r="G231" t="s">
        <v>3882</v>
      </c>
      <c r="J231" t="s">
        <v>228</v>
      </c>
      <c r="N231">
        <v>59251861</v>
      </c>
    </row>
    <row r="232" spans="1:14" x14ac:dyDescent="0.35">
      <c r="A232">
        <v>11230</v>
      </c>
      <c r="C232" s="2" t="s">
        <v>883</v>
      </c>
      <c r="D232" t="s">
        <v>1234</v>
      </c>
      <c r="E232" t="s">
        <v>2234</v>
      </c>
      <c r="F232" t="s">
        <v>3191</v>
      </c>
      <c r="G232" t="s">
        <v>3883</v>
      </c>
      <c r="J232" t="s">
        <v>228</v>
      </c>
      <c r="N232">
        <v>59251862</v>
      </c>
    </row>
    <row r="233" spans="1:14" x14ac:dyDescent="0.35">
      <c r="A233">
        <v>11231</v>
      </c>
      <c r="C233" s="2" t="s">
        <v>883</v>
      </c>
      <c r="D233" t="s">
        <v>1235</v>
      </c>
      <c r="E233" t="s">
        <v>2235</v>
      </c>
      <c r="F233" t="s">
        <v>3192</v>
      </c>
      <c r="G233" t="s">
        <v>3884</v>
      </c>
      <c r="J233" t="s">
        <v>228</v>
      </c>
      <c r="N233">
        <v>59251863</v>
      </c>
    </row>
    <row r="234" spans="1:14" x14ac:dyDescent="0.35">
      <c r="A234">
        <v>11232</v>
      </c>
      <c r="C234" s="2" t="s">
        <v>883</v>
      </c>
      <c r="D234" t="s">
        <v>1236</v>
      </c>
      <c r="E234" t="s">
        <v>2236</v>
      </c>
      <c r="F234" t="s">
        <v>3193</v>
      </c>
      <c r="G234" t="s">
        <v>3885</v>
      </c>
      <c r="J234" t="s">
        <v>228</v>
      </c>
      <c r="N234">
        <v>59251864</v>
      </c>
    </row>
    <row r="235" spans="1:14" x14ac:dyDescent="0.35">
      <c r="A235">
        <v>11233</v>
      </c>
      <c r="C235" s="2" t="s">
        <v>883</v>
      </c>
      <c r="D235" t="s">
        <v>1237</v>
      </c>
      <c r="E235" t="s">
        <v>2237</v>
      </c>
      <c r="F235" t="s">
        <v>3194</v>
      </c>
      <c r="G235" t="s">
        <v>3886</v>
      </c>
      <c r="J235" t="s">
        <v>228</v>
      </c>
      <c r="N235">
        <v>59251865</v>
      </c>
    </row>
    <row r="236" spans="1:14" x14ac:dyDescent="0.35">
      <c r="A236">
        <v>11234</v>
      </c>
      <c r="C236" s="2" t="s">
        <v>883</v>
      </c>
      <c r="D236" t="s">
        <v>1238</v>
      </c>
      <c r="E236" t="s">
        <v>2238</v>
      </c>
      <c r="F236" t="s">
        <v>3195</v>
      </c>
      <c r="G236" t="s">
        <v>3887</v>
      </c>
      <c r="J236" t="s">
        <v>228</v>
      </c>
      <c r="N236">
        <v>59251866</v>
      </c>
    </row>
    <row r="237" spans="1:14" x14ac:dyDescent="0.35">
      <c r="A237">
        <v>11235</v>
      </c>
      <c r="C237" s="2" t="s">
        <v>883</v>
      </c>
      <c r="D237" t="s">
        <v>1239</v>
      </c>
      <c r="E237" t="s">
        <v>2239</v>
      </c>
      <c r="F237" t="s">
        <v>3196</v>
      </c>
      <c r="G237" t="s">
        <v>3888</v>
      </c>
      <c r="J237" t="s">
        <v>228</v>
      </c>
      <c r="N237">
        <v>59251867</v>
      </c>
    </row>
    <row r="238" spans="1:14" x14ac:dyDescent="0.35">
      <c r="A238">
        <v>11236</v>
      </c>
      <c r="C238" s="2" t="s">
        <v>883</v>
      </c>
      <c r="D238" t="s">
        <v>1240</v>
      </c>
      <c r="E238" t="s">
        <v>2240</v>
      </c>
      <c r="F238" t="s">
        <v>3197</v>
      </c>
      <c r="G238" t="s">
        <v>3709</v>
      </c>
      <c r="J238" t="s">
        <v>228</v>
      </c>
      <c r="N238">
        <v>59251868</v>
      </c>
    </row>
    <row r="239" spans="1:14" x14ac:dyDescent="0.35">
      <c r="A239">
        <v>11237</v>
      </c>
      <c r="C239" s="2" t="s">
        <v>883</v>
      </c>
      <c r="D239" t="s">
        <v>1241</v>
      </c>
      <c r="E239" t="s">
        <v>2241</v>
      </c>
      <c r="F239" t="s">
        <v>3053</v>
      </c>
      <c r="G239" t="s">
        <v>3889</v>
      </c>
      <c r="J239" t="s">
        <v>228</v>
      </c>
      <c r="N239">
        <v>59251869</v>
      </c>
    </row>
    <row r="240" spans="1:14" x14ac:dyDescent="0.35">
      <c r="A240">
        <v>11238</v>
      </c>
      <c r="C240" s="2" t="s">
        <v>883</v>
      </c>
      <c r="D240" t="s">
        <v>1242</v>
      </c>
      <c r="E240" t="s">
        <v>2242</v>
      </c>
      <c r="F240" t="s">
        <v>3027</v>
      </c>
      <c r="G240" t="s">
        <v>3890</v>
      </c>
      <c r="J240" t="s">
        <v>228</v>
      </c>
      <c r="N240">
        <v>59251870</v>
      </c>
    </row>
    <row r="241" spans="1:14" x14ac:dyDescent="0.35">
      <c r="A241">
        <v>11239</v>
      </c>
      <c r="C241" s="2" t="s">
        <v>883</v>
      </c>
      <c r="D241" t="s">
        <v>1243</v>
      </c>
      <c r="E241" t="s">
        <v>2243</v>
      </c>
      <c r="F241" t="s">
        <v>3050</v>
      </c>
      <c r="G241" t="s">
        <v>3891</v>
      </c>
      <c r="J241" t="s">
        <v>228</v>
      </c>
      <c r="N241">
        <v>59251871</v>
      </c>
    </row>
    <row r="242" spans="1:14" x14ac:dyDescent="0.35">
      <c r="A242">
        <v>11240</v>
      </c>
      <c r="C242" s="2" t="s">
        <v>883</v>
      </c>
      <c r="D242" t="s">
        <v>1244</v>
      </c>
      <c r="E242" t="s">
        <v>2244</v>
      </c>
      <c r="F242" t="s">
        <v>3198</v>
      </c>
      <c r="G242" t="s">
        <v>3892</v>
      </c>
      <c r="J242" t="s">
        <v>228</v>
      </c>
      <c r="N242">
        <v>59251872</v>
      </c>
    </row>
    <row r="243" spans="1:14" x14ac:dyDescent="0.35">
      <c r="A243">
        <v>11241</v>
      </c>
      <c r="C243" s="2" t="s">
        <v>883</v>
      </c>
      <c r="D243" t="s">
        <v>1245</v>
      </c>
      <c r="E243" t="s">
        <v>2245</v>
      </c>
      <c r="F243" t="s">
        <v>3062</v>
      </c>
      <c r="G243">
        <v>102</v>
      </c>
      <c r="H243" t="s">
        <v>3893</v>
      </c>
      <c r="J243" t="s">
        <v>228</v>
      </c>
      <c r="N243">
        <v>59251873</v>
      </c>
    </row>
    <row r="244" spans="1:14" x14ac:dyDescent="0.35">
      <c r="A244">
        <v>11242</v>
      </c>
      <c r="C244" s="2" t="s">
        <v>883</v>
      </c>
      <c r="D244" t="s">
        <v>1246</v>
      </c>
      <c r="E244" t="s">
        <v>2246</v>
      </c>
      <c r="F244" t="s">
        <v>3199</v>
      </c>
      <c r="G244" t="s">
        <v>3894</v>
      </c>
      <c r="J244" t="s">
        <v>228</v>
      </c>
      <c r="N244">
        <v>59251874</v>
      </c>
    </row>
    <row r="245" spans="1:14" x14ac:dyDescent="0.35">
      <c r="A245">
        <v>11243</v>
      </c>
      <c r="C245" s="2" t="s">
        <v>883</v>
      </c>
      <c r="D245" t="s">
        <v>1247</v>
      </c>
      <c r="E245" t="s">
        <v>2247</v>
      </c>
      <c r="F245" t="s">
        <v>3092</v>
      </c>
      <c r="G245" t="s">
        <v>3895</v>
      </c>
      <c r="J245" t="s">
        <v>228</v>
      </c>
      <c r="N245">
        <v>59251875</v>
      </c>
    </row>
    <row r="246" spans="1:14" x14ac:dyDescent="0.35">
      <c r="A246">
        <v>11244</v>
      </c>
      <c r="C246" s="2" t="s">
        <v>883</v>
      </c>
      <c r="D246" t="s">
        <v>1248</v>
      </c>
      <c r="E246" t="s">
        <v>2248</v>
      </c>
      <c r="F246" t="s">
        <v>3081</v>
      </c>
      <c r="G246" t="s">
        <v>3896</v>
      </c>
      <c r="J246" t="s">
        <v>228</v>
      </c>
      <c r="N246">
        <v>59251876</v>
      </c>
    </row>
    <row r="247" spans="1:14" x14ac:dyDescent="0.35">
      <c r="A247">
        <v>11245</v>
      </c>
      <c r="C247" s="2" t="s">
        <v>883</v>
      </c>
      <c r="D247" t="s">
        <v>1249</v>
      </c>
      <c r="E247" t="s">
        <v>2249</v>
      </c>
      <c r="F247" t="s">
        <v>3200</v>
      </c>
      <c r="G247" t="s">
        <v>3897</v>
      </c>
      <c r="J247" t="s">
        <v>228</v>
      </c>
      <c r="N247">
        <v>59251877</v>
      </c>
    </row>
    <row r="248" spans="1:14" x14ac:dyDescent="0.35">
      <c r="A248">
        <v>11246</v>
      </c>
      <c r="C248" s="2" t="s">
        <v>883</v>
      </c>
      <c r="D248" t="s">
        <v>1250</v>
      </c>
      <c r="E248" t="s">
        <v>2250</v>
      </c>
      <c r="F248" t="s">
        <v>3026</v>
      </c>
      <c r="G248" t="s">
        <v>3898</v>
      </c>
      <c r="J248" t="s">
        <v>228</v>
      </c>
      <c r="N248">
        <v>59251878</v>
      </c>
    </row>
    <row r="249" spans="1:14" x14ac:dyDescent="0.35">
      <c r="A249">
        <v>11247</v>
      </c>
      <c r="C249" s="2" t="s">
        <v>883</v>
      </c>
      <c r="D249" t="s">
        <v>1251</v>
      </c>
      <c r="E249" t="s">
        <v>2251</v>
      </c>
      <c r="F249" t="s">
        <v>3027</v>
      </c>
      <c r="G249" t="s">
        <v>3899</v>
      </c>
      <c r="J249" t="s">
        <v>228</v>
      </c>
      <c r="N249">
        <v>59251879</v>
      </c>
    </row>
    <row r="250" spans="1:14" x14ac:dyDescent="0.35">
      <c r="A250">
        <v>11248</v>
      </c>
      <c r="C250" s="2" t="s">
        <v>883</v>
      </c>
      <c r="D250" t="s">
        <v>1252</v>
      </c>
      <c r="E250" t="s">
        <v>2252</v>
      </c>
      <c r="F250" t="s">
        <v>3085</v>
      </c>
      <c r="G250">
        <v>88</v>
      </c>
      <c r="H250" t="s">
        <v>3900</v>
      </c>
      <c r="J250" t="s">
        <v>228</v>
      </c>
      <c r="N250">
        <v>59251880</v>
      </c>
    </row>
    <row r="251" spans="1:14" x14ac:dyDescent="0.35">
      <c r="A251">
        <v>11249</v>
      </c>
      <c r="C251" s="2" t="s">
        <v>883</v>
      </c>
      <c r="D251" t="s">
        <v>1253</v>
      </c>
      <c r="E251" t="s">
        <v>2253</v>
      </c>
      <c r="F251" t="s">
        <v>3050</v>
      </c>
      <c r="G251" t="s">
        <v>3901</v>
      </c>
      <c r="J251" t="s">
        <v>228</v>
      </c>
      <c r="N251">
        <v>59251881</v>
      </c>
    </row>
    <row r="252" spans="1:14" x14ac:dyDescent="0.35">
      <c r="A252">
        <v>11250</v>
      </c>
      <c r="C252" s="2" t="s">
        <v>883</v>
      </c>
      <c r="D252" t="s">
        <v>1254</v>
      </c>
      <c r="E252" t="s">
        <v>2254</v>
      </c>
      <c r="F252" t="s">
        <v>3198</v>
      </c>
      <c r="G252" t="s">
        <v>3902</v>
      </c>
      <c r="J252" t="s">
        <v>228</v>
      </c>
      <c r="N252">
        <v>59251882</v>
      </c>
    </row>
    <row r="253" spans="1:14" x14ac:dyDescent="0.35">
      <c r="A253">
        <v>11251</v>
      </c>
      <c r="C253" s="2" t="s">
        <v>883</v>
      </c>
      <c r="D253" t="s">
        <v>1255</v>
      </c>
      <c r="E253" t="s">
        <v>2255</v>
      </c>
      <c r="F253" t="s">
        <v>3201</v>
      </c>
      <c r="G253" t="s">
        <v>3903</v>
      </c>
      <c r="J253" t="s">
        <v>228</v>
      </c>
      <c r="N253">
        <v>59251883</v>
      </c>
    </row>
    <row r="254" spans="1:14" x14ac:dyDescent="0.35">
      <c r="A254">
        <v>11252</v>
      </c>
      <c r="C254" s="2" t="s">
        <v>883</v>
      </c>
      <c r="D254" t="s">
        <v>1256</v>
      </c>
      <c r="E254" t="s">
        <v>2256</v>
      </c>
      <c r="F254" t="s">
        <v>3202</v>
      </c>
      <c r="G254" t="s">
        <v>3904</v>
      </c>
      <c r="J254" t="s">
        <v>228</v>
      </c>
      <c r="N254">
        <v>59251884</v>
      </c>
    </row>
    <row r="255" spans="1:14" x14ac:dyDescent="0.35">
      <c r="A255">
        <v>11253</v>
      </c>
      <c r="C255" s="2" t="s">
        <v>883</v>
      </c>
      <c r="D255" t="s">
        <v>1257</v>
      </c>
      <c r="E255" t="s">
        <v>2257</v>
      </c>
      <c r="F255" t="s">
        <v>3203</v>
      </c>
      <c r="G255" t="s">
        <v>3905</v>
      </c>
      <c r="J255" t="s">
        <v>228</v>
      </c>
      <c r="N255">
        <v>59251885</v>
      </c>
    </row>
    <row r="256" spans="1:14" x14ac:dyDescent="0.35">
      <c r="A256">
        <v>11254</v>
      </c>
      <c r="C256" s="2" t="s">
        <v>883</v>
      </c>
      <c r="D256" t="s">
        <v>1258</v>
      </c>
      <c r="E256" t="s">
        <v>2258</v>
      </c>
      <c r="F256" t="s">
        <v>3204</v>
      </c>
      <c r="G256" t="s">
        <v>3906</v>
      </c>
      <c r="J256" t="s">
        <v>228</v>
      </c>
      <c r="N256">
        <v>59251886</v>
      </c>
    </row>
    <row r="257" spans="1:14" x14ac:dyDescent="0.35">
      <c r="A257">
        <v>11255</v>
      </c>
      <c r="C257" s="2" t="s">
        <v>883</v>
      </c>
      <c r="D257" t="s">
        <v>1259</v>
      </c>
      <c r="E257" t="s">
        <v>2259</v>
      </c>
      <c r="F257" t="s">
        <v>3205</v>
      </c>
      <c r="G257" t="s">
        <v>3745</v>
      </c>
      <c r="J257" t="s">
        <v>228</v>
      </c>
      <c r="N257">
        <v>59251887</v>
      </c>
    </row>
    <row r="258" spans="1:14" x14ac:dyDescent="0.35">
      <c r="A258">
        <v>11256</v>
      </c>
      <c r="C258" s="2" t="s">
        <v>883</v>
      </c>
      <c r="D258" t="s">
        <v>1260</v>
      </c>
      <c r="E258" t="s">
        <v>2260</v>
      </c>
      <c r="F258" t="s">
        <v>3206</v>
      </c>
      <c r="G258" t="s">
        <v>3907</v>
      </c>
      <c r="J258" t="s">
        <v>228</v>
      </c>
      <c r="N258">
        <v>59251888</v>
      </c>
    </row>
    <row r="259" spans="1:14" x14ac:dyDescent="0.35">
      <c r="A259">
        <v>11257</v>
      </c>
      <c r="C259" s="2" t="s">
        <v>883</v>
      </c>
      <c r="D259" t="s">
        <v>1261</v>
      </c>
      <c r="E259" t="s">
        <v>2261</v>
      </c>
      <c r="F259" t="s">
        <v>3207</v>
      </c>
      <c r="G259" t="s">
        <v>3908</v>
      </c>
      <c r="J259" t="s">
        <v>228</v>
      </c>
      <c r="N259">
        <v>59251889</v>
      </c>
    </row>
    <row r="260" spans="1:14" x14ac:dyDescent="0.35">
      <c r="A260">
        <v>11258</v>
      </c>
      <c r="C260" s="2" t="s">
        <v>883</v>
      </c>
      <c r="D260" t="s">
        <v>1262</v>
      </c>
      <c r="E260" t="s">
        <v>2262</v>
      </c>
      <c r="F260" t="s">
        <v>3208</v>
      </c>
      <c r="G260" t="s">
        <v>3909</v>
      </c>
      <c r="J260" t="s">
        <v>228</v>
      </c>
      <c r="N260">
        <v>59251890</v>
      </c>
    </row>
    <row r="261" spans="1:14" x14ac:dyDescent="0.35">
      <c r="A261">
        <v>11259</v>
      </c>
      <c r="C261" s="2" t="s">
        <v>883</v>
      </c>
      <c r="D261" t="s">
        <v>1263</v>
      </c>
      <c r="E261" t="s">
        <v>2263</v>
      </c>
      <c r="F261" t="s">
        <v>3209</v>
      </c>
      <c r="G261" t="s">
        <v>3910</v>
      </c>
      <c r="J261" t="s">
        <v>228</v>
      </c>
      <c r="N261">
        <v>59251891</v>
      </c>
    </row>
    <row r="262" spans="1:14" x14ac:dyDescent="0.35">
      <c r="A262">
        <v>11260</v>
      </c>
      <c r="C262" s="2" t="s">
        <v>883</v>
      </c>
      <c r="D262" t="s">
        <v>1264</v>
      </c>
      <c r="E262" t="s">
        <v>2264</v>
      </c>
      <c r="F262" t="s">
        <v>3210</v>
      </c>
      <c r="G262" t="s">
        <v>3911</v>
      </c>
      <c r="J262" t="s">
        <v>228</v>
      </c>
      <c r="N262">
        <v>59251892</v>
      </c>
    </row>
    <row r="263" spans="1:14" x14ac:dyDescent="0.35">
      <c r="A263">
        <v>11261</v>
      </c>
      <c r="C263" s="2" t="s">
        <v>883</v>
      </c>
      <c r="D263" t="s">
        <v>1265</v>
      </c>
      <c r="E263" t="s">
        <v>2265</v>
      </c>
      <c r="F263" t="s">
        <v>3211</v>
      </c>
      <c r="G263" t="s">
        <v>3912</v>
      </c>
      <c r="J263" t="s">
        <v>228</v>
      </c>
      <c r="N263">
        <v>59251893</v>
      </c>
    </row>
    <row r="264" spans="1:14" x14ac:dyDescent="0.35">
      <c r="A264">
        <v>11262</v>
      </c>
      <c r="C264" s="2" t="s">
        <v>883</v>
      </c>
      <c r="D264" t="s">
        <v>1266</v>
      </c>
      <c r="E264" t="s">
        <v>2266</v>
      </c>
      <c r="F264" t="s">
        <v>3212</v>
      </c>
      <c r="G264" t="s">
        <v>3913</v>
      </c>
      <c r="J264" t="s">
        <v>228</v>
      </c>
      <c r="N264">
        <v>59251894</v>
      </c>
    </row>
    <row r="265" spans="1:14" x14ac:dyDescent="0.35">
      <c r="A265">
        <v>11263</v>
      </c>
      <c r="C265" s="2" t="s">
        <v>883</v>
      </c>
      <c r="D265" t="s">
        <v>1267</v>
      </c>
      <c r="E265" t="s">
        <v>2267</v>
      </c>
      <c r="F265" t="s">
        <v>3213</v>
      </c>
      <c r="G265" t="s">
        <v>3760</v>
      </c>
      <c r="J265" t="s">
        <v>228</v>
      </c>
      <c r="N265">
        <v>59251895</v>
      </c>
    </row>
    <row r="266" spans="1:14" x14ac:dyDescent="0.35">
      <c r="A266">
        <v>11264</v>
      </c>
      <c r="C266" s="2" t="s">
        <v>883</v>
      </c>
      <c r="D266" t="s">
        <v>1268</v>
      </c>
      <c r="E266" t="s">
        <v>2268</v>
      </c>
      <c r="F266" t="s">
        <v>3214</v>
      </c>
      <c r="G266" t="s">
        <v>3914</v>
      </c>
      <c r="J266" t="s">
        <v>228</v>
      </c>
      <c r="N266">
        <v>59251896</v>
      </c>
    </row>
    <row r="267" spans="1:14" x14ac:dyDescent="0.35">
      <c r="A267">
        <v>11265</v>
      </c>
      <c r="C267" s="2" t="s">
        <v>883</v>
      </c>
      <c r="D267" t="s">
        <v>1269</v>
      </c>
      <c r="E267" t="s">
        <v>2269</v>
      </c>
      <c r="F267" t="s">
        <v>3215</v>
      </c>
      <c r="G267" t="s">
        <v>3915</v>
      </c>
      <c r="J267" t="s">
        <v>228</v>
      </c>
      <c r="N267">
        <v>59251897</v>
      </c>
    </row>
    <row r="268" spans="1:14" x14ac:dyDescent="0.35">
      <c r="A268">
        <v>11266</v>
      </c>
      <c r="C268" s="2" t="s">
        <v>883</v>
      </c>
      <c r="D268" t="s">
        <v>1270</v>
      </c>
      <c r="E268" t="s">
        <v>2270</v>
      </c>
      <c r="F268" t="s">
        <v>3216</v>
      </c>
      <c r="G268" t="s">
        <v>3916</v>
      </c>
      <c r="J268" t="s">
        <v>228</v>
      </c>
      <c r="N268">
        <v>59251898</v>
      </c>
    </row>
    <row r="269" spans="1:14" x14ac:dyDescent="0.35">
      <c r="A269">
        <v>11267</v>
      </c>
      <c r="C269" s="2" t="s">
        <v>883</v>
      </c>
      <c r="D269" t="s">
        <v>1271</v>
      </c>
      <c r="E269" t="s">
        <v>2271</v>
      </c>
      <c r="F269" t="s">
        <v>3217</v>
      </c>
      <c r="G269" t="s">
        <v>3917</v>
      </c>
      <c r="J269" t="s">
        <v>228</v>
      </c>
      <c r="N269">
        <v>59251899</v>
      </c>
    </row>
    <row r="270" spans="1:14" x14ac:dyDescent="0.35">
      <c r="A270">
        <v>11268</v>
      </c>
      <c r="C270" s="2" t="s">
        <v>883</v>
      </c>
      <c r="D270" t="s">
        <v>1272</v>
      </c>
      <c r="E270" t="s">
        <v>2272</v>
      </c>
      <c r="F270" t="s">
        <v>3218</v>
      </c>
      <c r="G270" t="s">
        <v>3918</v>
      </c>
      <c r="J270" t="s">
        <v>228</v>
      </c>
      <c r="N270">
        <v>59251900</v>
      </c>
    </row>
    <row r="271" spans="1:14" x14ac:dyDescent="0.35">
      <c r="A271">
        <v>11269</v>
      </c>
      <c r="C271" s="2" t="s">
        <v>883</v>
      </c>
      <c r="D271" t="s">
        <v>1273</v>
      </c>
      <c r="E271" t="s">
        <v>2273</v>
      </c>
      <c r="F271" t="s">
        <v>3219</v>
      </c>
      <c r="G271" t="s">
        <v>3919</v>
      </c>
      <c r="J271" t="s">
        <v>228</v>
      </c>
      <c r="N271">
        <v>59251901</v>
      </c>
    </row>
    <row r="272" spans="1:14" x14ac:dyDescent="0.35">
      <c r="A272">
        <v>11270</v>
      </c>
      <c r="C272" s="2" t="s">
        <v>883</v>
      </c>
      <c r="D272" t="s">
        <v>1274</v>
      </c>
      <c r="E272" t="s">
        <v>2274</v>
      </c>
      <c r="F272" t="s">
        <v>3220</v>
      </c>
      <c r="G272" t="s">
        <v>3920</v>
      </c>
      <c r="J272" t="s">
        <v>228</v>
      </c>
      <c r="N272">
        <v>59251902</v>
      </c>
    </row>
    <row r="273" spans="1:14" x14ac:dyDescent="0.35">
      <c r="A273">
        <v>11271</v>
      </c>
      <c r="C273" s="2" t="s">
        <v>883</v>
      </c>
      <c r="D273" t="s">
        <v>1275</v>
      </c>
      <c r="E273" t="s">
        <v>2275</v>
      </c>
      <c r="F273" t="s">
        <v>3221</v>
      </c>
      <c r="G273" t="s">
        <v>3921</v>
      </c>
      <c r="J273" t="s">
        <v>228</v>
      </c>
      <c r="N273">
        <v>59251903</v>
      </c>
    </row>
    <row r="274" spans="1:14" x14ac:dyDescent="0.35">
      <c r="A274">
        <v>11272</v>
      </c>
      <c r="C274" s="2" t="s">
        <v>883</v>
      </c>
      <c r="D274" t="s">
        <v>1276</v>
      </c>
      <c r="E274" t="s">
        <v>2276</v>
      </c>
      <c r="F274" t="s">
        <v>3222</v>
      </c>
      <c r="G274" t="s">
        <v>3922</v>
      </c>
      <c r="J274" t="s">
        <v>228</v>
      </c>
      <c r="N274">
        <v>59251904</v>
      </c>
    </row>
    <row r="275" spans="1:14" x14ac:dyDescent="0.35">
      <c r="A275">
        <v>11273</v>
      </c>
      <c r="C275" s="2" t="s">
        <v>883</v>
      </c>
      <c r="D275" t="s">
        <v>1277</v>
      </c>
      <c r="E275" t="s">
        <v>2277</v>
      </c>
      <c r="F275" t="s">
        <v>3223</v>
      </c>
      <c r="G275" t="s">
        <v>3923</v>
      </c>
      <c r="J275" t="s">
        <v>228</v>
      </c>
      <c r="N275">
        <v>59251905</v>
      </c>
    </row>
    <row r="276" spans="1:14" x14ac:dyDescent="0.35">
      <c r="A276">
        <v>11274</v>
      </c>
      <c r="C276" s="2" t="s">
        <v>883</v>
      </c>
      <c r="D276" t="s">
        <v>1278</v>
      </c>
      <c r="E276" t="s">
        <v>2278</v>
      </c>
      <c r="F276" t="s">
        <v>3224</v>
      </c>
      <c r="G276" t="s">
        <v>3924</v>
      </c>
      <c r="J276" t="s">
        <v>228</v>
      </c>
      <c r="N276">
        <v>59251906</v>
      </c>
    </row>
    <row r="277" spans="1:14" x14ac:dyDescent="0.35">
      <c r="A277">
        <v>11275</v>
      </c>
      <c r="C277" s="2" t="s">
        <v>883</v>
      </c>
      <c r="D277" t="s">
        <v>1279</v>
      </c>
      <c r="E277" t="s">
        <v>2279</v>
      </c>
      <c r="F277" t="s">
        <v>3225</v>
      </c>
      <c r="G277" t="s">
        <v>3925</v>
      </c>
      <c r="J277" t="s">
        <v>228</v>
      </c>
      <c r="N277">
        <v>59251907</v>
      </c>
    </row>
    <row r="278" spans="1:14" x14ac:dyDescent="0.35">
      <c r="A278">
        <v>11276</v>
      </c>
      <c r="C278" s="2" t="s">
        <v>883</v>
      </c>
      <c r="D278" t="s">
        <v>1280</v>
      </c>
      <c r="E278" t="s">
        <v>2280</v>
      </c>
      <c r="F278" t="s">
        <v>3226</v>
      </c>
      <c r="G278" t="s">
        <v>3926</v>
      </c>
      <c r="J278" t="s">
        <v>228</v>
      </c>
      <c r="N278">
        <v>59251908</v>
      </c>
    </row>
    <row r="279" spans="1:14" x14ac:dyDescent="0.35">
      <c r="A279">
        <v>11277</v>
      </c>
      <c r="C279" s="2" t="s">
        <v>883</v>
      </c>
      <c r="D279" t="s">
        <v>1281</v>
      </c>
      <c r="E279" t="s">
        <v>2281</v>
      </c>
      <c r="F279" t="s">
        <v>3227</v>
      </c>
      <c r="G279" t="s">
        <v>3927</v>
      </c>
      <c r="J279" t="s">
        <v>228</v>
      </c>
      <c r="N279">
        <v>59251909</v>
      </c>
    </row>
    <row r="280" spans="1:14" x14ac:dyDescent="0.35">
      <c r="A280">
        <v>11278</v>
      </c>
      <c r="C280" s="2" t="s">
        <v>883</v>
      </c>
      <c r="D280" t="s">
        <v>1282</v>
      </c>
      <c r="E280" t="s">
        <v>2282</v>
      </c>
      <c r="F280" t="s">
        <v>3228</v>
      </c>
      <c r="G280" t="s">
        <v>3928</v>
      </c>
      <c r="J280" t="s">
        <v>228</v>
      </c>
      <c r="N280">
        <v>59251910</v>
      </c>
    </row>
    <row r="281" spans="1:14" x14ac:dyDescent="0.35">
      <c r="A281">
        <v>11279</v>
      </c>
      <c r="C281" s="2" t="s">
        <v>883</v>
      </c>
      <c r="D281" t="s">
        <v>1283</v>
      </c>
      <c r="E281" t="s">
        <v>2283</v>
      </c>
      <c r="F281" t="s">
        <v>3229</v>
      </c>
      <c r="G281" t="s">
        <v>3929</v>
      </c>
      <c r="J281" t="s">
        <v>228</v>
      </c>
      <c r="N281">
        <v>59251911</v>
      </c>
    </row>
    <row r="282" spans="1:14" x14ac:dyDescent="0.35">
      <c r="A282">
        <v>11280</v>
      </c>
      <c r="C282" s="2" t="s">
        <v>883</v>
      </c>
      <c r="D282" t="s">
        <v>1284</v>
      </c>
      <c r="E282" t="s">
        <v>2284</v>
      </c>
      <c r="F282" t="s">
        <v>3230</v>
      </c>
      <c r="G282" t="s">
        <v>3930</v>
      </c>
      <c r="J282" t="s">
        <v>228</v>
      </c>
      <c r="N282">
        <v>59251912</v>
      </c>
    </row>
    <row r="283" spans="1:14" x14ac:dyDescent="0.35">
      <c r="A283">
        <v>11281</v>
      </c>
      <c r="C283" s="2" t="s">
        <v>883</v>
      </c>
      <c r="D283" t="s">
        <v>1285</v>
      </c>
      <c r="E283" t="s">
        <v>2285</v>
      </c>
      <c r="F283" t="s">
        <v>3231</v>
      </c>
      <c r="G283" t="s">
        <v>3931</v>
      </c>
      <c r="J283" t="s">
        <v>228</v>
      </c>
      <c r="N283">
        <v>59251913</v>
      </c>
    </row>
    <row r="284" spans="1:14" x14ac:dyDescent="0.35">
      <c r="A284">
        <v>11282</v>
      </c>
      <c r="C284" s="2" t="s">
        <v>883</v>
      </c>
      <c r="D284" t="s">
        <v>1286</v>
      </c>
      <c r="E284" t="s">
        <v>2286</v>
      </c>
      <c r="F284" t="s">
        <v>3232</v>
      </c>
      <c r="G284" t="s">
        <v>3932</v>
      </c>
      <c r="J284" t="s">
        <v>228</v>
      </c>
      <c r="N284">
        <v>59251914</v>
      </c>
    </row>
    <row r="285" spans="1:14" x14ac:dyDescent="0.35">
      <c r="A285">
        <v>11283</v>
      </c>
      <c r="C285" s="2" t="s">
        <v>883</v>
      </c>
      <c r="D285" t="s">
        <v>1287</v>
      </c>
      <c r="E285" t="s">
        <v>2287</v>
      </c>
      <c r="F285" t="s">
        <v>3233</v>
      </c>
      <c r="G285" t="s">
        <v>3933</v>
      </c>
      <c r="J285" t="s">
        <v>228</v>
      </c>
      <c r="N285">
        <v>59251915</v>
      </c>
    </row>
    <row r="286" spans="1:14" x14ac:dyDescent="0.35">
      <c r="A286">
        <v>11284</v>
      </c>
      <c r="C286" s="2" t="s">
        <v>883</v>
      </c>
      <c r="D286" t="s">
        <v>1288</v>
      </c>
      <c r="E286" t="s">
        <v>2288</v>
      </c>
      <c r="F286" t="s">
        <v>3234</v>
      </c>
      <c r="G286" t="s">
        <v>3934</v>
      </c>
      <c r="J286" t="s">
        <v>228</v>
      </c>
      <c r="N286">
        <v>59251916</v>
      </c>
    </row>
    <row r="287" spans="1:14" x14ac:dyDescent="0.35">
      <c r="A287">
        <v>11285</v>
      </c>
      <c r="C287" s="2" t="s">
        <v>883</v>
      </c>
      <c r="D287" t="s">
        <v>1289</v>
      </c>
      <c r="E287" t="s">
        <v>2289</v>
      </c>
      <c r="F287" t="s">
        <v>3235</v>
      </c>
      <c r="G287" t="s">
        <v>3935</v>
      </c>
      <c r="J287" t="s">
        <v>228</v>
      </c>
      <c r="N287">
        <v>59251917</v>
      </c>
    </row>
    <row r="288" spans="1:14" x14ac:dyDescent="0.35">
      <c r="A288">
        <v>11286</v>
      </c>
      <c r="C288" s="2" t="s">
        <v>883</v>
      </c>
      <c r="D288" t="s">
        <v>1290</v>
      </c>
      <c r="E288" t="s">
        <v>2290</v>
      </c>
      <c r="F288" t="s">
        <v>3236</v>
      </c>
      <c r="G288" t="s">
        <v>3936</v>
      </c>
      <c r="J288" t="s">
        <v>228</v>
      </c>
      <c r="N288">
        <v>59251918</v>
      </c>
    </row>
    <row r="289" spans="1:14" x14ac:dyDescent="0.35">
      <c r="A289">
        <v>11287</v>
      </c>
      <c r="C289" s="2" t="s">
        <v>883</v>
      </c>
      <c r="D289" t="s">
        <v>1291</v>
      </c>
      <c r="E289" t="s">
        <v>2291</v>
      </c>
      <c r="F289" t="s">
        <v>3237</v>
      </c>
      <c r="G289" t="s">
        <v>3937</v>
      </c>
      <c r="J289" t="s">
        <v>228</v>
      </c>
      <c r="N289">
        <v>59251919</v>
      </c>
    </row>
    <row r="290" spans="1:14" x14ac:dyDescent="0.35">
      <c r="A290">
        <v>11288</v>
      </c>
      <c r="C290" s="2" t="s">
        <v>883</v>
      </c>
      <c r="D290" t="s">
        <v>1292</v>
      </c>
      <c r="E290" t="s">
        <v>2292</v>
      </c>
      <c r="F290" t="s">
        <v>3238</v>
      </c>
      <c r="G290" t="s">
        <v>3938</v>
      </c>
      <c r="J290" t="s">
        <v>228</v>
      </c>
      <c r="N290">
        <v>59251920</v>
      </c>
    </row>
    <row r="291" spans="1:14" x14ac:dyDescent="0.35">
      <c r="A291">
        <v>11289</v>
      </c>
      <c r="C291" s="2" t="s">
        <v>883</v>
      </c>
      <c r="D291" t="s">
        <v>1293</v>
      </c>
      <c r="E291" t="s">
        <v>2293</v>
      </c>
      <c r="F291" t="s">
        <v>3239</v>
      </c>
      <c r="G291" t="s">
        <v>3939</v>
      </c>
      <c r="J291" t="s">
        <v>228</v>
      </c>
      <c r="N291">
        <v>59251921</v>
      </c>
    </row>
    <row r="292" spans="1:14" x14ac:dyDescent="0.35">
      <c r="A292">
        <v>11290</v>
      </c>
      <c r="C292" s="2" t="s">
        <v>883</v>
      </c>
      <c r="D292" t="s">
        <v>1294</v>
      </c>
      <c r="E292" t="s">
        <v>2294</v>
      </c>
      <c r="F292" t="s">
        <v>3240</v>
      </c>
      <c r="G292" t="s">
        <v>3940</v>
      </c>
      <c r="J292" t="s">
        <v>228</v>
      </c>
      <c r="N292">
        <v>59251922</v>
      </c>
    </row>
    <row r="293" spans="1:14" x14ac:dyDescent="0.35">
      <c r="A293">
        <v>11291</v>
      </c>
      <c r="C293" s="2" t="s">
        <v>883</v>
      </c>
      <c r="D293" t="s">
        <v>1295</v>
      </c>
      <c r="E293" t="s">
        <v>2295</v>
      </c>
      <c r="F293" t="s">
        <v>3241</v>
      </c>
      <c r="G293" t="s">
        <v>3941</v>
      </c>
      <c r="J293" t="s">
        <v>228</v>
      </c>
      <c r="N293">
        <v>59251923</v>
      </c>
    </row>
    <row r="294" spans="1:14" x14ac:dyDescent="0.35">
      <c r="A294">
        <v>11292</v>
      </c>
      <c r="C294" s="2" t="s">
        <v>883</v>
      </c>
      <c r="D294" t="s">
        <v>1296</v>
      </c>
      <c r="E294" t="s">
        <v>2296</v>
      </c>
      <c r="F294" t="s">
        <v>3242</v>
      </c>
      <c r="G294" t="s">
        <v>3942</v>
      </c>
      <c r="J294" t="s">
        <v>228</v>
      </c>
      <c r="N294">
        <v>59251924</v>
      </c>
    </row>
    <row r="295" spans="1:14" x14ac:dyDescent="0.35">
      <c r="A295">
        <v>11293</v>
      </c>
      <c r="C295" s="2" t="s">
        <v>883</v>
      </c>
      <c r="D295" t="s">
        <v>1297</v>
      </c>
      <c r="E295" t="s">
        <v>2297</v>
      </c>
      <c r="F295" t="s">
        <v>3243</v>
      </c>
      <c r="G295" t="s">
        <v>3943</v>
      </c>
      <c r="J295" t="s">
        <v>228</v>
      </c>
      <c r="N295">
        <v>59251925</v>
      </c>
    </row>
    <row r="296" spans="1:14" x14ac:dyDescent="0.35">
      <c r="A296">
        <v>11294</v>
      </c>
      <c r="C296" s="2" t="s">
        <v>883</v>
      </c>
      <c r="D296" t="s">
        <v>1298</v>
      </c>
      <c r="E296" t="s">
        <v>2298</v>
      </c>
      <c r="F296" t="s">
        <v>3244</v>
      </c>
      <c r="G296" t="s">
        <v>3944</v>
      </c>
      <c r="J296" t="s">
        <v>228</v>
      </c>
      <c r="N296">
        <v>59251926</v>
      </c>
    </row>
    <row r="297" spans="1:14" x14ac:dyDescent="0.35">
      <c r="A297">
        <v>11295</v>
      </c>
      <c r="C297" s="2" t="s">
        <v>883</v>
      </c>
      <c r="D297" t="s">
        <v>1299</v>
      </c>
      <c r="E297" t="s">
        <v>2299</v>
      </c>
      <c r="F297" t="s">
        <v>3245</v>
      </c>
      <c r="G297" t="s">
        <v>3945</v>
      </c>
      <c r="J297" t="s">
        <v>228</v>
      </c>
      <c r="N297">
        <v>59251927</v>
      </c>
    </row>
    <row r="298" spans="1:14" x14ac:dyDescent="0.35">
      <c r="A298">
        <v>11296</v>
      </c>
      <c r="C298" s="2" t="s">
        <v>883</v>
      </c>
      <c r="D298" t="s">
        <v>1300</v>
      </c>
      <c r="E298" t="s">
        <v>2300</v>
      </c>
      <c r="F298" t="s">
        <v>3246</v>
      </c>
      <c r="G298" t="s">
        <v>3946</v>
      </c>
      <c r="J298" t="s">
        <v>228</v>
      </c>
      <c r="N298">
        <v>59251928</v>
      </c>
    </row>
    <row r="299" spans="1:14" x14ac:dyDescent="0.35">
      <c r="A299">
        <v>11297</v>
      </c>
      <c r="C299" s="2" t="s">
        <v>883</v>
      </c>
      <c r="D299" t="s">
        <v>1301</v>
      </c>
      <c r="E299" t="s">
        <v>2301</v>
      </c>
      <c r="F299" t="s">
        <v>3247</v>
      </c>
      <c r="G299" t="s">
        <v>3947</v>
      </c>
      <c r="J299" t="s">
        <v>228</v>
      </c>
      <c r="N299">
        <v>59251929</v>
      </c>
    </row>
    <row r="300" spans="1:14" x14ac:dyDescent="0.35">
      <c r="A300">
        <v>11298</v>
      </c>
      <c r="C300" s="2" t="s">
        <v>883</v>
      </c>
      <c r="D300" t="s">
        <v>1302</v>
      </c>
      <c r="E300" t="s">
        <v>2302</v>
      </c>
      <c r="F300" t="s">
        <v>3248</v>
      </c>
      <c r="G300" t="s">
        <v>3948</v>
      </c>
      <c r="J300" t="s">
        <v>228</v>
      </c>
      <c r="N300">
        <v>59251930</v>
      </c>
    </row>
    <row r="301" spans="1:14" x14ac:dyDescent="0.35">
      <c r="A301">
        <v>11299</v>
      </c>
      <c r="C301" s="2" t="s">
        <v>883</v>
      </c>
      <c r="D301" t="s">
        <v>1303</v>
      </c>
      <c r="E301" t="s">
        <v>2303</v>
      </c>
      <c r="F301" t="s">
        <v>3249</v>
      </c>
      <c r="G301" t="s">
        <v>3949</v>
      </c>
      <c r="J301" t="s">
        <v>228</v>
      </c>
      <c r="N301">
        <v>59251931</v>
      </c>
    </row>
    <row r="302" spans="1:14" x14ac:dyDescent="0.35">
      <c r="A302">
        <v>11300</v>
      </c>
      <c r="C302" s="2" t="s">
        <v>883</v>
      </c>
      <c r="D302" t="s">
        <v>1304</v>
      </c>
      <c r="E302" t="s">
        <v>2304</v>
      </c>
      <c r="F302" t="s">
        <v>3250</v>
      </c>
      <c r="G302" t="s">
        <v>3950</v>
      </c>
      <c r="J302" t="s">
        <v>228</v>
      </c>
      <c r="N302">
        <v>59251932</v>
      </c>
    </row>
    <row r="303" spans="1:14" x14ac:dyDescent="0.35">
      <c r="A303">
        <v>11301</v>
      </c>
      <c r="C303" s="2" t="s">
        <v>883</v>
      </c>
      <c r="D303" t="s">
        <v>1305</v>
      </c>
      <c r="E303" t="s">
        <v>2305</v>
      </c>
      <c r="F303" t="s">
        <v>3251</v>
      </c>
      <c r="G303" t="s">
        <v>3951</v>
      </c>
      <c r="J303" t="s">
        <v>228</v>
      </c>
      <c r="N303">
        <v>59251933</v>
      </c>
    </row>
    <row r="304" spans="1:14" x14ac:dyDescent="0.35">
      <c r="A304">
        <v>11302</v>
      </c>
      <c r="C304" s="2" t="s">
        <v>883</v>
      </c>
      <c r="D304" t="s">
        <v>1306</v>
      </c>
      <c r="E304" t="s">
        <v>2306</v>
      </c>
      <c r="F304" t="s">
        <v>3252</v>
      </c>
      <c r="G304" t="s">
        <v>3952</v>
      </c>
      <c r="J304" t="s">
        <v>228</v>
      </c>
      <c r="N304">
        <v>59251934</v>
      </c>
    </row>
    <row r="305" spans="1:14" x14ac:dyDescent="0.35">
      <c r="A305">
        <v>11303</v>
      </c>
      <c r="C305" s="2" t="s">
        <v>883</v>
      </c>
      <c r="D305" t="s">
        <v>1307</v>
      </c>
      <c r="E305" t="s">
        <v>2307</v>
      </c>
      <c r="F305" t="s">
        <v>3253</v>
      </c>
      <c r="G305" t="s">
        <v>3953</v>
      </c>
      <c r="J305" t="s">
        <v>228</v>
      </c>
      <c r="N305">
        <v>59251935</v>
      </c>
    </row>
    <row r="306" spans="1:14" x14ac:dyDescent="0.35">
      <c r="A306">
        <v>11304</v>
      </c>
      <c r="C306" s="2" t="s">
        <v>883</v>
      </c>
      <c r="D306" t="s">
        <v>1308</v>
      </c>
      <c r="E306" t="s">
        <v>2308</v>
      </c>
      <c r="F306" t="s">
        <v>3254</v>
      </c>
      <c r="G306" t="s">
        <v>3954</v>
      </c>
      <c r="J306" t="s">
        <v>228</v>
      </c>
      <c r="N306">
        <v>59251936</v>
      </c>
    </row>
    <row r="307" spans="1:14" x14ac:dyDescent="0.35">
      <c r="A307">
        <v>11305</v>
      </c>
      <c r="C307" s="2" t="s">
        <v>883</v>
      </c>
      <c r="D307" t="s">
        <v>1309</v>
      </c>
      <c r="E307" t="s">
        <v>2309</v>
      </c>
      <c r="F307" t="s">
        <v>3255</v>
      </c>
      <c r="G307" t="s">
        <v>3955</v>
      </c>
      <c r="J307" t="s">
        <v>228</v>
      </c>
      <c r="N307">
        <v>59251937</v>
      </c>
    </row>
    <row r="308" spans="1:14" x14ac:dyDescent="0.35">
      <c r="A308">
        <v>11306</v>
      </c>
      <c r="C308" s="2" t="s">
        <v>883</v>
      </c>
      <c r="D308" t="s">
        <v>1310</v>
      </c>
      <c r="E308" t="s">
        <v>2310</v>
      </c>
      <c r="F308" t="s">
        <v>3256</v>
      </c>
      <c r="G308" t="s">
        <v>3956</v>
      </c>
      <c r="J308" t="s">
        <v>228</v>
      </c>
      <c r="N308">
        <v>59251938</v>
      </c>
    </row>
    <row r="309" spans="1:14" x14ac:dyDescent="0.35">
      <c r="A309">
        <v>11307</v>
      </c>
      <c r="C309" s="2" t="s">
        <v>883</v>
      </c>
      <c r="D309" t="s">
        <v>1311</v>
      </c>
      <c r="E309" t="s">
        <v>2311</v>
      </c>
      <c r="F309" t="s">
        <v>3257</v>
      </c>
      <c r="G309" t="s">
        <v>3957</v>
      </c>
      <c r="J309" t="s">
        <v>228</v>
      </c>
      <c r="N309">
        <v>59251939</v>
      </c>
    </row>
    <row r="310" spans="1:14" x14ac:dyDescent="0.35">
      <c r="A310">
        <v>11308</v>
      </c>
      <c r="C310" s="2" t="s">
        <v>883</v>
      </c>
      <c r="D310" t="s">
        <v>1312</v>
      </c>
      <c r="E310" t="s">
        <v>2312</v>
      </c>
      <c r="F310" t="s">
        <v>3258</v>
      </c>
      <c r="G310" t="s">
        <v>3958</v>
      </c>
      <c r="J310" t="s">
        <v>228</v>
      </c>
      <c r="N310">
        <v>59251940</v>
      </c>
    </row>
    <row r="311" spans="1:14" x14ac:dyDescent="0.35">
      <c r="A311">
        <v>11309</v>
      </c>
      <c r="C311" s="2" t="s">
        <v>883</v>
      </c>
      <c r="D311" t="s">
        <v>1313</v>
      </c>
      <c r="E311" t="s">
        <v>2313</v>
      </c>
      <c r="F311" t="s">
        <v>3259</v>
      </c>
      <c r="G311" t="s">
        <v>3959</v>
      </c>
      <c r="J311" t="s">
        <v>228</v>
      </c>
      <c r="N311">
        <v>59251941</v>
      </c>
    </row>
    <row r="312" spans="1:14" x14ac:dyDescent="0.35">
      <c r="A312">
        <v>11310</v>
      </c>
      <c r="C312" s="2" t="s">
        <v>883</v>
      </c>
      <c r="D312" t="s">
        <v>1314</v>
      </c>
      <c r="E312" t="s">
        <v>2314</v>
      </c>
      <c r="F312" t="s">
        <v>3260</v>
      </c>
      <c r="G312" t="s">
        <v>3960</v>
      </c>
      <c r="J312" t="s">
        <v>228</v>
      </c>
      <c r="N312">
        <v>59251942</v>
      </c>
    </row>
    <row r="313" spans="1:14" x14ac:dyDescent="0.35">
      <c r="A313">
        <v>11311</v>
      </c>
      <c r="C313" s="2" t="s">
        <v>883</v>
      </c>
      <c r="D313" t="s">
        <v>1315</v>
      </c>
      <c r="E313" t="s">
        <v>2315</v>
      </c>
      <c r="F313" t="s">
        <v>3261</v>
      </c>
      <c r="G313" t="s">
        <v>3961</v>
      </c>
      <c r="J313" t="s">
        <v>228</v>
      </c>
      <c r="N313">
        <v>59251943</v>
      </c>
    </row>
    <row r="314" spans="1:14" x14ac:dyDescent="0.35">
      <c r="A314">
        <v>11312</v>
      </c>
      <c r="C314" s="2" t="s">
        <v>883</v>
      </c>
      <c r="D314" t="s">
        <v>1316</v>
      </c>
      <c r="E314" t="s">
        <v>2316</v>
      </c>
      <c r="F314" t="s">
        <v>3262</v>
      </c>
      <c r="G314" t="s">
        <v>3962</v>
      </c>
      <c r="J314" t="s">
        <v>228</v>
      </c>
      <c r="N314">
        <v>59251944</v>
      </c>
    </row>
    <row r="315" spans="1:14" x14ac:dyDescent="0.35">
      <c r="A315">
        <v>11313</v>
      </c>
      <c r="C315" s="2" t="s">
        <v>883</v>
      </c>
      <c r="D315" t="s">
        <v>1317</v>
      </c>
      <c r="E315" t="s">
        <v>2317</v>
      </c>
      <c r="F315" t="s">
        <v>3263</v>
      </c>
      <c r="G315" t="s">
        <v>3963</v>
      </c>
      <c r="J315" t="s">
        <v>228</v>
      </c>
      <c r="N315">
        <v>59251945</v>
      </c>
    </row>
    <row r="316" spans="1:14" x14ac:dyDescent="0.35">
      <c r="A316">
        <v>11314</v>
      </c>
      <c r="C316" s="2" t="s">
        <v>883</v>
      </c>
      <c r="D316" t="s">
        <v>1318</v>
      </c>
      <c r="E316" t="s">
        <v>2318</v>
      </c>
      <c r="F316" t="s">
        <v>3264</v>
      </c>
      <c r="G316" t="s">
        <v>3964</v>
      </c>
      <c r="J316" t="s">
        <v>228</v>
      </c>
      <c r="N316">
        <v>59251946</v>
      </c>
    </row>
    <row r="317" spans="1:14" x14ac:dyDescent="0.35">
      <c r="A317">
        <v>11315</v>
      </c>
      <c r="C317" s="2" t="s">
        <v>883</v>
      </c>
      <c r="D317" t="s">
        <v>1319</v>
      </c>
      <c r="E317" t="s">
        <v>2319</v>
      </c>
      <c r="F317" t="s">
        <v>3265</v>
      </c>
      <c r="G317" t="s">
        <v>3965</v>
      </c>
      <c r="J317" t="s">
        <v>228</v>
      </c>
      <c r="N317">
        <v>59251947</v>
      </c>
    </row>
    <row r="318" spans="1:14" x14ac:dyDescent="0.35">
      <c r="A318">
        <v>11316</v>
      </c>
      <c r="C318" s="2" t="s">
        <v>883</v>
      </c>
      <c r="D318" t="s">
        <v>1320</v>
      </c>
      <c r="E318" t="s">
        <v>2320</v>
      </c>
      <c r="F318" t="s">
        <v>3266</v>
      </c>
      <c r="G318" t="s">
        <v>3966</v>
      </c>
      <c r="J318" t="s">
        <v>228</v>
      </c>
      <c r="N318">
        <v>59251948</v>
      </c>
    </row>
    <row r="319" spans="1:14" x14ac:dyDescent="0.35">
      <c r="A319">
        <v>11317</v>
      </c>
      <c r="C319" s="2" t="s">
        <v>883</v>
      </c>
      <c r="D319" t="s">
        <v>1321</v>
      </c>
      <c r="E319" t="s">
        <v>2321</v>
      </c>
      <c r="F319" t="s">
        <v>3267</v>
      </c>
      <c r="G319" t="s">
        <v>3967</v>
      </c>
      <c r="J319" t="s">
        <v>228</v>
      </c>
      <c r="N319">
        <v>59251949</v>
      </c>
    </row>
    <row r="320" spans="1:14" x14ac:dyDescent="0.35">
      <c r="A320">
        <v>11318</v>
      </c>
      <c r="C320" s="2" t="s">
        <v>883</v>
      </c>
      <c r="D320" t="s">
        <v>1322</v>
      </c>
      <c r="E320" t="s">
        <v>2322</v>
      </c>
      <c r="F320" t="s">
        <v>3268</v>
      </c>
      <c r="G320" t="s">
        <v>3968</v>
      </c>
      <c r="J320" t="s">
        <v>228</v>
      </c>
      <c r="N320">
        <v>59251950</v>
      </c>
    </row>
    <row r="321" spans="1:14" x14ac:dyDescent="0.35">
      <c r="A321">
        <v>11319</v>
      </c>
      <c r="C321" s="2" t="s">
        <v>883</v>
      </c>
      <c r="D321" t="s">
        <v>1323</v>
      </c>
      <c r="E321" t="s">
        <v>2323</v>
      </c>
      <c r="F321" t="s">
        <v>3269</v>
      </c>
      <c r="G321" t="s">
        <v>3969</v>
      </c>
      <c r="J321" t="s">
        <v>228</v>
      </c>
      <c r="N321">
        <v>59251951</v>
      </c>
    </row>
    <row r="322" spans="1:14" x14ac:dyDescent="0.35">
      <c r="A322">
        <v>11320</v>
      </c>
      <c r="C322" s="2" t="s">
        <v>883</v>
      </c>
      <c r="D322" t="s">
        <v>1324</v>
      </c>
      <c r="E322" t="s">
        <v>2324</v>
      </c>
      <c r="F322" t="s">
        <v>3270</v>
      </c>
      <c r="G322" t="s">
        <v>3970</v>
      </c>
      <c r="J322" t="s">
        <v>228</v>
      </c>
      <c r="N322">
        <v>59251952</v>
      </c>
    </row>
    <row r="323" spans="1:14" x14ac:dyDescent="0.35">
      <c r="A323">
        <v>11321</v>
      </c>
      <c r="C323" s="2" t="s">
        <v>883</v>
      </c>
      <c r="D323" t="s">
        <v>1325</v>
      </c>
      <c r="E323" t="s">
        <v>2325</v>
      </c>
      <c r="F323" t="s">
        <v>3271</v>
      </c>
      <c r="G323" t="s">
        <v>3971</v>
      </c>
      <c r="J323" t="s">
        <v>228</v>
      </c>
      <c r="N323">
        <v>59251953</v>
      </c>
    </row>
    <row r="324" spans="1:14" x14ac:dyDescent="0.35">
      <c r="A324">
        <v>11322</v>
      </c>
      <c r="C324" s="2" t="s">
        <v>883</v>
      </c>
      <c r="D324" t="s">
        <v>1326</v>
      </c>
      <c r="E324" t="s">
        <v>2326</v>
      </c>
      <c r="F324" t="s">
        <v>3272</v>
      </c>
      <c r="G324" t="s">
        <v>3972</v>
      </c>
      <c r="J324" t="s">
        <v>228</v>
      </c>
      <c r="N324">
        <v>59251954</v>
      </c>
    </row>
    <row r="325" spans="1:14" x14ac:dyDescent="0.35">
      <c r="A325">
        <v>11323</v>
      </c>
      <c r="C325" s="2" t="s">
        <v>883</v>
      </c>
      <c r="D325" t="s">
        <v>1327</v>
      </c>
      <c r="E325" t="s">
        <v>2327</v>
      </c>
      <c r="F325" t="s">
        <v>3273</v>
      </c>
      <c r="G325" t="s">
        <v>3973</v>
      </c>
      <c r="J325" t="s">
        <v>228</v>
      </c>
      <c r="N325">
        <v>59251955</v>
      </c>
    </row>
    <row r="326" spans="1:14" x14ac:dyDescent="0.35">
      <c r="A326">
        <v>11324</v>
      </c>
      <c r="C326" s="2" t="s">
        <v>883</v>
      </c>
      <c r="D326" t="s">
        <v>1328</v>
      </c>
      <c r="E326" t="s">
        <v>2328</v>
      </c>
      <c r="F326" t="s">
        <v>3274</v>
      </c>
      <c r="G326" t="s">
        <v>3974</v>
      </c>
      <c r="J326" t="s">
        <v>228</v>
      </c>
      <c r="N326">
        <v>59251956</v>
      </c>
    </row>
    <row r="327" spans="1:14" x14ac:dyDescent="0.35">
      <c r="A327">
        <v>11325</v>
      </c>
      <c r="C327" s="2" t="s">
        <v>883</v>
      </c>
      <c r="D327" t="s">
        <v>1329</v>
      </c>
      <c r="E327" t="s">
        <v>2329</v>
      </c>
      <c r="F327" t="s">
        <v>3275</v>
      </c>
      <c r="G327" t="s">
        <v>3975</v>
      </c>
      <c r="J327" t="s">
        <v>228</v>
      </c>
      <c r="N327">
        <v>59251957</v>
      </c>
    </row>
    <row r="328" spans="1:14" x14ac:dyDescent="0.35">
      <c r="A328">
        <v>11326</v>
      </c>
      <c r="C328" s="2" t="s">
        <v>883</v>
      </c>
      <c r="D328" t="s">
        <v>1330</v>
      </c>
      <c r="E328" t="s">
        <v>2330</v>
      </c>
      <c r="F328" t="s">
        <v>3276</v>
      </c>
      <c r="G328" t="s">
        <v>3976</v>
      </c>
      <c r="J328" t="s">
        <v>228</v>
      </c>
      <c r="N328">
        <v>59251958</v>
      </c>
    </row>
    <row r="329" spans="1:14" x14ac:dyDescent="0.35">
      <c r="A329">
        <v>11327</v>
      </c>
      <c r="C329" s="2" t="s">
        <v>883</v>
      </c>
      <c r="D329" t="s">
        <v>1331</v>
      </c>
      <c r="E329" t="s">
        <v>2331</v>
      </c>
      <c r="F329" t="s">
        <v>3277</v>
      </c>
      <c r="G329" t="s">
        <v>3977</v>
      </c>
      <c r="J329" t="s">
        <v>228</v>
      </c>
      <c r="N329">
        <v>59251959</v>
      </c>
    </row>
    <row r="330" spans="1:14" x14ac:dyDescent="0.35">
      <c r="A330">
        <v>11328</v>
      </c>
      <c r="C330" s="2" t="s">
        <v>883</v>
      </c>
      <c r="D330" t="s">
        <v>1332</v>
      </c>
      <c r="E330" t="s">
        <v>2332</v>
      </c>
      <c r="F330" t="s">
        <v>3278</v>
      </c>
      <c r="G330" t="s">
        <v>3978</v>
      </c>
      <c r="J330" t="s">
        <v>228</v>
      </c>
      <c r="N330">
        <v>59251960</v>
      </c>
    </row>
    <row r="331" spans="1:14" x14ac:dyDescent="0.35">
      <c r="A331">
        <v>11329</v>
      </c>
      <c r="C331" s="2" t="s">
        <v>883</v>
      </c>
      <c r="D331" t="s">
        <v>1333</v>
      </c>
      <c r="E331" t="s">
        <v>2333</v>
      </c>
      <c r="F331" t="s">
        <v>3279</v>
      </c>
      <c r="G331" t="s">
        <v>3979</v>
      </c>
      <c r="J331" t="s">
        <v>228</v>
      </c>
      <c r="N331">
        <v>59251961</v>
      </c>
    </row>
    <row r="332" spans="1:14" x14ac:dyDescent="0.35">
      <c r="A332">
        <v>11330</v>
      </c>
      <c r="C332" s="2" t="s">
        <v>883</v>
      </c>
      <c r="D332" t="s">
        <v>1334</v>
      </c>
      <c r="E332" t="s">
        <v>2334</v>
      </c>
      <c r="F332" t="s">
        <v>3280</v>
      </c>
      <c r="G332" t="s">
        <v>3980</v>
      </c>
      <c r="J332" t="s">
        <v>228</v>
      </c>
      <c r="N332">
        <v>59251962</v>
      </c>
    </row>
    <row r="333" spans="1:14" x14ac:dyDescent="0.35">
      <c r="A333">
        <v>11331</v>
      </c>
      <c r="C333" s="2" t="s">
        <v>883</v>
      </c>
      <c r="D333" t="s">
        <v>1335</v>
      </c>
      <c r="E333" t="s">
        <v>2335</v>
      </c>
      <c r="F333" t="s">
        <v>3281</v>
      </c>
      <c r="G333" t="s">
        <v>3981</v>
      </c>
      <c r="J333" t="s">
        <v>228</v>
      </c>
      <c r="N333">
        <v>59251963</v>
      </c>
    </row>
    <row r="334" spans="1:14" x14ac:dyDescent="0.35">
      <c r="A334">
        <v>11332</v>
      </c>
      <c r="C334" s="2" t="s">
        <v>883</v>
      </c>
      <c r="D334" t="s">
        <v>1336</v>
      </c>
      <c r="E334" t="s">
        <v>2336</v>
      </c>
      <c r="F334" t="s">
        <v>3282</v>
      </c>
      <c r="G334" t="s">
        <v>3982</v>
      </c>
      <c r="J334" t="s">
        <v>228</v>
      </c>
      <c r="N334">
        <v>59251964</v>
      </c>
    </row>
    <row r="335" spans="1:14" x14ac:dyDescent="0.35">
      <c r="A335">
        <v>11333</v>
      </c>
      <c r="C335" s="2" t="s">
        <v>883</v>
      </c>
      <c r="D335" t="s">
        <v>1337</v>
      </c>
      <c r="E335" t="s">
        <v>2337</v>
      </c>
      <c r="F335" t="s">
        <v>3005</v>
      </c>
      <c r="G335" t="s">
        <v>3983</v>
      </c>
      <c r="J335" t="s">
        <v>228</v>
      </c>
      <c r="N335">
        <v>59251965</v>
      </c>
    </row>
    <row r="336" spans="1:14" x14ac:dyDescent="0.35">
      <c r="A336">
        <v>11334</v>
      </c>
      <c r="C336" s="2" t="s">
        <v>883</v>
      </c>
      <c r="D336" t="s">
        <v>1338</v>
      </c>
      <c r="E336" t="s">
        <v>2338</v>
      </c>
      <c r="F336" t="s">
        <v>3091</v>
      </c>
      <c r="G336" t="s">
        <v>3984</v>
      </c>
      <c r="J336" t="s">
        <v>228</v>
      </c>
      <c r="N336">
        <v>59251966</v>
      </c>
    </row>
    <row r="337" spans="1:14" x14ac:dyDescent="0.35">
      <c r="A337">
        <v>11335</v>
      </c>
      <c r="C337" s="2" t="s">
        <v>883</v>
      </c>
      <c r="D337" t="s">
        <v>1339</v>
      </c>
      <c r="E337" t="s">
        <v>2339</v>
      </c>
      <c r="F337" t="s">
        <v>3085</v>
      </c>
      <c r="G337" t="s">
        <v>3985</v>
      </c>
      <c r="J337" t="s">
        <v>228</v>
      </c>
      <c r="N337">
        <v>59251967</v>
      </c>
    </row>
    <row r="338" spans="1:14" x14ac:dyDescent="0.35">
      <c r="A338">
        <v>11336</v>
      </c>
      <c r="C338" s="2" t="s">
        <v>883</v>
      </c>
      <c r="D338" t="s">
        <v>1340</v>
      </c>
      <c r="E338" t="s">
        <v>2340</v>
      </c>
      <c r="F338" t="s">
        <v>3283</v>
      </c>
      <c r="G338">
        <v>44</v>
      </c>
      <c r="H338" t="s">
        <v>3986</v>
      </c>
      <c r="J338" t="s">
        <v>228</v>
      </c>
      <c r="N338">
        <v>59251968</v>
      </c>
    </row>
    <row r="339" spans="1:14" x14ac:dyDescent="0.35">
      <c r="A339">
        <v>11337</v>
      </c>
      <c r="C339" s="2" t="s">
        <v>883</v>
      </c>
      <c r="D339" t="s">
        <v>1341</v>
      </c>
      <c r="E339" t="s">
        <v>2341</v>
      </c>
      <c r="F339" t="s">
        <v>3051</v>
      </c>
      <c r="G339" t="s">
        <v>3987</v>
      </c>
      <c r="J339" t="s">
        <v>228</v>
      </c>
      <c r="N339">
        <v>59251969</v>
      </c>
    </row>
    <row r="340" spans="1:14" x14ac:dyDescent="0.35">
      <c r="A340">
        <v>11338</v>
      </c>
      <c r="C340" s="2" t="s">
        <v>883</v>
      </c>
      <c r="D340" t="s">
        <v>1342</v>
      </c>
      <c r="E340" t="s">
        <v>2342</v>
      </c>
      <c r="F340" t="s">
        <v>3111</v>
      </c>
      <c r="G340" t="s">
        <v>3988</v>
      </c>
      <c r="J340" t="s">
        <v>228</v>
      </c>
      <c r="N340">
        <v>59251970</v>
      </c>
    </row>
    <row r="341" spans="1:14" x14ac:dyDescent="0.35">
      <c r="A341">
        <v>11339</v>
      </c>
      <c r="C341" s="2" t="s">
        <v>883</v>
      </c>
      <c r="D341" t="s">
        <v>1343</v>
      </c>
      <c r="E341" t="s">
        <v>2343</v>
      </c>
      <c r="F341" t="s">
        <v>3284</v>
      </c>
      <c r="G341">
        <v>828</v>
      </c>
      <c r="H341" t="s">
        <v>3893</v>
      </c>
      <c r="J341" t="s">
        <v>228</v>
      </c>
      <c r="N341">
        <v>59251971</v>
      </c>
    </row>
    <row r="342" spans="1:14" x14ac:dyDescent="0.35">
      <c r="A342">
        <v>11340</v>
      </c>
      <c r="C342" s="2" t="s">
        <v>883</v>
      </c>
      <c r="D342" t="s">
        <v>1344</v>
      </c>
      <c r="E342" t="s">
        <v>2344</v>
      </c>
      <c r="F342" t="s">
        <v>3200</v>
      </c>
      <c r="G342">
        <v>9</v>
      </c>
      <c r="H342" t="s">
        <v>3989</v>
      </c>
      <c r="J342" t="s">
        <v>228</v>
      </c>
      <c r="N342">
        <v>59251972</v>
      </c>
    </row>
    <row r="343" spans="1:14" x14ac:dyDescent="0.35">
      <c r="A343">
        <v>11341</v>
      </c>
      <c r="C343" s="2" t="s">
        <v>883</v>
      </c>
      <c r="D343" t="s">
        <v>1345</v>
      </c>
      <c r="E343" t="s">
        <v>2345</v>
      </c>
      <c r="F343" t="s">
        <v>3285</v>
      </c>
      <c r="G343" t="s">
        <v>3990</v>
      </c>
      <c r="J343" t="s">
        <v>228</v>
      </c>
      <c r="N343">
        <v>59251973</v>
      </c>
    </row>
    <row r="344" spans="1:14" x14ac:dyDescent="0.35">
      <c r="A344">
        <v>11342</v>
      </c>
      <c r="C344" s="2" t="s">
        <v>883</v>
      </c>
      <c r="D344" t="s">
        <v>1346</v>
      </c>
      <c r="E344" t="s">
        <v>2346</v>
      </c>
      <c r="F344" t="s">
        <v>3080</v>
      </c>
      <c r="G344">
        <v>68062</v>
      </c>
      <c r="H344" t="s">
        <v>3991</v>
      </c>
      <c r="J344" t="s">
        <v>228</v>
      </c>
      <c r="N344">
        <v>59251974</v>
      </c>
    </row>
    <row r="345" spans="1:14" x14ac:dyDescent="0.35">
      <c r="A345">
        <v>11343</v>
      </c>
      <c r="C345" s="2" t="s">
        <v>883</v>
      </c>
      <c r="D345" t="s">
        <v>1347</v>
      </c>
      <c r="E345" t="s">
        <v>2347</v>
      </c>
      <c r="F345" t="s">
        <v>3086</v>
      </c>
      <c r="G345" t="s">
        <v>3992</v>
      </c>
      <c r="J345" t="s">
        <v>228</v>
      </c>
      <c r="N345">
        <v>59251975</v>
      </c>
    </row>
    <row r="346" spans="1:14" x14ac:dyDescent="0.35">
      <c r="A346">
        <v>11344</v>
      </c>
      <c r="C346" s="2" t="s">
        <v>883</v>
      </c>
      <c r="D346" t="s">
        <v>1348</v>
      </c>
      <c r="E346" t="s">
        <v>2348</v>
      </c>
      <c r="F346" t="s">
        <v>3199</v>
      </c>
      <c r="G346" t="s">
        <v>3993</v>
      </c>
      <c r="J346" t="s">
        <v>228</v>
      </c>
      <c r="N346">
        <v>59251976</v>
      </c>
    </row>
    <row r="347" spans="1:14" x14ac:dyDescent="0.35">
      <c r="A347">
        <v>11345</v>
      </c>
      <c r="C347" s="2" t="s">
        <v>883</v>
      </c>
      <c r="D347" t="s">
        <v>1349</v>
      </c>
      <c r="E347" t="s">
        <v>2349</v>
      </c>
      <c r="F347" t="s">
        <v>3068</v>
      </c>
      <c r="G347">
        <v>6</v>
      </c>
      <c r="H347" t="s">
        <v>3994</v>
      </c>
      <c r="J347" t="s">
        <v>228</v>
      </c>
      <c r="N347">
        <v>59251977</v>
      </c>
    </row>
    <row r="348" spans="1:14" x14ac:dyDescent="0.35">
      <c r="A348">
        <v>11346</v>
      </c>
      <c r="C348" s="2" t="s">
        <v>883</v>
      </c>
      <c r="D348" t="s">
        <v>1350</v>
      </c>
      <c r="E348" t="s">
        <v>2350</v>
      </c>
      <c r="F348" t="s">
        <v>3051</v>
      </c>
      <c r="G348" t="s">
        <v>3995</v>
      </c>
      <c r="J348" t="s">
        <v>228</v>
      </c>
      <c r="N348">
        <v>59251978</v>
      </c>
    </row>
    <row r="349" spans="1:14" x14ac:dyDescent="0.35">
      <c r="A349">
        <v>11347</v>
      </c>
      <c r="C349" s="2" t="s">
        <v>883</v>
      </c>
      <c r="D349" t="s">
        <v>1351</v>
      </c>
      <c r="E349" t="s">
        <v>2351</v>
      </c>
      <c r="F349" t="s">
        <v>3019</v>
      </c>
      <c r="G349" t="s">
        <v>3996</v>
      </c>
      <c r="J349" t="s">
        <v>228</v>
      </c>
      <c r="N349">
        <v>59251979</v>
      </c>
    </row>
    <row r="350" spans="1:14" x14ac:dyDescent="0.35">
      <c r="A350">
        <v>11348</v>
      </c>
      <c r="C350" s="2" t="s">
        <v>883</v>
      </c>
      <c r="D350" t="s">
        <v>1352</v>
      </c>
      <c r="E350" t="s">
        <v>2352</v>
      </c>
      <c r="F350" t="s">
        <v>3012</v>
      </c>
      <c r="G350" t="s">
        <v>3997</v>
      </c>
      <c r="J350" t="s">
        <v>228</v>
      </c>
      <c r="N350">
        <v>59251980</v>
      </c>
    </row>
    <row r="351" spans="1:14" x14ac:dyDescent="0.35">
      <c r="A351">
        <v>11349</v>
      </c>
      <c r="C351" s="2" t="s">
        <v>883</v>
      </c>
      <c r="D351" t="s">
        <v>1353</v>
      </c>
      <c r="E351" t="s">
        <v>2353</v>
      </c>
      <c r="F351" t="s">
        <v>3112</v>
      </c>
      <c r="G351" t="s">
        <v>3998</v>
      </c>
      <c r="J351" t="s">
        <v>228</v>
      </c>
      <c r="N351">
        <v>59251981</v>
      </c>
    </row>
    <row r="352" spans="1:14" x14ac:dyDescent="0.35">
      <c r="A352">
        <v>11350</v>
      </c>
      <c r="C352" s="2" t="s">
        <v>883</v>
      </c>
      <c r="D352" t="s">
        <v>1354</v>
      </c>
      <c r="E352" t="s">
        <v>2354</v>
      </c>
      <c r="F352" t="s">
        <v>3286</v>
      </c>
      <c r="G352" t="s">
        <v>3999</v>
      </c>
      <c r="J352" t="s">
        <v>228</v>
      </c>
      <c r="N352">
        <v>59251982</v>
      </c>
    </row>
    <row r="353" spans="1:14" x14ac:dyDescent="0.35">
      <c r="A353">
        <v>11351</v>
      </c>
      <c r="C353" s="2" t="s">
        <v>883</v>
      </c>
      <c r="D353" t="s">
        <v>1355</v>
      </c>
      <c r="E353" t="s">
        <v>2355</v>
      </c>
      <c r="F353" t="s">
        <v>3287</v>
      </c>
      <c r="G353" t="s">
        <v>4000</v>
      </c>
      <c r="J353" t="s">
        <v>228</v>
      </c>
      <c r="N353">
        <v>59251983</v>
      </c>
    </row>
    <row r="354" spans="1:14" x14ac:dyDescent="0.35">
      <c r="A354">
        <v>11352</v>
      </c>
      <c r="C354" s="2" t="s">
        <v>883</v>
      </c>
      <c r="D354" t="s">
        <v>1356</v>
      </c>
      <c r="E354" t="s">
        <v>2356</v>
      </c>
      <c r="F354" t="s">
        <v>3007</v>
      </c>
      <c r="G354">
        <v>24</v>
      </c>
      <c r="H354" t="s">
        <v>4001</v>
      </c>
      <c r="J354" t="s">
        <v>228</v>
      </c>
      <c r="N354">
        <v>59251984</v>
      </c>
    </row>
    <row r="355" spans="1:14" x14ac:dyDescent="0.35">
      <c r="A355">
        <v>11353</v>
      </c>
      <c r="C355" s="2" t="s">
        <v>883</v>
      </c>
      <c r="D355" t="s">
        <v>1357</v>
      </c>
      <c r="E355" t="s">
        <v>2357</v>
      </c>
      <c r="F355" t="s">
        <v>3068</v>
      </c>
      <c r="G355" t="s">
        <v>4002</v>
      </c>
      <c r="J355" t="s">
        <v>228</v>
      </c>
      <c r="N355">
        <v>59251985</v>
      </c>
    </row>
    <row r="356" spans="1:14" x14ac:dyDescent="0.35">
      <c r="A356">
        <v>11354</v>
      </c>
      <c r="C356" s="2" t="s">
        <v>883</v>
      </c>
      <c r="D356" t="s">
        <v>1358</v>
      </c>
      <c r="E356" t="s">
        <v>2358</v>
      </c>
      <c r="F356" t="s">
        <v>3028</v>
      </c>
      <c r="G356" t="s">
        <v>4003</v>
      </c>
      <c r="J356" t="s">
        <v>228</v>
      </c>
      <c r="N356">
        <v>59251986</v>
      </c>
    </row>
    <row r="357" spans="1:14" x14ac:dyDescent="0.35">
      <c r="A357">
        <v>11355</v>
      </c>
      <c r="C357" s="2" t="s">
        <v>883</v>
      </c>
      <c r="D357" t="s">
        <v>1359</v>
      </c>
      <c r="E357" t="s">
        <v>2359</v>
      </c>
      <c r="F357" t="s">
        <v>3085</v>
      </c>
      <c r="G357" t="s">
        <v>4004</v>
      </c>
      <c r="J357" t="s">
        <v>228</v>
      </c>
      <c r="N357">
        <v>59251987</v>
      </c>
    </row>
    <row r="358" spans="1:14" x14ac:dyDescent="0.35">
      <c r="A358">
        <v>11356</v>
      </c>
      <c r="C358" s="2" t="s">
        <v>883</v>
      </c>
      <c r="D358" t="s">
        <v>1360</v>
      </c>
      <c r="E358" t="s">
        <v>2360</v>
      </c>
      <c r="F358" t="s">
        <v>3288</v>
      </c>
      <c r="G358" t="s">
        <v>4005</v>
      </c>
      <c r="J358" t="s">
        <v>228</v>
      </c>
      <c r="N358">
        <v>59251988</v>
      </c>
    </row>
    <row r="359" spans="1:14" x14ac:dyDescent="0.35">
      <c r="A359">
        <v>11357</v>
      </c>
      <c r="C359" s="2" t="s">
        <v>883</v>
      </c>
      <c r="D359" t="s">
        <v>1361</v>
      </c>
      <c r="E359" t="s">
        <v>2361</v>
      </c>
      <c r="F359" t="s">
        <v>3289</v>
      </c>
      <c r="G359" t="s">
        <v>4006</v>
      </c>
      <c r="J359" t="s">
        <v>228</v>
      </c>
      <c r="N359">
        <v>59251989</v>
      </c>
    </row>
    <row r="360" spans="1:14" x14ac:dyDescent="0.35">
      <c r="A360">
        <v>11358</v>
      </c>
      <c r="C360" s="2" t="s">
        <v>883</v>
      </c>
      <c r="D360" t="s">
        <v>1362</v>
      </c>
      <c r="E360" t="s">
        <v>2362</v>
      </c>
      <c r="F360" t="s">
        <v>3091</v>
      </c>
      <c r="G360" t="s">
        <v>4007</v>
      </c>
      <c r="J360" t="s">
        <v>228</v>
      </c>
      <c r="N360">
        <v>59251990</v>
      </c>
    </row>
    <row r="361" spans="1:14" x14ac:dyDescent="0.35">
      <c r="A361">
        <v>11359</v>
      </c>
      <c r="C361" s="2" t="s">
        <v>883</v>
      </c>
      <c r="D361" t="s">
        <v>1363</v>
      </c>
      <c r="E361" t="s">
        <v>2363</v>
      </c>
      <c r="F361" t="s">
        <v>3066</v>
      </c>
      <c r="G361" t="s">
        <v>4008</v>
      </c>
      <c r="J361" t="s">
        <v>228</v>
      </c>
      <c r="N361">
        <v>59251991</v>
      </c>
    </row>
    <row r="362" spans="1:14" x14ac:dyDescent="0.35">
      <c r="A362">
        <v>11360</v>
      </c>
      <c r="C362" s="2" t="s">
        <v>883</v>
      </c>
      <c r="D362" t="s">
        <v>1364</v>
      </c>
      <c r="E362" t="s">
        <v>2364</v>
      </c>
      <c r="F362" t="s">
        <v>3290</v>
      </c>
      <c r="G362" t="s">
        <v>4009</v>
      </c>
      <c r="J362" t="s">
        <v>228</v>
      </c>
      <c r="N362">
        <v>59251992</v>
      </c>
    </row>
    <row r="363" spans="1:14" x14ac:dyDescent="0.35">
      <c r="A363">
        <v>11361</v>
      </c>
      <c r="C363" s="2" t="s">
        <v>883</v>
      </c>
      <c r="D363" t="s">
        <v>1365</v>
      </c>
      <c r="E363" t="s">
        <v>2365</v>
      </c>
      <c r="F363" t="s">
        <v>3291</v>
      </c>
      <c r="G363" t="s">
        <v>4010</v>
      </c>
      <c r="J363" t="s">
        <v>228</v>
      </c>
      <c r="N363">
        <v>59251993</v>
      </c>
    </row>
    <row r="364" spans="1:14" x14ac:dyDescent="0.35">
      <c r="A364">
        <v>11362</v>
      </c>
      <c r="C364" s="2" t="s">
        <v>883</v>
      </c>
      <c r="D364" t="s">
        <v>1366</v>
      </c>
      <c r="E364" t="s">
        <v>2366</v>
      </c>
      <c r="F364" t="s">
        <v>3292</v>
      </c>
      <c r="G364" t="s">
        <v>4011</v>
      </c>
      <c r="J364" t="s">
        <v>228</v>
      </c>
      <c r="N364">
        <v>59251994</v>
      </c>
    </row>
    <row r="365" spans="1:14" x14ac:dyDescent="0.35">
      <c r="A365">
        <v>11363</v>
      </c>
      <c r="C365" s="2" t="s">
        <v>883</v>
      </c>
      <c r="D365" t="s">
        <v>1367</v>
      </c>
      <c r="E365" t="s">
        <v>2367</v>
      </c>
      <c r="F365" t="s">
        <v>3009</v>
      </c>
      <c r="G365" t="s">
        <v>4012</v>
      </c>
      <c r="J365" t="s">
        <v>228</v>
      </c>
      <c r="N365">
        <v>59251995</v>
      </c>
    </row>
    <row r="366" spans="1:14" x14ac:dyDescent="0.35">
      <c r="A366">
        <v>11364</v>
      </c>
      <c r="C366" s="2" t="s">
        <v>883</v>
      </c>
      <c r="D366" t="s">
        <v>1368</v>
      </c>
      <c r="E366" t="s">
        <v>2368</v>
      </c>
      <c r="F366" t="s">
        <v>3293</v>
      </c>
      <c r="G366" t="s">
        <v>4013</v>
      </c>
      <c r="J366" t="s">
        <v>228</v>
      </c>
      <c r="N366">
        <v>59251996</v>
      </c>
    </row>
    <row r="367" spans="1:14" x14ac:dyDescent="0.35">
      <c r="A367">
        <v>11365</v>
      </c>
      <c r="C367" s="2" t="s">
        <v>883</v>
      </c>
      <c r="D367" t="s">
        <v>1369</v>
      </c>
      <c r="E367" t="s">
        <v>2369</v>
      </c>
      <c r="F367" t="s">
        <v>3044</v>
      </c>
      <c r="G367" t="s">
        <v>4014</v>
      </c>
      <c r="J367" t="s">
        <v>228</v>
      </c>
      <c r="N367">
        <v>59251997</v>
      </c>
    </row>
    <row r="368" spans="1:14" x14ac:dyDescent="0.35">
      <c r="A368">
        <v>11366</v>
      </c>
      <c r="C368" s="2" t="s">
        <v>883</v>
      </c>
      <c r="D368" t="s">
        <v>1370</v>
      </c>
      <c r="E368" t="s">
        <v>2370</v>
      </c>
      <c r="F368" t="s">
        <v>3028</v>
      </c>
      <c r="G368" t="s">
        <v>4015</v>
      </c>
      <c r="J368" t="s">
        <v>228</v>
      </c>
      <c r="N368">
        <v>59251998</v>
      </c>
    </row>
    <row r="369" spans="1:14" x14ac:dyDescent="0.35">
      <c r="A369">
        <v>11367</v>
      </c>
      <c r="C369" s="2" t="s">
        <v>883</v>
      </c>
      <c r="D369" t="s">
        <v>1371</v>
      </c>
      <c r="E369" t="s">
        <v>2371</v>
      </c>
      <c r="F369" t="s">
        <v>3199</v>
      </c>
      <c r="G369" t="s">
        <v>4016</v>
      </c>
      <c r="J369" t="s">
        <v>228</v>
      </c>
      <c r="N369">
        <v>59251999</v>
      </c>
    </row>
    <row r="370" spans="1:14" x14ac:dyDescent="0.35">
      <c r="A370">
        <v>11368</v>
      </c>
      <c r="C370" s="2" t="s">
        <v>883</v>
      </c>
      <c r="D370" t="s">
        <v>1372</v>
      </c>
      <c r="E370" t="s">
        <v>2372</v>
      </c>
      <c r="F370" t="s">
        <v>3008</v>
      </c>
      <c r="G370" t="s">
        <v>4017</v>
      </c>
      <c r="J370" t="s">
        <v>228</v>
      </c>
      <c r="N370">
        <v>59252000</v>
      </c>
    </row>
    <row r="371" spans="1:14" x14ac:dyDescent="0.35">
      <c r="A371">
        <v>11369</v>
      </c>
      <c r="C371" s="2" t="s">
        <v>883</v>
      </c>
      <c r="D371" t="s">
        <v>1373</v>
      </c>
      <c r="E371" t="s">
        <v>2373</v>
      </c>
      <c r="F371" t="s">
        <v>3091</v>
      </c>
      <c r="G371" t="s">
        <v>4018</v>
      </c>
      <c r="J371" t="s">
        <v>228</v>
      </c>
      <c r="N371">
        <v>59252001</v>
      </c>
    </row>
    <row r="372" spans="1:14" x14ac:dyDescent="0.35">
      <c r="A372">
        <v>11370</v>
      </c>
      <c r="C372" s="2" t="s">
        <v>883</v>
      </c>
      <c r="D372" t="s">
        <v>1374</v>
      </c>
      <c r="E372" t="s">
        <v>2374</v>
      </c>
      <c r="F372" t="s">
        <v>3041</v>
      </c>
      <c r="G372" t="s">
        <v>4019</v>
      </c>
      <c r="J372" t="s">
        <v>228</v>
      </c>
      <c r="N372">
        <v>59252002</v>
      </c>
    </row>
    <row r="373" spans="1:14" x14ac:dyDescent="0.35">
      <c r="A373">
        <v>11371</v>
      </c>
      <c r="C373" s="2" t="s">
        <v>883</v>
      </c>
      <c r="D373" t="s">
        <v>1375</v>
      </c>
      <c r="E373" t="s">
        <v>2375</v>
      </c>
      <c r="F373" t="s">
        <v>3050</v>
      </c>
      <c r="G373" t="s">
        <v>4020</v>
      </c>
      <c r="J373" t="s">
        <v>228</v>
      </c>
      <c r="N373">
        <v>59252003</v>
      </c>
    </row>
    <row r="374" spans="1:14" x14ac:dyDescent="0.35">
      <c r="A374">
        <v>11372</v>
      </c>
      <c r="C374" s="2" t="s">
        <v>883</v>
      </c>
      <c r="D374" t="s">
        <v>1376</v>
      </c>
      <c r="E374" t="s">
        <v>2376</v>
      </c>
      <c r="F374" t="s">
        <v>3034</v>
      </c>
      <c r="G374" t="s">
        <v>4021</v>
      </c>
      <c r="J374" t="s">
        <v>228</v>
      </c>
      <c r="N374">
        <v>59252004</v>
      </c>
    </row>
    <row r="375" spans="1:14" x14ac:dyDescent="0.35">
      <c r="A375">
        <v>11373</v>
      </c>
      <c r="C375" s="2" t="s">
        <v>883</v>
      </c>
      <c r="D375" t="s">
        <v>1377</v>
      </c>
      <c r="E375" t="s">
        <v>2377</v>
      </c>
      <c r="F375" t="s">
        <v>3282</v>
      </c>
      <c r="G375" t="s">
        <v>4022</v>
      </c>
      <c r="J375" t="s">
        <v>228</v>
      </c>
      <c r="N375">
        <v>59252005</v>
      </c>
    </row>
    <row r="376" spans="1:14" x14ac:dyDescent="0.35">
      <c r="A376">
        <v>11374</v>
      </c>
      <c r="C376" s="2" t="s">
        <v>883</v>
      </c>
      <c r="D376" t="s">
        <v>1378</v>
      </c>
      <c r="E376" t="s">
        <v>2378</v>
      </c>
      <c r="F376" t="s">
        <v>3035</v>
      </c>
      <c r="G376" t="s">
        <v>4023</v>
      </c>
      <c r="J376" t="s">
        <v>228</v>
      </c>
      <c r="N376">
        <v>59252006</v>
      </c>
    </row>
    <row r="377" spans="1:14" x14ac:dyDescent="0.35">
      <c r="A377">
        <v>11375</v>
      </c>
      <c r="C377" s="2" t="s">
        <v>883</v>
      </c>
      <c r="D377" t="s">
        <v>1379</v>
      </c>
      <c r="E377" t="s">
        <v>2379</v>
      </c>
      <c r="F377" t="s">
        <v>3198</v>
      </c>
      <c r="G377" t="s">
        <v>4024</v>
      </c>
      <c r="J377" t="s">
        <v>228</v>
      </c>
      <c r="N377">
        <v>59252007</v>
      </c>
    </row>
    <row r="378" spans="1:14" x14ac:dyDescent="0.35">
      <c r="A378">
        <v>11376</v>
      </c>
      <c r="C378" s="2" t="s">
        <v>883</v>
      </c>
      <c r="D378" t="s">
        <v>1380</v>
      </c>
      <c r="E378" t="s">
        <v>2380</v>
      </c>
      <c r="F378" t="s">
        <v>3051</v>
      </c>
      <c r="G378" t="s">
        <v>4025</v>
      </c>
      <c r="J378" t="s">
        <v>228</v>
      </c>
      <c r="N378">
        <v>59252008</v>
      </c>
    </row>
    <row r="379" spans="1:14" x14ac:dyDescent="0.35">
      <c r="A379">
        <v>11377</v>
      </c>
      <c r="C379" s="2" t="s">
        <v>883</v>
      </c>
      <c r="D379" t="s">
        <v>1381</v>
      </c>
      <c r="E379" t="s">
        <v>2381</v>
      </c>
      <c r="F379" t="s">
        <v>3294</v>
      </c>
      <c r="G379" t="s">
        <v>4026</v>
      </c>
      <c r="J379" t="s">
        <v>228</v>
      </c>
      <c r="N379">
        <v>59252009</v>
      </c>
    </row>
    <row r="380" spans="1:14" x14ac:dyDescent="0.35">
      <c r="A380">
        <v>11378</v>
      </c>
      <c r="C380" s="2" t="s">
        <v>883</v>
      </c>
      <c r="D380" t="s">
        <v>1382</v>
      </c>
      <c r="E380" t="s">
        <v>2382</v>
      </c>
      <c r="F380" t="s">
        <v>3295</v>
      </c>
      <c r="G380" t="s">
        <v>4027</v>
      </c>
      <c r="J380" t="s">
        <v>228</v>
      </c>
      <c r="N380">
        <v>59252010</v>
      </c>
    </row>
    <row r="381" spans="1:14" x14ac:dyDescent="0.35">
      <c r="A381">
        <v>11379</v>
      </c>
      <c r="C381" s="2" t="s">
        <v>883</v>
      </c>
      <c r="D381" t="s">
        <v>1383</v>
      </c>
      <c r="E381" t="s">
        <v>2383</v>
      </c>
      <c r="F381" t="s">
        <v>3061</v>
      </c>
      <c r="G381">
        <v>5</v>
      </c>
      <c r="H381" t="s">
        <v>4028</v>
      </c>
      <c r="J381" t="s">
        <v>228</v>
      </c>
      <c r="N381">
        <v>59252011</v>
      </c>
    </row>
    <row r="382" spans="1:14" x14ac:dyDescent="0.35">
      <c r="A382">
        <v>11380</v>
      </c>
      <c r="C382" s="2" t="s">
        <v>883</v>
      </c>
      <c r="D382" t="s">
        <v>1384</v>
      </c>
      <c r="E382" t="s">
        <v>2384</v>
      </c>
      <c r="F382" t="s">
        <v>3198</v>
      </c>
      <c r="G382" t="s">
        <v>4029</v>
      </c>
      <c r="J382" t="s">
        <v>228</v>
      </c>
      <c r="N382">
        <v>59252012</v>
      </c>
    </row>
    <row r="383" spans="1:14" x14ac:dyDescent="0.35">
      <c r="A383">
        <v>11381</v>
      </c>
      <c r="C383" s="2" t="s">
        <v>883</v>
      </c>
      <c r="D383" t="s">
        <v>1385</v>
      </c>
      <c r="E383" t="s">
        <v>2385</v>
      </c>
      <c r="F383" t="s">
        <v>3004</v>
      </c>
      <c r="G383" t="s">
        <v>4030</v>
      </c>
      <c r="J383" t="s">
        <v>228</v>
      </c>
      <c r="N383">
        <v>59252013</v>
      </c>
    </row>
    <row r="384" spans="1:14" x14ac:dyDescent="0.35">
      <c r="A384">
        <v>11382</v>
      </c>
      <c r="C384" s="2" t="s">
        <v>883</v>
      </c>
      <c r="D384" t="s">
        <v>1386</v>
      </c>
      <c r="E384" t="s">
        <v>2386</v>
      </c>
      <c r="F384" t="s">
        <v>3286</v>
      </c>
      <c r="G384">
        <v>211</v>
      </c>
      <c r="H384" t="s">
        <v>4031</v>
      </c>
      <c r="J384" t="s">
        <v>228</v>
      </c>
      <c r="N384">
        <v>59252014</v>
      </c>
    </row>
    <row r="385" spans="1:14" x14ac:dyDescent="0.35">
      <c r="A385">
        <v>11383</v>
      </c>
      <c r="C385" s="2" t="s">
        <v>883</v>
      </c>
      <c r="D385" t="s">
        <v>1387</v>
      </c>
      <c r="E385" t="s">
        <v>2387</v>
      </c>
      <c r="F385" t="s">
        <v>3047</v>
      </c>
      <c r="G385">
        <v>571</v>
      </c>
      <c r="H385" t="s">
        <v>4032</v>
      </c>
      <c r="J385" t="s">
        <v>228</v>
      </c>
      <c r="N385">
        <v>59252015</v>
      </c>
    </row>
    <row r="386" spans="1:14" x14ac:dyDescent="0.35">
      <c r="A386">
        <v>11384</v>
      </c>
      <c r="C386" s="2" t="s">
        <v>883</v>
      </c>
      <c r="D386" t="s">
        <v>1388</v>
      </c>
      <c r="E386" t="s">
        <v>2388</v>
      </c>
      <c r="F386" t="s">
        <v>3047</v>
      </c>
      <c r="G386">
        <v>5</v>
      </c>
      <c r="H386" t="s">
        <v>4032</v>
      </c>
      <c r="J386" t="s">
        <v>228</v>
      </c>
      <c r="N386">
        <v>59252016</v>
      </c>
    </row>
    <row r="387" spans="1:14" x14ac:dyDescent="0.35">
      <c r="A387">
        <v>11385</v>
      </c>
      <c r="C387" s="2" t="s">
        <v>883</v>
      </c>
      <c r="D387" t="s">
        <v>1389</v>
      </c>
      <c r="E387" t="s">
        <v>2389</v>
      </c>
      <c r="F387" t="s">
        <v>3296</v>
      </c>
      <c r="G387" t="s">
        <v>4033</v>
      </c>
      <c r="J387" t="s">
        <v>228</v>
      </c>
      <c r="N387">
        <v>59252017</v>
      </c>
    </row>
    <row r="388" spans="1:14" x14ac:dyDescent="0.35">
      <c r="A388">
        <v>11386</v>
      </c>
      <c r="C388" s="2" t="s">
        <v>883</v>
      </c>
      <c r="D388" t="s">
        <v>1390</v>
      </c>
      <c r="E388" t="s">
        <v>2390</v>
      </c>
      <c r="F388" t="s">
        <v>3010</v>
      </c>
      <c r="G388" t="s">
        <v>4034</v>
      </c>
      <c r="J388" t="s">
        <v>228</v>
      </c>
      <c r="N388">
        <v>59252018</v>
      </c>
    </row>
    <row r="389" spans="1:14" x14ac:dyDescent="0.35">
      <c r="A389">
        <v>11387</v>
      </c>
      <c r="C389" s="2" t="s">
        <v>883</v>
      </c>
      <c r="D389" t="s">
        <v>1391</v>
      </c>
      <c r="E389" t="s">
        <v>2391</v>
      </c>
      <c r="F389" t="s">
        <v>3047</v>
      </c>
      <c r="G389" t="s">
        <v>4035</v>
      </c>
      <c r="J389" t="s">
        <v>228</v>
      </c>
      <c r="N389">
        <v>59252019</v>
      </c>
    </row>
    <row r="390" spans="1:14" x14ac:dyDescent="0.35">
      <c r="A390">
        <v>11388</v>
      </c>
      <c r="C390" s="2" t="s">
        <v>883</v>
      </c>
      <c r="D390" t="s">
        <v>1392</v>
      </c>
      <c r="E390" t="s">
        <v>2392</v>
      </c>
      <c r="F390" t="s">
        <v>3289</v>
      </c>
      <c r="G390" t="s">
        <v>4036</v>
      </c>
      <c r="J390" t="s">
        <v>228</v>
      </c>
      <c r="N390">
        <v>59252020</v>
      </c>
    </row>
    <row r="391" spans="1:14" x14ac:dyDescent="0.35">
      <c r="A391">
        <v>11389</v>
      </c>
      <c r="C391" s="2" t="s">
        <v>883</v>
      </c>
      <c r="D391" t="s">
        <v>1393</v>
      </c>
      <c r="E391" t="s">
        <v>2393</v>
      </c>
      <c r="F391" t="s">
        <v>3092</v>
      </c>
      <c r="G391" t="s">
        <v>4037</v>
      </c>
      <c r="J391" t="s">
        <v>228</v>
      </c>
      <c r="N391">
        <v>59252021</v>
      </c>
    </row>
    <row r="392" spans="1:14" x14ac:dyDescent="0.35">
      <c r="A392">
        <v>11390</v>
      </c>
      <c r="C392" s="2" t="s">
        <v>883</v>
      </c>
      <c r="D392" t="s">
        <v>1394</v>
      </c>
      <c r="E392" t="s">
        <v>2394</v>
      </c>
      <c r="F392" t="s">
        <v>3297</v>
      </c>
      <c r="G392">
        <v>11</v>
      </c>
      <c r="H392" t="s">
        <v>4038</v>
      </c>
      <c r="J392" t="s">
        <v>228</v>
      </c>
      <c r="N392">
        <v>59252022</v>
      </c>
    </row>
    <row r="393" spans="1:14" x14ac:dyDescent="0.35">
      <c r="A393">
        <v>11391</v>
      </c>
      <c r="C393" s="2" t="s">
        <v>883</v>
      </c>
      <c r="D393" t="s">
        <v>1395</v>
      </c>
      <c r="E393" t="s">
        <v>2395</v>
      </c>
      <c r="F393" t="s">
        <v>3081</v>
      </c>
      <c r="G393" t="s">
        <v>4039</v>
      </c>
      <c r="J393" t="s">
        <v>228</v>
      </c>
      <c r="N393">
        <v>59252023</v>
      </c>
    </row>
    <row r="394" spans="1:14" x14ac:dyDescent="0.35">
      <c r="A394">
        <v>11392</v>
      </c>
      <c r="C394" s="2" t="s">
        <v>883</v>
      </c>
      <c r="D394" t="s">
        <v>1396</v>
      </c>
      <c r="E394" t="s">
        <v>2396</v>
      </c>
      <c r="F394" t="s">
        <v>3298</v>
      </c>
      <c r="G394" t="s">
        <v>4040</v>
      </c>
      <c r="J394" t="s">
        <v>228</v>
      </c>
      <c r="N394">
        <v>59252024</v>
      </c>
    </row>
    <row r="395" spans="1:14" x14ac:dyDescent="0.35">
      <c r="A395">
        <v>11393</v>
      </c>
      <c r="C395" s="2" t="s">
        <v>883</v>
      </c>
      <c r="D395" t="s">
        <v>1397</v>
      </c>
      <c r="E395" t="s">
        <v>2397</v>
      </c>
      <c r="F395" t="s">
        <v>3012</v>
      </c>
      <c r="G395">
        <v>55</v>
      </c>
      <c r="H395" t="s">
        <v>4041</v>
      </c>
      <c r="J395" t="s">
        <v>228</v>
      </c>
      <c r="N395">
        <v>59252025</v>
      </c>
    </row>
    <row r="396" spans="1:14" x14ac:dyDescent="0.35">
      <c r="A396">
        <v>11394</v>
      </c>
      <c r="C396" s="2" t="s">
        <v>883</v>
      </c>
      <c r="D396" t="s">
        <v>1398</v>
      </c>
      <c r="E396" t="s">
        <v>2398</v>
      </c>
      <c r="F396" t="s">
        <v>3299</v>
      </c>
      <c r="G396" t="s">
        <v>4042</v>
      </c>
      <c r="J396" t="s">
        <v>228</v>
      </c>
      <c r="N396">
        <v>59252026</v>
      </c>
    </row>
    <row r="397" spans="1:14" x14ac:dyDescent="0.35">
      <c r="A397">
        <v>11395</v>
      </c>
      <c r="C397" s="2" t="s">
        <v>883</v>
      </c>
      <c r="D397" t="s">
        <v>1399</v>
      </c>
      <c r="E397" t="s">
        <v>2399</v>
      </c>
      <c r="F397" t="s">
        <v>3005</v>
      </c>
      <c r="G397" t="s">
        <v>4043</v>
      </c>
      <c r="J397" t="s">
        <v>228</v>
      </c>
      <c r="N397">
        <v>59252027</v>
      </c>
    </row>
    <row r="398" spans="1:14" x14ac:dyDescent="0.35">
      <c r="A398">
        <v>11396</v>
      </c>
      <c r="C398" s="2" t="s">
        <v>883</v>
      </c>
      <c r="D398" t="s">
        <v>1400</v>
      </c>
      <c r="E398" t="s">
        <v>2400</v>
      </c>
      <c r="F398" t="s">
        <v>3029</v>
      </c>
      <c r="G398" t="s">
        <v>4044</v>
      </c>
      <c r="J398" t="s">
        <v>228</v>
      </c>
      <c r="N398">
        <v>59252028</v>
      </c>
    </row>
    <row r="399" spans="1:14" x14ac:dyDescent="0.35">
      <c r="A399">
        <v>11397</v>
      </c>
      <c r="C399" s="2" t="s">
        <v>883</v>
      </c>
      <c r="D399" t="s">
        <v>1401</v>
      </c>
      <c r="E399" t="s">
        <v>2401</v>
      </c>
      <c r="F399" t="s">
        <v>3283</v>
      </c>
      <c r="G399" t="s">
        <v>3995</v>
      </c>
      <c r="J399" t="s">
        <v>228</v>
      </c>
      <c r="N399">
        <v>59252029</v>
      </c>
    </row>
    <row r="400" spans="1:14" x14ac:dyDescent="0.35">
      <c r="A400">
        <v>11398</v>
      </c>
      <c r="C400" s="2" t="s">
        <v>883</v>
      </c>
      <c r="D400" t="s">
        <v>1402</v>
      </c>
      <c r="E400" t="s">
        <v>2402</v>
      </c>
      <c r="F400" t="s">
        <v>3081</v>
      </c>
      <c r="G400" t="s">
        <v>4045</v>
      </c>
      <c r="J400" t="s">
        <v>228</v>
      </c>
      <c r="N400">
        <v>59252030</v>
      </c>
    </row>
    <row r="401" spans="1:14" x14ac:dyDescent="0.35">
      <c r="A401">
        <v>11399</v>
      </c>
      <c r="C401" s="2" t="s">
        <v>883</v>
      </c>
      <c r="D401" t="s">
        <v>1403</v>
      </c>
      <c r="E401" t="s">
        <v>2403</v>
      </c>
      <c r="F401" t="s">
        <v>3044</v>
      </c>
      <c r="G401">
        <v>11</v>
      </c>
      <c r="H401" t="s">
        <v>4046</v>
      </c>
      <c r="J401" t="s">
        <v>228</v>
      </c>
      <c r="N401">
        <v>59252031</v>
      </c>
    </row>
    <row r="402" spans="1:14" x14ac:dyDescent="0.35">
      <c r="A402">
        <v>11400</v>
      </c>
      <c r="C402" s="2" t="s">
        <v>883</v>
      </c>
      <c r="D402" t="s">
        <v>1404</v>
      </c>
      <c r="E402" t="s">
        <v>2404</v>
      </c>
      <c r="F402" t="s">
        <v>3300</v>
      </c>
      <c r="G402" t="s">
        <v>4047</v>
      </c>
      <c r="J402" t="s">
        <v>228</v>
      </c>
      <c r="N402">
        <v>59252032</v>
      </c>
    </row>
    <row r="403" spans="1:14" x14ac:dyDescent="0.35">
      <c r="A403">
        <v>11401</v>
      </c>
      <c r="C403" s="2" t="s">
        <v>883</v>
      </c>
      <c r="D403" t="s">
        <v>1405</v>
      </c>
      <c r="E403" t="s">
        <v>2405</v>
      </c>
      <c r="F403" t="s">
        <v>3288</v>
      </c>
      <c r="G403">
        <v>6</v>
      </c>
      <c r="H403" t="s">
        <v>4048</v>
      </c>
      <c r="J403" t="s">
        <v>228</v>
      </c>
      <c r="N403">
        <v>59252033</v>
      </c>
    </row>
    <row r="404" spans="1:14" x14ac:dyDescent="0.35">
      <c r="A404">
        <v>11402</v>
      </c>
      <c r="C404" s="2" t="s">
        <v>883</v>
      </c>
      <c r="D404" t="s">
        <v>1406</v>
      </c>
      <c r="E404" t="s">
        <v>2406</v>
      </c>
      <c r="F404" t="s">
        <v>3060</v>
      </c>
      <c r="G404">
        <v>1216</v>
      </c>
      <c r="H404" t="s">
        <v>4049</v>
      </c>
      <c r="J404" t="s">
        <v>228</v>
      </c>
      <c r="N404">
        <v>59252034</v>
      </c>
    </row>
    <row r="405" spans="1:14" x14ac:dyDescent="0.35">
      <c r="A405">
        <v>11403</v>
      </c>
      <c r="C405" s="2" t="s">
        <v>883</v>
      </c>
      <c r="D405" t="s">
        <v>1407</v>
      </c>
      <c r="E405" t="s">
        <v>2407</v>
      </c>
      <c r="F405" t="s">
        <v>3299</v>
      </c>
      <c r="G405">
        <v>340</v>
      </c>
      <c r="H405" t="s">
        <v>4050</v>
      </c>
      <c r="J405" t="s">
        <v>228</v>
      </c>
      <c r="N405">
        <v>59252035</v>
      </c>
    </row>
    <row r="406" spans="1:14" x14ac:dyDescent="0.35">
      <c r="A406">
        <v>11404</v>
      </c>
      <c r="C406" s="2" t="s">
        <v>883</v>
      </c>
      <c r="D406" t="s">
        <v>1408</v>
      </c>
      <c r="E406" t="s">
        <v>2408</v>
      </c>
      <c r="F406" t="s">
        <v>3026</v>
      </c>
      <c r="G406" t="s">
        <v>4051</v>
      </c>
      <c r="J406" t="s">
        <v>228</v>
      </c>
      <c r="N406">
        <v>59252036</v>
      </c>
    </row>
    <row r="407" spans="1:14" x14ac:dyDescent="0.35">
      <c r="A407">
        <v>11405</v>
      </c>
      <c r="C407" s="2" t="s">
        <v>883</v>
      </c>
      <c r="D407" t="s">
        <v>1409</v>
      </c>
      <c r="E407" t="s">
        <v>2409</v>
      </c>
      <c r="F407" t="s">
        <v>3289</v>
      </c>
      <c r="G407" t="s">
        <v>4052</v>
      </c>
      <c r="J407" t="s">
        <v>228</v>
      </c>
      <c r="N407">
        <v>59252037</v>
      </c>
    </row>
    <row r="408" spans="1:14" x14ac:dyDescent="0.35">
      <c r="A408">
        <v>11406</v>
      </c>
      <c r="C408" s="2" t="s">
        <v>883</v>
      </c>
      <c r="D408" t="s">
        <v>1410</v>
      </c>
      <c r="E408" t="s">
        <v>2410</v>
      </c>
      <c r="F408" t="s">
        <v>3284</v>
      </c>
      <c r="G408">
        <v>101</v>
      </c>
      <c r="H408" t="s">
        <v>4053</v>
      </c>
      <c r="J408" t="s">
        <v>228</v>
      </c>
      <c r="N408">
        <v>59252038</v>
      </c>
    </row>
    <row r="409" spans="1:14" x14ac:dyDescent="0.35">
      <c r="A409">
        <v>11407</v>
      </c>
      <c r="C409" s="2" t="s">
        <v>883</v>
      </c>
      <c r="D409" t="s">
        <v>1411</v>
      </c>
      <c r="E409" t="s">
        <v>2411</v>
      </c>
      <c r="F409" t="s">
        <v>3301</v>
      </c>
      <c r="G409" t="s">
        <v>4054</v>
      </c>
      <c r="J409" t="s">
        <v>228</v>
      </c>
      <c r="N409">
        <v>59252039</v>
      </c>
    </row>
    <row r="410" spans="1:14" x14ac:dyDescent="0.35">
      <c r="A410">
        <v>11408</v>
      </c>
      <c r="C410" s="2" t="s">
        <v>883</v>
      </c>
      <c r="D410" t="s">
        <v>1412</v>
      </c>
      <c r="E410" t="s">
        <v>2412</v>
      </c>
      <c r="F410" t="s">
        <v>3086</v>
      </c>
      <c r="G410" t="s">
        <v>4055</v>
      </c>
      <c r="J410" t="s">
        <v>228</v>
      </c>
      <c r="N410">
        <v>59252040</v>
      </c>
    </row>
    <row r="411" spans="1:14" x14ac:dyDescent="0.35">
      <c r="A411">
        <v>11409</v>
      </c>
      <c r="C411" s="2" t="s">
        <v>883</v>
      </c>
      <c r="D411" t="s">
        <v>1413</v>
      </c>
      <c r="E411" t="s">
        <v>2413</v>
      </c>
      <c r="F411" t="s">
        <v>3004</v>
      </c>
      <c r="G411">
        <v>33</v>
      </c>
      <c r="H411" t="s">
        <v>4056</v>
      </c>
      <c r="J411" t="s">
        <v>228</v>
      </c>
      <c r="N411">
        <v>59252041</v>
      </c>
    </row>
    <row r="412" spans="1:14" x14ac:dyDescent="0.35">
      <c r="A412">
        <v>11410</v>
      </c>
      <c r="C412" s="2" t="s">
        <v>883</v>
      </c>
      <c r="D412" t="s">
        <v>1414</v>
      </c>
      <c r="E412" t="s">
        <v>2414</v>
      </c>
      <c r="F412" t="s">
        <v>3089</v>
      </c>
      <c r="G412">
        <v>15</v>
      </c>
      <c r="H412" t="s">
        <v>4057</v>
      </c>
      <c r="J412" t="s">
        <v>228</v>
      </c>
      <c r="N412">
        <v>59252042</v>
      </c>
    </row>
    <row r="413" spans="1:14" x14ac:dyDescent="0.35">
      <c r="A413">
        <v>11411</v>
      </c>
      <c r="C413" s="2" t="s">
        <v>883</v>
      </c>
      <c r="D413" t="s">
        <v>1415</v>
      </c>
      <c r="E413" t="s">
        <v>2415</v>
      </c>
      <c r="F413" t="s">
        <v>3093</v>
      </c>
      <c r="G413" t="s">
        <v>4058</v>
      </c>
      <c r="J413" t="s">
        <v>228</v>
      </c>
      <c r="N413">
        <v>59252043</v>
      </c>
    </row>
    <row r="414" spans="1:14" x14ac:dyDescent="0.35">
      <c r="A414">
        <v>11412</v>
      </c>
      <c r="C414" s="2" t="s">
        <v>883</v>
      </c>
      <c r="D414" t="s">
        <v>1416</v>
      </c>
      <c r="E414" t="s">
        <v>2416</v>
      </c>
      <c r="F414" t="s">
        <v>3301</v>
      </c>
      <c r="G414" t="s">
        <v>4059</v>
      </c>
      <c r="J414" t="s">
        <v>228</v>
      </c>
      <c r="N414">
        <v>59252044</v>
      </c>
    </row>
    <row r="415" spans="1:14" x14ac:dyDescent="0.35">
      <c r="A415">
        <v>11413</v>
      </c>
      <c r="C415" s="2" t="s">
        <v>883</v>
      </c>
      <c r="D415" t="s">
        <v>1417</v>
      </c>
      <c r="E415" t="s">
        <v>2417</v>
      </c>
      <c r="F415" t="s">
        <v>3027</v>
      </c>
      <c r="G415" t="s">
        <v>4060</v>
      </c>
      <c r="J415" t="s">
        <v>228</v>
      </c>
      <c r="N415">
        <v>59252045</v>
      </c>
    </row>
    <row r="416" spans="1:14" x14ac:dyDescent="0.35">
      <c r="A416">
        <v>11414</v>
      </c>
      <c r="C416" s="2" t="s">
        <v>883</v>
      </c>
      <c r="D416" t="s">
        <v>1418</v>
      </c>
      <c r="E416" t="s">
        <v>2418</v>
      </c>
      <c r="F416" t="s">
        <v>3198</v>
      </c>
      <c r="G416" t="s">
        <v>4061</v>
      </c>
      <c r="J416" t="s">
        <v>228</v>
      </c>
      <c r="N416">
        <v>59252046</v>
      </c>
    </row>
    <row r="417" spans="1:14" x14ac:dyDescent="0.35">
      <c r="A417">
        <v>11415</v>
      </c>
      <c r="C417" s="2" t="s">
        <v>883</v>
      </c>
      <c r="D417" t="s">
        <v>1419</v>
      </c>
      <c r="E417" t="s">
        <v>2419</v>
      </c>
      <c r="F417" t="s">
        <v>3284</v>
      </c>
      <c r="G417" t="s">
        <v>4062</v>
      </c>
      <c r="J417" t="s">
        <v>228</v>
      </c>
      <c r="N417">
        <v>59252047</v>
      </c>
    </row>
    <row r="418" spans="1:14" x14ac:dyDescent="0.35">
      <c r="A418">
        <v>11416</v>
      </c>
      <c r="C418" s="2" t="s">
        <v>883</v>
      </c>
      <c r="D418" t="s">
        <v>1420</v>
      </c>
      <c r="E418" t="s">
        <v>2420</v>
      </c>
      <c r="F418" t="s">
        <v>3297</v>
      </c>
      <c r="G418">
        <v>8205</v>
      </c>
      <c r="H418" t="s">
        <v>4032</v>
      </c>
      <c r="J418" t="s">
        <v>228</v>
      </c>
      <c r="N418">
        <v>59252048</v>
      </c>
    </row>
    <row r="419" spans="1:14" x14ac:dyDescent="0.35">
      <c r="A419">
        <v>11417</v>
      </c>
      <c r="C419" s="2" t="s">
        <v>883</v>
      </c>
      <c r="D419" t="s">
        <v>1421</v>
      </c>
      <c r="E419" t="s">
        <v>2421</v>
      </c>
      <c r="F419" t="s">
        <v>3052</v>
      </c>
      <c r="G419">
        <v>4</v>
      </c>
      <c r="H419" t="s">
        <v>4063</v>
      </c>
      <c r="J419" t="s">
        <v>228</v>
      </c>
      <c r="N419">
        <v>59252049</v>
      </c>
    </row>
    <row r="420" spans="1:14" x14ac:dyDescent="0.35">
      <c r="A420">
        <v>11418</v>
      </c>
      <c r="C420" s="2" t="s">
        <v>883</v>
      </c>
      <c r="D420" t="s">
        <v>1422</v>
      </c>
      <c r="E420" t="s">
        <v>2422</v>
      </c>
      <c r="F420" t="s">
        <v>3295</v>
      </c>
      <c r="G420" t="s">
        <v>4064</v>
      </c>
      <c r="J420" t="s">
        <v>228</v>
      </c>
      <c r="N420">
        <v>59252050</v>
      </c>
    </row>
    <row r="421" spans="1:14" x14ac:dyDescent="0.35">
      <c r="A421">
        <v>11419</v>
      </c>
      <c r="C421" s="2" t="s">
        <v>883</v>
      </c>
      <c r="D421" t="s">
        <v>1423</v>
      </c>
      <c r="E421" t="s">
        <v>2423</v>
      </c>
      <c r="F421" t="s">
        <v>3026</v>
      </c>
      <c r="G421" t="s">
        <v>4065</v>
      </c>
      <c r="J421" t="s">
        <v>228</v>
      </c>
      <c r="N421">
        <v>59252051</v>
      </c>
    </row>
    <row r="422" spans="1:14" x14ac:dyDescent="0.35">
      <c r="A422">
        <v>11420</v>
      </c>
      <c r="C422" s="2" t="s">
        <v>883</v>
      </c>
      <c r="D422" t="s">
        <v>1424</v>
      </c>
      <c r="E422" t="s">
        <v>2424</v>
      </c>
      <c r="F422" t="s">
        <v>3290</v>
      </c>
      <c r="G422">
        <v>100</v>
      </c>
      <c r="H422" t="s">
        <v>4066</v>
      </c>
      <c r="J422" t="s">
        <v>228</v>
      </c>
      <c r="N422">
        <v>59252052</v>
      </c>
    </row>
    <row r="423" spans="1:14" x14ac:dyDescent="0.35">
      <c r="A423">
        <v>11421</v>
      </c>
      <c r="C423" s="2" t="s">
        <v>883</v>
      </c>
      <c r="D423" t="s">
        <v>1425</v>
      </c>
      <c r="E423" t="s">
        <v>2425</v>
      </c>
      <c r="F423" t="s">
        <v>3068</v>
      </c>
      <c r="G423" t="s">
        <v>4067</v>
      </c>
      <c r="J423" t="s">
        <v>228</v>
      </c>
      <c r="N423">
        <v>59252053</v>
      </c>
    </row>
    <row r="424" spans="1:14" x14ac:dyDescent="0.35">
      <c r="A424">
        <v>11422</v>
      </c>
      <c r="C424" s="2" t="s">
        <v>883</v>
      </c>
      <c r="D424" t="s">
        <v>1426</v>
      </c>
      <c r="E424" t="s">
        <v>2426</v>
      </c>
      <c r="F424" t="s">
        <v>3045</v>
      </c>
      <c r="G424" t="s">
        <v>4068</v>
      </c>
      <c r="J424" t="s">
        <v>228</v>
      </c>
      <c r="N424">
        <v>59252054</v>
      </c>
    </row>
    <row r="425" spans="1:14" x14ac:dyDescent="0.35">
      <c r="A425">
        <v>11423</v>
      </c>
      <c r="C425" s="2" t="s">
        <v>883</v>
      </c>
      <c r="D425" t="s">
        <v>1427</v>
      </c>
      <c r="E425" t="s">
        <v>2427</v>
      </c>
      <c r="F425" t="s">
        <v>3065</v>
      </c>
      <c r="G425" t="s">
        <v>4069</v>
      </c>
      <c r="J425" t="s">
        <v>228</v>
      </c>
      <c r="N425">
        <v>59252055</v>
      </c>
    </row>
    <row r="426" spans="1:14" x14ac:dyDescent="0.35">
      <c r="A426">
        <v>11424</v>
      </c>
      <c r="C426" s="2" t="s">
        <v>883</v>
      </c>
      <c r="D426" t="s">
        <v>1428</v>
      </c>
      <c r="E426" t="s">
        <v>2428</v>
      </c>
      <c r="F426" t="s">
        <v>3029</v>
      </c>
      <c r="G426" t="s">
        <v>4070</v>
      </c>
      <c r="J426" t="s">
        <v>228</v>
      </c>
      <c r="N426">
        <v>59252056</v>
      </c>
    </row>
    <row r="427" spans="1:14" x14ac:dyDescent="0.35">
      <c r="A427">
        <v>11425</v>
      </c>
      <c r="C427" s="2" t="s">
        <v>883</v>
      </c>
      <c r="D427" t="s">
        <v>1429</v>
      </c>
      <c r="E427" t="s">
        <v>2429</v>
      </c>
      <c r="F427" t="s">
        <v>3053</v>
      </c>
      <c r="G427" t="s">
        <v>4071</v>
      </c>
      <c r="J427" t="s">
        <v>228</v>
      </c>
      <c r="N427">
        <v>59252057</v>
      </c>
    </row>
    <row r="428" spans="1:14" x14ac:dyDescent="0.35">
      <c r="A428">
        <v>11426</v>
      </c>
      <c r="C428" s="2" t="s">
        <v>883</v>
      </c>
      <c r="D428" t="s">
        <v>1430</v>
      </c>
      <c r="E428" t="s">
        <v>2430</v>
      </c>
      <c r="F428" t="s">
        <v>3049</v>
      </c>
      <c r="G428" t="s">
        <v>4072</v>
      </c>
      <c r="J428" t="s">
        <v>228</v>
      </c>
      <c r="N428">
        <v>59252058</v>
      </c>
    </row>
    <row r="429" spans="1:14" x14ac:dyDescent="0.35">
      <c r="A429">
        <v>11427</v>
      </c>
      <c r="C429" s="2" t="s">
        <v>883</v>
      </c>
      <c r="D429" t="s">
        <v>1431</v>
      </c>
      <c r="E429" t="s">
        <v>2431</v>
      </c>
      <c r="F429" t="s">
        <v>3302</v>
      </c>
      <c r="G429" t="s">
        <v>4073</v>
      </c>
      <c r="J429" t="s">
        <v>228</v>
      </c>
      <c r="N429">
        <v>59252059</v>
      </c>
    </row>
    <row r="430" spans="1:14" x14ac:dyDescent="0.35">
      <c r="A430">
        <v>11428</v>
      </c>
      <c r="C430" s="2" t="s">
        <v>883</v>
      </c>
      <c r="D430" t="s">
        <v>1432</v>
      </c>
      <c r="E430" t="s">
        <v>2432</v>
      </c>
      <c r="F430" t="s">
        <v>3053</v>
      </c>
      <c r="G430" t="s">
        <v>4074</v>
      </c>
      <c r="J430" t="s">
        <v>228</v>
      </c>
      <c r="N430">
        <v>59252060</v>
      </c>
    </row>
    <row r="431" spans="1:14" x14ac:dyDescent="0.35">
      <c r="A431">
        <v>11429</v>
      </c>
      <c r="C431" s="2" t="s">
        <v>883</v>
      </c>
      <c r="D431" t="s">
        <v>1433</v>
      </c>
      <c r="E431" t="s">
        <v>2433</v>
      </c>
      <c r="F431" t="s">
        <v>3083</v>
      </c>
      <c r="G431">
        <v>313</v>
      </c>
      <c r="H431" t="s">
        <v>4075</v>
      </c>
      <c r="J431" t="s">
        <v>228</v>
      </c>
      <c r="N431">
        <v>59252061</v>
      </c>
    </row>
    <row r="432" spans="1:14" x14ac:dyDescent="0.35">
      <c r="A432">
        <v>11430</v>
      </c>
      <c r="C432" s="2" t="s">
        <v>883</v>
      </c>
      <c r="D432" t="s">
        <v>1434</v>
      </c>
      <c r="E432" t="s">
        <v>2434</v>
      </c>
      <c r="F432" t="s">
        <v>3006</v>
      </c>
      <c r="G432" t="s">
        <v>4076</v>
      </c>
      <c r="J432" t="s">
        <v>228</v>
      </c>
      <c r="N432">
        <v>59252062</v>
      </c>
    </row>
    <row r="433" spans="1:14" x14ac:dyDescent="0.35">
      <c r="A433">
        <v>11431</v>
      </c>
      <c r="C433" s="2" t="s">
        <v>883</v>
      </c>
      <c r="D433" t="s">
        <v>1435</v>
      </c>
      <c r="E433" t="s">
        <v>2435</v>
      </c>
      <c r="F433" t="s">
        <v>3081</v>
      </c>
      <c r="G433" t="s">
        <v>4077</v>
      </c>
      <c r="J433" t="s">
        <v>228</v>
      </c>
      <c r="N433">
        <v>59252063</v>
      </c>
    </row>
    <row r="434" spans="1:14" x14ac:dyDescent="0.35">
      <c r="A434">
        <v>11432</v>
      </c>
      <c r="C434" s="2" t="s">
        <v>883</v>
      </c>
      <c r="D434" t="s">
        <v>1436</v>
      </c>
      <c r="E434" t="s">
        <v>2436</v>
      </c>
      <c r="F434" t="s">
        <v>3287</v>
      </c>
      <c r="G434">
        <v>765</v>
      </c>
      <c r="H434" t="s">
        <v>4078</v>
      </c>
      <c r="J434" t="s">
        <v>228</v>
      </c>
      <c r="N434">
        <v>59252064</v>
      </c>
    </row>
    <row r="435" spans="1:14" x14ac:dyDescent="0.35">
      <c r="A435">
        <v>11433</v>
      </c>
      <c r="C435" s="2" t="s">
        <v>883</v>
      </c>
      <c r="D435" t="s">
        <v>1437</v>
      </c>
      <c r="E435" t="s">
        <v>2437</v>
      </c>
      <c r="F435" t="s">
        <v>3061</v>
      </c>
      <c r="G435">
        <v>59</v>
      </c>
      <c r="H435" t="s">
        <v>4079</v>
      </c>
      <c r="J435" t="s">
        <v>228</v>
      </c>
      <c r="N435">
        <v>59252065</v>
      </c>
    </row>
    <row r="436" spans="1:14" x14ac:dyDescent="0.35">
      <c r="A436">
        <v>11434</v>
      </c>
      <c r="C436" s="2" t="s">
        <v>883</v>
      </c>
      <c r="D436" t="s">
        <v>1438</v>
      </c>
      <c r="E436" t="s">
        <v>2438</v>
      </c>
      <c r="F436" t="s">
        <v>3068</v>
      </c>
      <c r="G436" t="s">
        <v>4080</v>
      </c>
      <c r="J436" t="s">
        <v>228</v>
      </c>
      <c r="N436">
        <v>59252066</v>
      </c>
    </row>
    <row r="437" spans="1:14" x14ac:dyDescent="0.35">
      <c r="A437">
        <v>11435</v>
      </c>
      <c r="C437" s="2" t="s">
        <v>883</v>
      </c>
      <c r="D437" t="s">
        <v>1439</v>
      </c>
      <c r="E437" t="s">
        <v>2439</v>
      </c>
      <c r="F437" t="s">
        <v>3045</v>
      </c>
      <c r="G437" t="s">
        <v>4081</v>
      </c>
      <c r="J437" t="s">
        <v>228</v>
      </c>
      <c r="N437">
        <v>59252067</v>
      </c>
    </row>
    <row r="438" spans="1:14" x14ac:dyDescent="0.35">
      <c r="A438">
        <v>11436</v>
      </c>
      <c r="C438" s="2" t="s">
        <v>883</v>
      </c>
      <c r="D438" t="s">
        <v>1440</v>
      </c>
      <c r="E438" t="s">
        <v>2440</v>
      </c>
      <c r="F438" t="s">
        <v>3062</v>
      </c>
      <c r="G438" t="s">
        <v>4082</v>
      </c>
      <c r="J438" t="s">
        <v>228</v>
      </c>
      <c r="N438">
        <v>59252068</v>
      </c>
    </row>
    <row r="439" spans="1:14" x14ac:dyDescent="0.35">
      <c r="A439">
        <v>11437</v>
      </c>
      <c r="C439" s="2" t="s">
        <v>883</v>
      </c>
      <c r="D439" t="s">
        <v>1441</v>
      </c>
      <c r="E439" t="s">
        <v>2441</v>
      </c>
      <c r="F439" t="s">
        <v>3086</v>
      </c>
      <c r="G439">
        <v>882</v>
      </c>
      <c r="H439" t="s">
        <v>4078</v>
      </c>
      <c r="J439" t="s">
        <v>228</v>
      </c>
      <c r="N439">
        <v>59252069</v>
      </c>
    </row>
    <row r="440" spans="1:14" x14ac:dyDescent="0.35">
      <c r="A440">
        <v>11438</v>
      </c>
      <c r="C440" s="2" t="s">
        <v>883</v>
      </c>
      <c r="D440" t="s">
        <v>1442</v>
      </c>
      <c r="E440" t="s">
        <v>2442</v>
      </c>
      <c r="F440" t="s">
        <v>3010</v>
      </c>
      <c r="G440" t="s">
        <v>4083</v>
      </c>
      <c r="J440" t="s">
        <v>228</v>
      </c>
      <c r="N440">
        <v>59252070</v>
      </c>
    </row>
    <row r="441" spans="1:14" x14ac:dyDescent="0.35">
      <c r="A441">
        <v>11439</v>
      </c>
      <c r="C441" s="2" t="s">
        <v>883</v>
      </c>
      <c r="D441" t="s">
        <v>1443</v>
      </c>
      <c r="E441" t="s">
        <v>2443</v>
      </c>
      <c r="F441" t="s">
        <v>3287</v>
      </c>
      <c r="G441">
        <v>61</v>
      </c>
      <c r="H441" t="s">
        <v>4084</v>
      </c>
      <c r="J441" t="s">
        <v>228</v>
      </c>
      <c r="N441">
        <v>59252071</v>
      </c>
    </row>
    <row r="442" spans="1:14" x14ac:dyDescent="0.35">
      <c r="A442">
        <v>11440</v>
      </c>
      <c r="C442" s="2" t="s">
        <v>883</v>
      </c>
      <c r="D442" t="s">
        <v>1444</v>
      </c>
      <c r="E442" t="s">
        <v>2444</v>
      </c>
      <c r="F442" t="s">
        <v>3026</v>
      </c>
      <c r="G442">
        <v>6</v>
      </c>
      <c r="H442" t="s">
        <v>4085</v>
      </c>
      <c r="J442" t="s">
        <v>228</v>
      </c>
      <c r="N442">
        <v>59252072</v>
      </c>
    </row>
    <row r="443" spans="1:14" x14ac:dyDescent="0.35">
      <c r="A443">
        <v>11441</v>
      </c>
      <c r="C443" s="2" t="s">
        <v>883</v>
      </c>
      <c r="D443" t="s">
        <v>1445</v>
      </c>
      <c r="E443" t="s">
        <v>2445</v>
      </c>
      <c r="F443" t="s">
        <v>3044</v>
      </c>
      <c r="G443">
        <v>2</v>
      </c>
      <c r="H443" t="s">
        <v>4086</v>
      </c>
      <c r="J443" t="s">
        <v>228</v>
      </c>
      <c r="N443">
        <v>59252073</v>
      </c>
    </row>
    <row r="444" spans="1:14" x14ac:dyDescent="0.35">
      <c r="A444">
        <v>11442</v>
      </c>
      <c r="C444" s="2" t="s">
        <v>883</v>
      </c>
      <c r="D444" t="s">
        <v>1446</v>
      </c>
      <c r="E444" t="s">
        <v>2446</v>
      </c>
      <c r="F444" t="s">
        <v>3027</v>
      </c>
      <c r="G444">
        <v>8</v>
      </c>
      <c r="H444" t="s">
        <v>4087</v>
      </c>
      <c r="J444" t="s">
        <v>228</v>
      </c>
      <c r="N444">
        <v>59252074</v>
      </c>
    </row>
    <row r="445" spans="1:14" x14ac:dyDescent="0.35">
      <c r="A445">
        <v>11443</v>
      </c>
      <c r="C445" s="2" t="s">
        <v>883</v>
      </c>
      <c r="D445" t="s">
        <v>1447</v>
      </c>
      <c r="E445" t="s">
        <v>2447</v>
      </c>
      <c r="F445" t="s">
        <v>3303</v>
      </c>
      <c r="G445" t="s">
        <v>4088</v>
      </c>
      <c r="J445" t="s">
        <v>228</v>
      </c>
      <c r="N445">
        <v>59252075</v>
      </c>
    </row>
    <row r="446" spans="1:14" x14ac:dyDescent="0.35">
      <c r="A446">
        <v>11444</v>
      </c>
      <c r="C446" s="2" t="s">
        <v>883</v>
      </c>
      <c r="D446" t="s">
        <v>1448</v>
      </c>
      <c r="E446" t="s">
        <v>2448</v>
      </c>
      <c r="F446" t="s">
        <v>3047</v>
      </c>
      <c r="G446" t="s">
        <v>4089</v>
      </c>
      <c r="J446" t="s">
        <v>228</v>
      </c>
      <c r="N446">
        <v>59252076</v>
      </c>
    </row>
    <row r="447" spans="1:14" x14ac:dyDescent="0.35">
      <c r="A447">
        <v>11445</v>
      </c>
      <c r="C447" s="2" t="s">
        <v>883</v>
      </c>
      <c r="D447" t="s">
        <v>1449</v>
      </c>
      <c r="E447" t="s">
        <v>2449</v>
      </c>
      <c r="F447" t="s">
        <v>3030</v>
      </c>
      <c r="G447" t="s">
        <v>4090</v>
      </c>
      <c r="J447" t="s">
        <v>228</v>
      </c>
      <c r="N447">
        <v>59252077</v>
      </c>
    </row>
    <row r="448" spans="1:14" x14ac:dyDescent="0.35">
      <c r="A448">
        <v>11446</v>
      </c>
      <c r="C448" s="2" t="s">
        <v>883</v>
      </c>
      <c r="D448" t="s">
        <v>1450</v>
      </c>
      <c r="E448" t="s">
        <v>2450</v>
      </c>
      <c r="F448" t="s">
        <v>3089</v>
      </c>
      <c r="G448" t="s">
        <v>4091</v>
      </c>
      <c r="J448" t="s">
        <v>228</v>
      </c>
      <c r="N448">
        <v>59252078</v>
      </c>
    </row>
    <row r="449" spans="1:14" x14ac:dyDescent="0.35">
      <c r="A449">
        <v>11447</v>
      </c>
      <c r="C449" s="2" t="s">
        <v>883</v>
      </c>
      <c r="D449" t="s">
        <v>1451</v>
      </c>
      <c r="E449" t="s">
        <v>2451</v>
      </c>
      <c r="F449" t="s">
        <v>3051</v>
      </c>
      <c r="G449" t="s">
        <v>4092</v>
      </c>
      <c r="J449" t="s">
        <v>228</v>
      </c>
      <c r="N449">
        <v>59252079</v>
      </c>
    </row>
    <row r="450" spans="1:14" x14ac:dyDescent="0.35">
      <c r="A450">
        <v>11448</v>
      </c>
      <c r="C450" s="2" t="s">
        <v>883</v>
      </c>
      <c r="D450" t="s">
        <v>1452</v>
      </c>
      <c r="E450" t="s">
        <v>2452</v>
      </c>
      <c r="F450" t="s">
        <v>3060</v>
      </c>
      <c r="G450" t="s">
        <v>4093</v>
      </c>
      <c r="J450" t="s">
        <v>228</v>
      </c>
      <c r="N450">
        <v>59252080</v>
      </c>
    </row>
    <row r="451" spans="1:14" x14ac:dyDescent="0.35">
      <c r="A451">
        <v>11449</v>
      </c>
      <c r="C451" s="2" t="s">
        <v>883</v>
      </c>
      <c r="D451" t="s">
        <v>1453</v>
      </c>
      <c r="E451" t="s">
        <v>2453</v>
      </c>
      <c r="F451" t="s">
        <v>3285</v>
      </c>
      <c r="G451" t="s">
        <v>4094</v>
      </c>
      <c r="J451" t="s">
        <v>228</v>
      </c>
      <c r="N451">
        <v>59252081</v>
      </c>
    </row>
    <row r="452" spans="1:14" x14ac:dyDescent="0.35">
      <c r="A452">
        <v>11450</v>
      </c>
      <c r="C452" s="2" t="s">
        <v>883</v>
      </c>
      <c r="D452" t="s">
        <v>1454</v>
      </c>
      <c r="E452" t="s">
        <v>2454</v>
      </c>
      <c r="F452" t="s">
        <v>3091</v>
      </c>
      <c r="G452" t="s">
        <v>4095</v>
      </c>
      <c r="J452" t="s">
        <v>228</v>
      </c>
      <c r="N452">
        <v>59252082</v>
      </c>
    </row>
    <row r="453" spans="1:14" x14ac:dyDescent="0.35">
      <c r="A453">
        <v>11451</v>
      </c>
      <c r="C453" s="2" t="s">
        <v>883</v>
      </c>
      <c r="D453" t="s">
        <v>1455</v>
      </c>
      <c r="E453" t="s">
        <v>2455</v>
      </c>
      <c r="F453" t="s">
        <v>3292</v>
      </c>
      <c r="G453" t="s">
        <v>4096</v>
      </c>
      <c r="J453" t="s">
        <v>228</v>
      </c>
      <c r="N453">
        <v>59252083</v>
      </c>
    </row>
    <row r="454" spans="1:14" x14ac:dyDescent="0.35">
      <c r="A454">
        <v>11452</v>
      </c>
      <c r="C454" s="2" t="s">
        <v>883</v>
      </c>
      <c r="D454" t="s">
        <v>1456</v>
      </c>
      <c r="E454" t="s">
        <v>2456</v>
      </c>
      <c r="F454" t="s">
        <v>3295</v>
      </c>
      <c r="G454" t="s">
        <v>4097</v>
      </c>
      <c r="J454" t="s">
        <v>228</v>
      </c>
      <c r="N454">
        <v>59252084</v>
      </c>
    </row>
    <row r="455" spans="1:14" x14ac:dyDescent="0.35">
      <c r="A455">
        <v>11453</v>
      </c>
      <c r="C455" s="2" t="s">
        <v>883</v>
      </c>
      <c r="D455" t="s">
        <v>1457</v>
      </c>
      <c r="E455" t="s">
        <v>2457</v>
      </c>
      <c r="F455" t="s">
        <v>3111</v>
      </c>
      <c r="G455" t="s">
        <v>4098</v>
      </c>
      <c r="J455" t="s">
        <v>228</v>
      </c>
      <c r="N455">
        <v>59252085</v>
      </c>
    </row>
    <row r="456" spans="1:14" x14ac:dyDescent="0.35">
      <c r="A456">
        <v>11454</v>
      </c>
      <c r="C456" s="2" t="s">
        <v>883</v>
      </c>
      <c r="D456" t="s">
        <v>1458</v>
      </c>
      <c r="E456" t="s">
        <v>2458</v>
      </c>
      <c r="F456" t="s">
        <v>3060</v>
      </c>
      <c r="G456" t="s">
        <v>3815</v>
      </c>
      <c r="J456" t="s">
        <v>228</v>
      </c>
      <c r="N456">
        <v>59252086</v>
      </c>
    </row>
    <row r="457" spans="1:14" x14ac:dyDescent="0.35">
      <c r="A457">
        <v>11455</v>
      </c>
      <c r="C457" s="2" t="s">
        <v>883</v>
      </c>
      <c r="D457" t="s">
        <v>1459</v>
      </c>
      <c r="E457" t="s">
        <v>2459</v>
      </c>
      <c r="F457" t="s">
        <v>3200</v>
      </c>
      <c r="G457" t="s">
        <v>4099</v>
      </c>
      <c r="J457" t="s">
        <v>228</v>
      </c>
      <c r="N457">
        <v>59252087</v>
      </c>
    </row>
    <row r="458" spans="1:14" x14ac:dyDescent="0.35">
      <c r="A458">
        <v>11456</v>
      </c>
      <c r="C458" s="2" t="s">
        <v>883</v>
      </c>
      <c r="D458" t="s">
        <v>1460</v>
      </c>
      <c r="E458" t="s">
        <v>2460</v>
      </c>
      <c r="F458" t="s">
        <v>3030</v>
      </c>
      <c r="G458" t="s">
        <v>4100</v>
      </c>
      <c r="J458" t="s">
        <v>228</v>
      </c>
      <c r="N458">
        <v>59252088</v>
      </c>
    </row>
    <row r="459" spans="1:14" x14ac:dyDescent="0.35">
      <c r="A459">
        <v>11457</v>
      </c>
      <c r="C459" s="2" t="s">
        <v>883</v>
      </c>
      <c r="D459" t="s">
        <v>1461</v>
      </c>
      <c r="E459" t="s">
        <v>2461</v>
      </c>
      <c r="F459" t="s">
        <v>3291</v>
      </c>
      <c r="G459" t="s">
        <v>4101</v>
      </c>
      <c r="J459" t="s">
        <v>228</v>
      </c>
      <c r="N459">
        <v>59252089</v>
      </c>
    </row>
    <row r="460" spans="1:14" x14ac:dyDescent="0.35">
      <c r="A460">
        <v>11458</v>
      </c>
      <c r="C460" s="2" t="s">
        <v>883</v>
      </c>
      <c r="D460" t="s">
        <v>1462</v>
      </c>
      <c r="E460" t="s">
        <v>2462</v>
      </c>
      <c r="F460" t="s">
        <v>3089</v>
      </c>
      <c r="G460" t="s">
        <v>4102</v>
      </c>
      <c r="J460" t="s">
        <v>228</v>
      </c>
      <c r="N460">
        <v>59252090</v>
      </c>
    </row>
    <row r="461" spans="1:14" x14ac:dyDescent="0.35">
      <c r="A461">
        <v>11459</v>
      </c>
      <c r="C461" s="2" t="s">
        <v>883</v>
      </c>
      <c r="D461" t="s">
        <v>1463</v>
      </c>
      <c r="E461" t="s">
        <v>2463</v>
      </c>
      <c r="F461" t="s">
        <v>3304</v>
      </c>
      <c r="G461" t="s">
        <v>4103</v>
      </c>
      <c r="J461" t="s">
        <v>228</v>
      </c>
      <c r="N461">
        <v>59252091</v>
      </c>
    </row>
    <row r="462" spans="1:14" x14ac:dyDescent="0.35">
      <c r="A462">
        <v>11460</v>
      </c>
      <c r="C462" s="2" t="s">
        <v>883</v>
      </c>
      <c r="D462" t="s">
        <v>1464</v>
      </c>
      <c r="E462" t="s">
        <v>2464</v>
      </c>
      <c r="F462" t="s">
        <v>3087</v>
      </c>
      <c r="G462" t="s">
        <v>4104</v>
      </c>
      <c r="J462" t="s">
        <v>228</v>
      </c>
      <c r="N462">
        <v>59252092</v>
      </c>
    </row>
    <row r="463" spans="1:14" x14ac:dyDescent="0.35">
      <c r="A463">
        <v>11461</v>
      </c>
      <c r="C463" s="2" t="s">
        <v>883</v>
      </c>
      <c r="D463" t="s">
        <v>1465</v>
      </c>
      <c r="E463" t="s">
        <v>2465</v>
      </c>
      <c r="F463" t="s">
        <v>3290</v>
      </c>
      <c r="G463" t="s">
        <v>4105</v>
      </c>
      <c r="J463" t="s">
        <v>228</v>
      </c>
      <c r="N463">
        <v>59252093</v>
      </c>
    </row>
    <row r="464" spans="1:14" x14ac:dyDescent="0.35">
      <c r="A464">
        <v>11462</v>
      </c>
      <c r="C464" s="2" t="s">
        <v>883</v>
      </c>
      <c r="D464" t="s">
        <v>1466</v>
      </c>
      <c r="E464" t="s">
        <v>2466</v>
      </c>
      <c r="F464" t="s">
        <v>3008</v>
      </c>
      <c r="G464" t="s">
        <v>4106</v>
      </c>
      <c r="J464" t="s">
        <v>228</v>
      </c>
      <c r="N464">
        <v>59252094</v>
      </c>
    </row>
    <row r="465" spans="1:14" x14ac:dyDescent="0.35">
      <c r="A465">
        <v>11463</v>
      </c>
      <c r="C465" s="2" t="s">
        <v>883</v>
      </c>
      <c r="D465" t="s">
        <v>1467</v>
      </c>
      <c r="E465" t="s">
        <v>2467</v>
      </c>
      <c r="F465" t="s">
        <v>3011</v>
      </c>
      <c r="G465" t="s">
        <v>4107</v>
      </c>
      <c r="J465" t="s">
        <v>228</v>
      </c>
      <c r="N465">
        <v>59252095</v>
      </c>
    </row>
    <row r="466" spans="1:14" x14ac:dyDescent="0.35">
      <c r="A466">
        <v>11464</v>
      </c>
      <c r="C466" s="2" t="s">
        <v>883</v>
      </c>
      <c r="D466" t="s">
        <v>1468</v>
      </c>
      <c r="E466" t="s">
        <v>2468</v>
      </c>
      <c r="F466" t="s">
        <v>3051</v>
      </c>
      <c r="G466" t="s">
        <v>4108</v>
      </c>
      <c r="J466" t="s">
        <v>228</v>
      </c>
      <c r="N466">
        <v>59252096</v>
      </c>
    </row>
    <row r="467" spans="1:14" x14ac:dyDescent="0.35">
      <c r="A467">
        <v>11465</v>
      </c>
      <c r="C467" s="2" t="s">
        <v>883</v>
      </c>
      <c r="D467" t="s">
        <v>1469</v>
      </c>
      <c r="E467" t="s">
        <v>2469</v>
      </c>
      <c r="F467" t="s">
        <v>3063</v>
      </c>
      <c r="G467" t="s">
        <v>4109</v>
      </c>
      <c r="J467" t="s">
        <v>228</v>
      </c>
      <c r="N467">
        <v>59252097</v>
      </c>
    </row>
    <row r="468" spans="1:14" x14ac:dyDescent="0.35">
      <c r="A468">
        <v>11466</v>
      </c>
      <c r="C468" s="2" t="s">
        <v>883</v>
      </c>
      <c r="D468" t="s">
        <v>1470</v>
      </c>
      <c r="E468" t="s">
        <v>2470</v>
      </c>
      <c r="F468" t="s">
        <v>3018</v>
      </c>
      <c r="G468" t="s">
        <v>4110</v>
      </c>
      <c r="J468" t="s">
        <v>228</v>
      </c>
      <c r="N468">
        <v>59252098</v>
      </c>
    </row>
    <row r="469" spans="1:14" x14ac:dyDescent="0.35">
      <c r="A469">
        <v>11467</v>
      </c>
      <c r="C469" s="2" t="s">
        <v>883</v>
      </c>
      <c r="D469" t="s">
        <v>1471</v>
      </c>
      <c r="E469" t="s">
        <v>2471</v>
      </c>
      <c r="F469" t="s">
        <v>3066</v>
      </c>
      <c r="G469" t="s">
        <v>4111</v>
      </c>
      <c r="J469" t="s">
        <v>228</v>
      </c>
      <c r="N469">
        <v>59252099</v>
      </c>
    </row>
    <row r="470" spans="1:14" x14ac:dyDescent="0.35">
      <c r="A470">
        <v>11468</v>
      </c>
      <c r="C470" s="2" t="s">
        <v>883</v>
      </c>
      <c r="D470" t="s">
        <v>1472</v>
      </c>
      <c r="E470" t="s">
        <v>2472</v>
      </c>
      <c r="F470" t="s">
        <v>3009</v>
      </c>
      <c r="G470" t="s">
        <v>4112</v>
      </c>
      <c r="J470" t="s">
        <v>228</v>
      </c>
      <c r="N470">
        <v>59252100</v>
      </c>
    </row>
    <row r="471" spans="1:14" x14ac:dyDescent="0.35">
      <c r="A471">
        <v>11469</v>
      </c>
      <c r="C471" s="2" t="s">
        <v>883</v>
      </c>
      <c r="D471" t="s">
        <v>1473</v>
      </c>
      <c r="E471" t="s">
        <v>2473</v>
      </c>
      <c r="F471" t="s">
        <v>3289</v>
      </c>
      <c r="G471" t="s">
        <v>4113</v>
      </c>
      <c r="J471" t="s">
        <v>228</v>
      </c>
      <c r="N471">
        <v>59252101</v>
      </c>
    </row>
    <row r="472" spans="1:14" x14ac:dyDescent="0.35">
      <c r="A472">
        <v>11470</v>
      </c>
      <c r="C472" s="2" t="s">
        <v>883</v>
      </c>
      <c r="D472" t="s">
        <v>1474</v>
      </c>
      <c r="E472" t="s">
        <v>2474</v>
      </c>
      <c r="F472" t="s">
        <v>3018</v>
      </c>
      <c r="G472" t="s">
        <v>4114</v>
      </c>
      <c r="J472" t="s">
        <v>228</v>
      </c>
      <c r="N472">
        <v>59252102</v>
      </c>
    </row>
    <row r="473" spans="1:14" x14ac:dyDescent="0.35">
      <c r="A473">
        <v>11471</v>
      </c>
      <c r="C473" s="2" t="s">
        <v>883</v>
      </c>
      <c r="D473" t="s">
        <v>1475</v>
      </c>
      <c r="E473" t="s">
        <v>2475</v>
      </c>
      <c r="F473" t="s">
        <v>3300</v>
      </c>
      <c r="G473">
        <v>29</v>
      </c>
      <c r="H473" t="s">
        <v>4057</v>
      </c>
      <c r="J473" t="s">
        <v>228</v>
      </c>
      <c r="N473">
        <v>59252103</v>
      </c>
    </row>
    <row r="474" spans="1:14" x14ac:dyDescent="0.35">
      <c r="A474">
        <v>11472</v>
      </c>
      <c r="C474" s="2" t="s">
        <v>883</v>
      </c>
      <c r="D474" t="s">
        <v>1476</v>
      </c>
      <c r="E474" t="s">
        <v>2476</v>
      </c>
      <c r="F474" t="s">
        <v>3297</v>
      </c>
      <c r="G474" t="s">
        <v>4115</v>
      </c>
      <c r="J474" t="s">
        <v>228</v>
      </c>
      <c r="N474">
        <v>59252104</v>
      </c>
    </row>
    <row r="475" spans="1:14" x14ac:dyDescent="0.35">
      <c r="A475">
        <v>11473</v>
      </c>
      <c r="C475" s="2" t="s">
        <v>883</v>
      </c>
      <c r="D475" t="s">
        <v>1477</v>
      </c>
      <c r="E475" t="s">
        <v>2477</v>
      </c>
      <c r="F475" t="s">
        <v>3010</v>
      </c>
      <c r="G475">
        <v>1039</v>
      </c>
      <c r="H475" t="s">
        <v>4116</v>
      </c>
      <c r="J475" t="s">
        <v>228</v>
      </c>
      <c r="N475">
        <v>59252105</v>
      </c>
    </row>
    <row r="476" spans="1:14" x14ac:dyDescent="0.35">
      <c r="A476">
        <v>11474</v>
      </c>
      <c r="C476" s="2" t="s">
        <v>883</v>
      </c>
      <c r="D476" t="s">
        <v>1478</v>
      </c>
      <c r="E476" t="s">
        <v>2478</v>
      </c>
      <c r="F476" t="s">
        <v>3041</v>
      </c>
      <c r="G476" t="s">
        <v>4117</v>
      </c>
      <c r="J476" t="s">
        <v>228</v>
      </c>
      <c r="N476">
        <v>59252106</v>
      </c>
    </row>
    <row r="477" spans="1:14" x14ac:dyDescent="0.35">
      <c r="A477">
        <v>11475</v>
      </c>
      <c r="C477" s="2" t="s">
        <v>883</v>
      </c>
      <c r="D477" t="s">
        <v>1479</v>
      </c>
      <c r="E477" t="s">
        <v>2479</v>
      </c>
      <c r="F477" t="s">
        <v>3286</v>
      </c>
      <c r="G477" t="s">
        <v>4118</v>
      </c>
      <c r="J477" t="s">
        <v>228</v>
      </c>
      <c r="N477">
        <v>59252107</v>
      </c>
    </row>
    <row r="478" spans="1:14" x14ac:dyDescent="0.35">
      <c r="A478">
        <v>11476</v>
      </c>
      <c r="C478" s="2" t="s">
        <v>883</v>
      </c>
      <c r="D478" t="s">
        <v>1480</v>
      </c>
      <c r="E478" t="s">
        <v>2480</v>
      </c>
      <c r="F478" t="s">
        <v>3060</v>
      </c>
      <c r="G478" t="s">
        <v>4119</v>
      </c>
      <c r="J478" t="s">
        <v>228</v>
      </c>
      <c r="N478">
        <v>59252108</v>
      </c>
    </row>
    <row r="479" spans="1:14" x14ac:dyDescent="0.35">
      <c r="A479">
        <v>11477</v>
      </c>
      <c r="C479" s="2" t="s">
        <v>883</v>
      </c>
      <c r="D479" t="s">
        <v>1481</v>
      </c>
      <c r="E479" t="s">
        <v>2481</v>
      </c>
      <c r="F479" t="s">
        <v>3087</v>
      </c>
      <c r="G479" t="s">
        <v>4120</v>
      </c>
      <c r="J479" t="s">
        <v>228</v>
      </c>
      <c r="N479">
        <v>59252109</v>
      </c>
    </row>
    <row r="480" spans="1:14" x14ac:dyDescent="0.35">
      <c r="A480">
        <v>11478</v>
      </c>
      <c r="C480" s="2" t="s">
        <v>883</v>
      </c>
      <c r="D480" t="s">
        <v>1482</v>
      </c>
      <c r="E480" t="s">
        <v>2482</v>
      </c>
      <c r="F480" t="s">
        <v>3087</v>
      </c>
      <c r="G480">
        <v>570</v>
      </c>
      <c r="H480" t="s">
        <v>3900</v>
      </c>
      <c r="J480" t="s">
        <v>228</v>
      </c>
      <c r="N480">
        <v>59252110</v>
      </c>
    </row>
    <row r="481" spans="1:14" x14ac:dyDescent="0.35">
      <c r="A481">
        <v>11479</v>
      </c>
      <c r="C481" s="2" t="s">
        <v>883</v>
      </c>
      <c r="D481" t="s">
        <v>1483</v>
      </c>
      <c r="E481" t="s">
        <v>2483</v>
      </c>
      <c r="F481" t="s">
        <v>3300</v>
      </c>
      <c r="G481">
        <v>52</v>
      </c>
      <c r="H481" t="s">
        <v>3893</v>
      </c>
      <c r="J481" t="s">
        <v>228</v>
      </c>
      <c r="N481">
        <v>59252111</v>
      </c>
    </row>
    <row r="482" spans="1:14" x14ac:dyDescent="0.35">
      <c r="A482">
        <v>11480</v>
      </c>
      <c r="C482" s="2" t="s">
        <v>883</v>
      </c>
      <c r="D482" t="s">
        <v>1484</v>
      </c>
      <c r="E482" t="s">
        <v>2484</v>
      </c>
      <c r="F482" t="s">
        <v>3305</v>
      </c>
      <c r="G482">
        <v>2</v>
      </c>
      <c r="H482" t="s">
        <v>4086</v>
      </c>
      <c r="J482" t="s">
        <v>228</v>
      </c>
      <c r="N482">
        <v>59252112</v>
      </c>
    </row>
    <row r="483" spans="1:14" x14ac:dyDescent="0.35">
      <c r="A483">
        <v>11481</v>
      </c>
      <c r="C483" s="2" t="s">
        <v>883</v>
      </c>
      <c r="D483" t="s">
        <v>1485</v>
      </c>
      <c r="E483" t="s">
        <v>2485</v>
      </c>
      <c r="F483" t="s">
        <v>3012</v>
      </c>
      <c r="G483" t="s">
        <v>4121</v>
      </c>
      <c r="J483" t="s">
        <v>228</v>
      </c>
      <c r="N483">
        <v>59252113</v>
      </c>
    </row>
    <row r="484" spans="1:14" x14ac:dyDescent="0.35">
      <c r="A484">
        <v>11482</v>
      </c>
      <c r="C484" s="2" t="s">
        <v>883</v>
      </c>
      <c r="D484" t="s">
        <v>1486</v>
      </c>
      <c r="E484" t="s">
        <v>2486</v>
      </c>
      <c r="F484" t="s">
        <v>3298</v>
      </c>
      <c r="G484" t="s">
        <v>4122</v>
      </c>
      <c r="J484" t="s">
        <v>228</v>
      </c>
      <c r="N484">
        <v>59252114</v>
      </c>
    </row>
    <row r="485" spans="1:14" x14ac:dyDescent="0.35">
      <c r="A485">
        <v>11483</v>
      </c>
      <c r="C485" s="2" t="s">
        <v>883</v>
      </c>
      <c r="D485" t="s">
        <v>1487</v>
      </c>
      <c r="E485" t="s">
        <v>2487</v>
      </c>
      <c r="F485" t="s">
        <v>3306</v>
      </c>
      <c r="G485">
        <v>9</v>
      </c>
      <c r="H485" t="s">
        <v>4123</v>
      </c>
      <c r="J485" t="s">
        <v>228</v>
      </c>
      <c r="N485">
        <v>59252115</v>
      </c>
    </row>
    <row r="486" spans="1:14" x14ac:dyDescent="0.35">
      <c r="A486">
        <v>11484</v>
      </c>
      <c r="C486" s="2" t="s">
        <v>883</v>
      </c>
      <c r="D486" t="s">
        <v>1488</v>
      </c>
      <c r="E486" t="s">
        <v>2488</v>
      </c>
      <c r="F486" t="s">
        <v>3080</v>
      </c>
      <c r="G486" t="s">
        <v>4124</v>
      </c>
      <c r="J486" t="s">
        <v>228</v>
      </c>
      <c r="N486">
        <v>59252116</v>
      </c>
    </row>
    <row r="487" spans="1:14" x14ac:dyDescent="0.35">
      <c r="A487">
        <v>11485</v>
      </c>
      <c r="C487" s="2" t="s">
        <v>883</v>
      </c>
      <c r="D487" t="s">
        <v>1489</v>
      </c>
      <c r="E487" t="s">
        <v>2489</v>
      </c>
      <c r="F487" t="s">
        <v>3053</v>
      </c>
      <c r="G487" t="s">
        <v>4125</v>
      </c>
      <c r="J487" t="s">
        <v>228</v>
      </c>
      <c r="N487">
        <v>59252117</v>
      </c>
    </row>
    <row r="488" spans="1:14" x14ac:dyDescent="0.35">
      <c r="A488">
        <v>11486</v>
      </c>
      <c r="C488" s="2" t="s">
        <v>883</v>
      </c>
      <c r="D488" t="s">
        <v>1490</v>
      </c>
      <c r="E488" t="s">
        <v>2490</v>
      </c>
      <c r="F488" t="s">
        <v>3286</v>
      </c>
      <c r="G488" t="s">
        <v>4126</v>
      </c>
      <c r="J488" t="s">
        <v>228</v>
      </c>
      <c r="N488">
        <v>59252118</v>
      </c>
    </row>
    <row r="489" spans="1:14" x14ac:dyDescent="0.35">
      <c r="A489">
        <v>11487</v>
      </c>
      <c r="C489" s="2" t="s">
        <v>883</v>
      </c>
      <c r="D489" t="s">
        <v>1491</v>
      </c>
      <c r="E489" t="s">
        <v>2491</v>
      </c>
      <c r="F489" t="s">
        <v>3044</v>
      </c>
      <c r="G489">
        <v>55</v>
      </c>
      <c r="H489" t="s">
        <v>4127</v>
      </c>
      <c r="J489" t="s">
        <v>228</v>
      </c>
      <c r="N489">
        <v>59252119</v>
      </c>
    </row>
    <row r="490" spans="1:14" x14ac:dyDescent="0.35">
      <c r="A490">
        <v>11488</v>
      </c>
      <c r="C490" s="2" t="s">
        <v>883</v>
      </c>
      <c r="D490" t="s">
        <v>1492</v>
      </c>
      <c r="E490" t="s">
        <v>2492</v>
      </c>
      <c r="F490" t="s">
        <v>3049</v>
      </c>
      <c r="G490" t="s">
        <v>4128</v>
      </c>
      <c r="J490" t="s">
        <v>228</v>
      </c>
      <c r="N490">
        <v>59252120</v>
      </c>
    </row>
    <row r="491" spans="1:14" x14ac:dyDescent="0.35">
      <c r="A491">
        <v>11489</v>
      </c>
      <c r="C491" s="2" t="s">
        <v>883</v>
      </c>
      <c r="D491" t="s">
        <v>1493</v>
      </c>
      <c r="E491" t="s">
        <v>2493</v>
      </c>
      <c r="F491" t="s">
        <v>3045</v>
      </c>
      <c r="G491" t="s">
        <v>4129</v>
      </c>
      <c r="J491" t="s">
        <v>228</v>
      </c>
      <c r="N491">
        <v>59252121</v>
      </c>
    </row>
    <row r="492" spans="1:14" x14ac:dyDescent="0.35">
      <c r="A492">
        <v>11490</v>
      </c>
      <c r="C492" s="2" t="s">
        <v>883</v>
      </c>
      <c r="D492" t="s">
        <v>1494</v>
      </c>
      <c r="E492" t="s">
        <v>2494</v>
      </c>
      <c r="F492" t="s">
        <v>3283</v>
      </c>
      <c r="G492">
        <v>5</v>
      </c>
      <c r="H492" t="s">
        <v>4057</v>
      </c>
      <c r="J492" t="s">
        <v>228</v>
      </c>
      <c r="N492">
        <v>59252122</v>
      </c>
    </row>
    <row r="493" spans="1:14" x14ac:dyDescent="0.35">
      <c r="A493">
        <v>11491</v>
      </c>
      <c r="C493" s="2" t="s">
        <v>883</v>
      </c>
      <c r="D493" t="s">
        <v>1495</v>
      </c>
      <c r="E493" t="s">
        <v>2495</v>
      </c>
      <c r="F493" t="s">
        <v>3051</v>
      </c>
      <c r="G493" t="s">
        <v>4130</v>
      </c>
      <c r="J493" t="s">
        <v>228</v>
      </c>
      <c r="N493">
        <v>59252123</v>
      </c>
    </row>
    <row r="494" spans="1:14" x14ac:dyDescent="0.35">
      <c r="A494">
        <v>11492</v>
      </c>
      <c r="C494" s="2" t="s">
        <v>883</v>
      </c>
      <c r="D494" t="s">
        <v>1496</v>
      </c>
      <c r="E494" t="s">
        <v>2496</v>
      </c>
      <c r="F494" t="s">
        <v>3044</v>
      </c>
      <c r="G494" t="s">
        <v>4131</v>
      </c>
      <c r="J494" t="s">
        <v>228</v>
      </c>
      <c r="N494">
        <v>59252124</v>
      </c>
    </row>
    <row r="495" spans="1:14" x14ac:dyDescent="0.35">
      <c r="A495">
        <v>11493</v>
      </c>
      <c r="C495" s="2" t="s">
        <v>883</v>
      </c>
      <c r="D495" t="s">
        <v>1497</v>
      </c>
      <c r="E495" t="s">
        <v>2497</v>
      </c>
      <c r="F495" t="s">
        <v>3111</v>
      </c>
      <c r="G495" t="s">
        <v>4132</v>
      </c>
      <c r="J495" t="s">
        <v>228</v>
      </c>
      <c r="N495">
        <v>59252125</v>
      </c>
    </row>
    <row r="496" spans="1:14" x14ac:dyDescent="0.35">
      <c r="A496">
        <v>11494</v>
      </c>
      <c r="C496" s="2" t="s">
        <v>883</v>
      </c>
      <c r="D496" t="s">
        <v>1498</v>
      </c>
      <c r="E496" t="s">
        <v>2498</v>
      </c>
      <c r="F496" t="s">
        <v>3051</v>
      </c>
      <c r="G496" t="s">
        <v>4133</v>
      </c>
      <c r="J496" t="s">
        <v>228</v>
      </c>
      <c r="N496">
        <v>59252126</v>
      </c>
    </row>
    <row r="497" spans="1:14" x14ac:dyDescent="0.35">
      <c r="A497">
        <v>11495</v>
      </c>
      <c r="C497" s="2" t="s">
        <v>883</v>
      </c>
      <c r="D497" t="s">
        <v>1499</v>
      </c>
      <c r="E497" t="s">
        <v>2499</v>
      </c>
      <c r="F497" t="s">
        <v>3289</v>
      </c>
      <c r="G497" t="s">
        <v>4134</v>
      </c>
      <c r="J497" t="s">
        <v>228</v>
      </c>
      <c r="N497">
        <v>59252127</v>
      </c>
    </row>
    <row r="498" spans="1:14" x14ac:dyDescent="0.35">
      <c r="A498">
        <v>11496</v>
      </c>
      <c r="C498" s="2" t="s">
        <v>883</v>
      </c>
      <c r="D498" t="s">
        <v>1500</v>
      </c>
      <c r="E498" t="s">
        <v>2500</v>
      </c>
      <c r="F498" t="s">
        <v>3306</v>
      </c>
      <c r="G498" t="s">
        <v>4135</v>
      </c>
      <c r="J498" t="s">
        <v>228</v>
      </c>
      <c r="N498">
        <v>59252128</v>
      </c>
    </row>
    <row r="499" spans="1:14" x14ac:dyDescent="0.35">
      <c r="A499">
        <v>11497</v>
      </c>
      <c r="C499" s="2" t="s">
        <v>883</v>
      </c>
      <c r="D499" t="s">
        <v>1501</v>
      </c>
      <c r="E499" t="s">
        <v>2501</v>
      </c>
      <c r="F499" t="s">
        <v>3066</v>
      </c>
      <c r="G499" t="s">
        <v>4136</v>
      </c>
      <c r="J499" t="s">
        <v>228</v>
      </c>
      <c r="N499">
        <v>59252129</v>
      </c>
    </row>
    <row r="500" spans="1:14" x14ac:dyDescent="0.35">
      <c r="A500">
        <v>11498</v>
      </c>
      <c r="C500" s="2" t="s">
        <v>883</v>
      </c>
      <c r="D500" t="s">
        <v>1502</v>
      </c>
      <c r="E500" t="s">
        <v>2502</v>
      </c>
      <c r="F500" t="s">
        <v>3307</v>
      </c>
      <c r="G500" t="s">
        <v>4137</v>
      </c>
      <c r="J500" t="s">
        <v>228</v>
      </c>
      <c r="N500">
        <v>59252130</v>
      </c>
    </row>
    <row r="501" spans="1:14" x14ac:dyDescent="0.35">
      <c r="A501">
        <v>11499</v>
      </c>
      <c r="C501" s="2" t="s">
        <v>883</v>
      </c>
      <c r="D501" t="s">
        <v>1503</v>
      </c>
      <c r="E501" t="s">
        <v>2503</v>
      </c>
      <c r="F501" t="s">
        <v>3308</v>
      </c>
      <c r="G501" t="s">
        <v>4138</v>
      </c>
      <c r="J501" t="s">
        <v>228</v>
      </c>
      <c r="N501">
        <v>59252131</v>
      </c>
    </row>
    <row r="502" spans="1:14" x14ac:dyDescent="0.35">
      <c r="A502">
        <v>11500</v>
      </c>
      <c r="C502" s="2" t="s">
        <v>883</v>
      </c>
      <c r="D502" t="s">
        <v>1504</v>
      </c>
      <c r="E502" t="s">
        <v>2504</v>
      </c>
      <c r="F502" t="s">
        <v>3309</v>
      </c>
      <c r="G502" t="s">
        <v>4139</v>
      </c>
      <c r="J502" t="s">
        <v>228</v>
      </c>
      <c r="N502">
        <v>59252132</v>
      </c>
    </row>
    <row r="503" spans="1:14" x14ac:dyDescent="0.35">
      <c r="A503">
        <v>11501</v>
      </c>
      <c r="C503" s="2" t="s">
        <v>883</v>
      </c>
      <c r="D503" t="s">
        <v>1505</v>
      </c>
      <c r="E503" t="s">
        <v>2505</v>
      </c>
      <c r="F503" t="s">
        <v>3310</v>
      </c>
      <c r="G503" t="s">
        <v>4140</v>
      </c>
      <c r="J503" t="s">
        <v>228</v>
      </c>
      <c r="N503">
        <v>59252133</v>
      </c>
    </row>
    <row r="504" spans="1:14" x14ac:dyDescent="0.35">
      <c r="A504">
        <v>11502</v>
      </c>
      <c r="C504" s="2" t="s">
        <v>883</v>
      </c>
      <c r="D504" t="s">
        <v>1506</v>
      </c>
      <c r="E504" t="s">
        <v>2506</v>
      </c>
      <c r="F504" t="s">
        <v>3311</v>
      </c>
      <c r="G504" t="s">
        <v>4141</v>
      </c>
      <c r="J504" t="s">
        <v>228</v>
      </c>
      <c r="N504">
        <v>59252134</v>
      </c>
    </row>
    <row r="505" spans="1:14" x14ac:dyDescent="0.35">
      <c r="A505">
        <v>11503</v>
      </c>
      <c r="C505" s="2" t="s">
        <v>883</v>
      </c>
      <c r="D505" t="s">
        <v>1507</v>
      </c>
      <c r="E505" t="s">
        <v>2507</v>
      </c>
      <c r="F505" t="s">
        <v>3312</v>
      </c>
      <c r="G505" t="s">
        <v>4142</v>
      </c>
      <c r="J505" t="s">
        <v>228</v>
      </c>
      <c r="N505">
        <v>59252135</v>
      </c>
    </row>
    <row r="506" spans="1:14" x14ac:dyDescent="0.35">
      <c r="A506">
        <v>11504</v>
      </c>
      <c r="C506" s="2" t="s">
        <v>883</v>
      </c>
      <c r="D506" t="s">
        <v>1508</v>
      </c>
      <c r="E506" t="s">
        <v>2508</v>
      </c>
      <c r="F506" t="s">
        <v>3313</v>
      </c>
      <c r="G506" t="s">
        <v>4143</v>
      </c>
      <c r="J506" t="s">
        <v>228</v>
      </c>
      <c r="N506">
        <v>59252136</v>
      </c>
    </row>
    <row r="507" spans="1:14" x14ac:dyDescent="0.35">
      <c r="A507">
        <v>11505</v>
      </c>
      <c r="C507" s="2" t="s">
        <v>883</v>
      </c>
      <c r="D507" t="s">
        <v>1509</v>
      </c>
      <c r="E507" t="s">
        <v>2509</v>
      </c>
      <c r="F507" t="s">
        <v>3314</v>
      </c>
      <c r="G507" t="s">
        <v>4144</v>
      </c>
      <c r="J507" t="s">
        <v>228</v>
      </c>
      <c r="N507">
        <v>59252137</v>
      </c>
    </row>
    <row r="508" spans="1:14" x14ac:dyDescent="0.35">
      <c r="A508">
        <v>11506</v>
      </c>
      <c r="C508" s="2" t="s">
        <v>883</v>
      </c>
      <c r="D508" t="s">
        <v>1510</v>
      </c>
      <c r="E508" t="s">
        <v>2510</v>
      </c>
      <c r="F508" t="s">
        <v>3315</v>
      </c>
      <c r="G508" t="s">
        <v>4145</v>
      </c>
      <c r="J508" t="s">
        <v>228</v>
      </c>
      <c r="N508">
        <v>59252138</v>
      </c>
    </row>
    <row r="509" spans="1:14" x14ac:dyDescent="0.35">
      <c r="A509">
        <v>11507</v>
      </c>
      <c r="C509" s="2" t="s">
        <v>883</v>
      </c>
      <c r="D509" t="s">
        <v>1511</v>
      </c>
      <c r="E509" t="s">
        <v>2511</v>
      </c>
      <c r="F509" t="s">
        <v>3316</v>
      </c>
      <c r="G509" t="s">
        <v>4146</v>
      </c>
      <c r="J509" t="s">
        <v>228</v>
      </c>
      <c r="N509">
        <v>59252139</v>
      </c>
    </row>
    <row r="510" spans="1:14" x14ac:dyDescent="0.35">
      <c r="A510">
        <v>11508</v>
      </c>
      <c r="C510" s="2" t="s">
        <v>883</v>
      </c>
      <c r="D510" t="s">
        <v>1512</v>
      </c>
      <c r="E510" t="s">
        <v>2512</v>
      </c>
      <c r="F510" t="s">
        <v>3317</v>
      </c>
      <c r="G510" t="s">
        <v>4147</v>
      </c>
      <c r="J510" t="s">
        <v>228</v>
      </c>
      <c r="N510">
        <v>59252140</v>
      </c>
    </row>
    <row r="511" spans="1:14" x14ac:dyDescent="0.35">
      <c r="A511">
        <v>11509</v>
      </c>
      <c r="C511" s="2" t="s">
        <v>883</v>
      </c>
      <c r="D511" t="s">
        <v>1513</v>
      </c>
      <c r="E511" t="s">
        <v>2513</v>
      </c>
      <c r="F511" t="s">
        <v>3318</v>
      </c>
      <c r="G511" t="s">
        <v>4148</v>
      </c>
      <c r="J511" t="s">
        <v>228</v>
      </c>
      <c r="N511">
        <v>59252141</v>
      </c>
    </row>
    <row r="512" spans="1:14" x14ac:dyDescent="0.35">
      <c r="A512">
        <v>11510</v>
      </c>
      <c r="C512" s="2" t="s">
        <v>883</v>
      </c>
      <c r="D512" t="s">
        <v>1514</v>
      </c>
      <c r="E512" t="s">
        <v>2514</v>
      </c>
      <c r="F512" t="s">
        <v>3319</v>
      </c>
      <c r="G512" t="s">
        <v>4149</v>
      </c>
      <c r="J512" t="s">
        <v>228</v>
      </c>
      <c r="N512">
        <v>59252142</v>
      </c>
    </row>
    <row r="513" spans="1:14" x14ac:dyDescent="0.35">
      <c r="A513">
        <v>11511</v>
      </c>
      <c r="C513" s="2" t="s">
        <v>883</v>
      </c>
      <c r="D513" t="s">
        <v>1515</v>
      </c>
      <c r="E513" t="s">
        <v>2515</v>
      </c>
      <c r="F513" t="s">
        <v>3320</v>
      </c>
      <c r="G513" t="s">
        <v>4150</v>
      </c>
      <c r="J513" t="s">
        <v>228</v>
      </c>
      <c r="N513">
        <v>59252143</v>
      </c>
    </row>
    <row r="514" spans="1:14" x14ac:dyDescent="0.35">
      <c r="A514">
        <v>11512</v>
      </c>
      <c r="C514" s="2" t="s">
        <v>883</v>
      </c>
      <c r="D514" t="s">
        <v>1516</v>
      </c>
      <c r="E514" t="s">
        <v>2516</v>
      </c>
      <c r="F514" t="s">
        <v>3321</v>
      </c>
      <c r="G514" t="s">
        <v>4151</v>
      </c>
      <c r="J514" t="s">
        <v>228</v>
      </c>
      <c r="N514">
        <v>59252144</v>
      </c>
    </row>
    <row r="515" spans="1:14" x14ac:dyDescent="0.35">
      <c r="A515">
        <v>11513</v>
      </c>
      <c r="C515" s="2" t="s">
        <v>883</v>
      </c>
      <c r="D515" t="s">
        <v>1517</v>
      </c>
      <c r="E515" t="s">
        <v>2517</v>
      </c>
      <c r="F515" t="s">
        <v>3322</v>
      </c>
      <c r="G515" t="s">
        <v>4152</v>
      </c>
      <c r="J515" t="s">
        <v>228</v>
      </c>
      <c r="N515">
        <v>59252145</v>
      </c>
    </row>
    <row r="516" spans="1:14" x14ac:dyDescent="0.35">
      <c r="A516">
        <v>11514</v>
      </c>
      <c r="C516" s="2" t="s">
        <v>883</v>
      </c>
      <c r="D516" t="s">
        <v>1518</v>
      </c>
      <c r="E516" t="s">
        <v>2518</v>
      </c>
      <c r="F516" t="s">
        <v>3323</v>
      </c>
      <c r="G516" t="s">
        <v>4153</v>
      </c>
      <c r="J516" t="s">
        <v>228</v>
      </c>
      <c r="N516">
        <v>59252146</v>
      </c>
    </row>
    <row r="517" spans="1:14" x14ac:dyDescent="0.35">
      <c r="A517">
        <v>11515</v>
      </c>
      <c r="C517" s="2" t="s">
        <v>883</v>
      </c>
      <c r="D517" t="s">
        <v>1519</v>
      </c>
      <c r="E517" t="s">
        <v>2519</v>
      </c>
      <c r="F517" t="s">
        <v>3324</v>
      </c>
      <c r="G517" t="s">
        <v>4154</v>
      </c>
      <c r="J517" t="s">
        <v>228</v>
      </c>
      <c r="N517">
        <v>59252147</v>
      </c>
    </row>
    <row r="518" spans="1:14" x14ac:dyDescent="0.35">
      <c r="A518">
        <v>11516</v>
      </c>
      <c r="C518" s="2" t="s">
        <v>883</v>
      </c>
      <c r="D518" t="s">
        <v>1520</v>
      </c>
      <c r="E518" t="s">
        <v>2520</v>
      </c>
      <c r="F518" t="s">
        <v>3325</v>
      </c>
      <c r="G518" t="s">
        <v>4155</v>
      </c>
      <c r="J518" t="s">
        <v>228</v>
      </c>
      <c r="N518">
        <v>59252148</v>
      </c>
    </row>
    <row r="519" spans="1:14" x14ac:dyDescent="0.35">
      <c r="A519">
        <v>11517</v>
      </c>
      <c r="C519" s="2" t="s">
        <v>883</v>
      </c>
      <c r="D519" t="s">
        <v>1521</v>
      </c>
      <c r="E519" t="s">
        <v>2521</v>
      </c>
      <c r="F519" t="s">
        <v>3326</v>
      </c>
      <c r="G519" t="s">
        <v>4156</v>
      </c>
      <c r="J519" t="s">
        <v>228</v>
      </c>
      <c r="N519">
        <v>59252149</v>
      </c>
    </row>
    <row r="520" spans="1:14" x14ac:dyDescent="0.35">
      <c r="A520">
        <v>11518</v>
      </c>
      <c r="C520" s="2" t="s">
        <v>883</v>
      </c>
      <c r="D520" t="s">
        <v>1522</v>
      </c>
      <c r="E520" t="s">
        <v>2522</v>
      </c>
      <c r="F520" t="s">
        <v>3327</v>
      </c>
      <c r="G520" t="s">
        <v>4157</v>
      </c>
      <c r="J520" t="s">
        <v>228</v>
      </c>
      <c r="N520">
        <v>59252150</v>
      </c>
    </row>
    <row r="521" spans="1:14" x14ac:dyDescent="0.35">
      <c r="A521">
        <v>11519</v>
      </c>
      <c r="C521" s="2" t="s">
        <v>883</v>
      </c>
      <c r="D521" t="s">
        <v>1523</v>
      </c>
      <c r="E521" t="s">
        <v>2523</v>
      </c>
      <c r="F521" t="s">
        <v>3328</v>
      </c>
      <c r="G521" t="s">
        <v>4158</v>
      </c>
      <c r="J521" t="s">
        <v>228</v>
      </c>
      <c r="N521">
        <v>59252151</v>
      </c>
    </row>
    <row r="522" spans="1:14" x14ac:dyDescent="0.35">
      <c r="A522">
        <v>11520</v>
      </c>
      <c r="C522" s="2" t="s">
        <v>883</v>
      </c>
      <c r="D522" t="s">
        <v>1524</v>
      </c>
      <c r="E522" t="s">
        <v>2524</v>
      </c>
      <c r="F522" t="s">
        <v>3329</v>
      </c>
      <c r="G522" t="s">
        <v>4159</v>
      </c>
      <c r="J522" t="s">
        <v>228</v>
      </c>
      <c r="N522">
        <v>59252152</v>
      </c>
    </row>
    <row r="523" spans="1:14" x14ac:dyDescent="0.35">
      <c r="A523">
        <v>11521</v>
      </c>
      <c r="C523" s="2" t="s">
        <v>883</v>
      </c>
      <c r="D523" t="s">
        <v>1525</v>
      </c>
      <c r="E523" t="s">
        <v>2525</v>
      </c>
      <c r="F523" t="s">
        <v>3330</v>
      </c>
      <c r="G523" t="s">
        <v>4160</v>
      </c>
      <c r="J523" t="s">
        <v>228</v>
      </c>
      <c r="N523">
        <v>59252153</v>
      </c>
    </row>
    <row r="524" spans="1:14" x14ac:dyDescent="0.35">
      <c r="A524">
        <v>11522</v>
      </c>
      <c r="C524" s="2" t="s">
        <v>883</v>
      </c>
      <c r="D524" t="s">
        <v>1526</v>
      </c>
      <c r="E524" t="s">
        <v>2526</v>
      </c>
      <c r="F524" t="s">
        <v>3331</v>
      </c>
      <c r="G524" t="s">
        <v>4161</v>
      </c>
      <c r="J524" t="s">
        <v>228</v>
      </c>
      <c r="N524">
        <v>59252154</v>
      </c>
    </row>
    <row r="525" spans="1:14" x14ac:dyDescent="0.35">
      <c r="A525">
        <v>11523</v>
      </c>
      <c r="C525" s="2" t="s">
        <v>883</v>
      </c>
      <c r="D525" t="s">
        <v>1527</v>
      </c>
      <c r="E525" t="s">
        <v>2527</v>
      </c>
      <c r="F525" t="s">
        <v>3332</v>
      </c>
      <c r="G525" t="s">
        <v>4162</v>
      </c>
      <c r="J525" t="s">
        <v>228</v>
      </c>
      <c r="N525">
        <v>59252155</v>
      </c>
    </row>
    <row r="526" spans="1:14" x14ac:dyDescent="0.35">
      <c r="A526">
        <v>11524</v>
      </c>
      <c r="C526" s="2" t="s">
        <v>883</v>
      </c>
      <c r="D526" t="s">
        <v>1528</v>
      </c>
      <c r="E526" t="s">
        <v>2528</v>
      </c>
      <c r="F526" t="s">
        <v>3333</v>
      </c>
      <c r="G526" t="s">
        <v>4163</v>
      </c>
      <c r="J526" t="s">
        <v>228</v>
      </c>
      <c r="N526">
        <v>59252156</v>
      </c>
    </row>
    <row r="527" spans="1:14" x14ac:dyDescent="0.35">
      <c r="A527">
        <v>11525</v>
      </c>
      <c r="C527" s="2" t="s">
        <v>883</v>
      </c>
      <c r="D527" t="s">
        <v>1529</v>
      </c>
      <c r="E527" t="s">
        <v>2529</v>
      </c>
      <c r="F527" t="s">
        <v>3334</v>
      </c>
      <c r="G527" t="s">
        <v>4164</v>
      </c>
      <c r="J527" t="s">
        <v>228</v>
      </c>
      <c r="N527">
        <v>59252157</v>
      </c>
    </row>
    <row r="528" spans="1:14" x14ac:dyDescent="0.35">
      <c r="A528">
        <v>11526</v>
      </c>
      <c r="C528" s="2" t="s">
        <v>883</v>
      </c>
      <c r="D528" t="s">
        <v>1530</v>
      </c>
      <c r="E528" t="s">
        <v>2530</v>
      </c>
      <c r="F528" t="s">
        <v>3335</v>
      </c>
      <c r="G528" t="s">
        <v>4165</v>
      </c>
      <c r="J528" t="s">
        <v>228</v>
      </c>
      <c r="N528">
        <v>59252158</v>
      </c>
    </row>
    <row r="529" spans="1:14" x14ac:dyDescent="0.35">
      <c r="A529">
        <v>11527</v>
      </c>
      <c r="C529" s="2" t="s">
        <v>883</v>
      </c>
      <c r="D529" t="s">
        <v>1531</v>
      </c>
      <c r="E529" t="s">
        <v>2531</v>
      </c>
      <c r="F529" t="s">
        <v>3336</v>
      </c>
      <c r="G529" t="s">
        <v>4166</v>
      </c>
      <c r="J529" t="s">
        <v>228</v>
      </c>
      <c r="N529">
        <v>59252159</v>
      </c>
    </row>
    <row r="530" spans="1:14" x14ac:dyDescent="0.35">
      <c r="A530">
        <v>11528</v>
      </c>
      <c r="C530" s="2" t="s">
        <v>883</v>
      </c>
      <c r="D530" t="s">
        <v>1532</v>
      </c>
      <c r="E530" t="s">
        <v>2532</v>
      </c>
      <c r="F530" t="s">
        <v>3337</v>
      </c>
      <c r="G530" t="s">
        <v>4167</v>
      </c>
      <c r="J530" t="s">
        <v>228</v>
      </c>
      <c r="N530">
        <v>59252160</v>
      </c>
    </row>
    <row r="531" spans="1:14" x14ac:dyDescent="0.35">
      <c r="A531">
        <v>11529</v>
      </c>
      <c r="C531" s="2" t="s">
        <v>883</v>
      </c>
      <c r="D531" t="s">
        <v>1533</v>
      </c>
      <c r="E531" t="s">
        <v>2533</v>
      </c>
      <c r="F531" t="s">
        <v>3338</v>
      </c>
      <c r="G531" t="s">
        <v>3729</v>
      </c>
      <c r="J531" t="s">
        <v>228</v>
      </c>
      <c r="N531">
        <v>59252161</v>
      </c>
    </row>
    <row r="532" spans="1:14" x14ac:dyDescent="0.35">
      <c r="A532">
        <v>11530</v>
      </c>
      <c r="C532" s="2" t="s">
        <v>883</v>
      </c>
      <c r="D532" t="s">
        <v>1534</v>
      </c>
      <c r="E532" t="s">
        <v>2534</v>
      </c>
      <c r="F532" t="s">
        <v>3339</v>
      </c>
      <c r="G532" t="s">
        <v>4168</v>
      </c>
      <c r="J532" t="s">
        <v>228</v>
      </c>
      <c r="N532">
        <v>59252162</v>
      </c>
    </row>
    <row r="533" spans="1:14" x14ac:dyDescent="0.35">
      <c r="A533">
        <v>11531</v>
      </c>
      <c r="C533" s="2" t="s">
        <v>883</v>
      </c>
      <c r="D533" t="s">
        <v>1535</v>
      </c>
      <c r="E533" t="s">
        <v>2535</v>
      </c>
      <c r="F533" t="s">
        <v>3340</v>
      </c>
      <c r="G533" t="s">
        <v>4169</v>
      </c>
      <c r="J533" t="s">
        <v>228</v>
      </c>
      <c r="N533">
        <v>59252163</v>
      </c>
    </row>
    <row r="534" spans="1:14" x14ac:dyDescent="0.35">
      <c r="A534">
        <v>11532</v>
      </c>
      <c r="C534" s="2" t="s">
        <v>883</v>
      </c>
      <c r="D534" t="s">
        <v>1536</v>
      </c>
      <c r="E534" t="s">
        <v>2536</v>
      </c>
      <c r="F534" t="s">
        <v>3341</v>
      </c>
      <c r="G534" t="s">
        <v>4170</v>
      </c>
      <c r="J534" t="s">
        <v>228</v>
      </c>
      <c r="N534">
        <v>59252164</v>
      </c>
    </row>
    <row r="535" spans="1:14" x14ac:dyDescent="0.35">
      <c r="A535">
        <v>11533</v>
      </c>
      <c r="C535" s="2" t="s">
        <v>883</v>
      </c>
      <c r="D535" t="s">
        <v>1537</v>
      </c>
      <c r="E535" t="s">
        <v>2537</v>
      </c>
      <c r="F535" t="s">
        <v>3342</v>
      </c>
      <c r="G535" t="s">
        <v>4171</v>
      </c>
      <c r="J535" t="s">
        <v>228</v>
      </c>
      <c r="N535">
        <v>59252165</v>
      </c>
    </row>
    <row r="536" spans="1:14" x14ac:dyDescent="0.35">
      <c r="A536">
        <v>11534</v>
      </c>
      <c r="C536" s="2" t="s">
        <v>883</v>
      </c>
      <c r="D536" t="s">
        <v>1538</v>
      </c>
      <c r="E536" t="s">
        <v>2538</v>
      </c>
      <c r="F536" t="s">
        <v>3343</v>
      </c>
      <c r="G536" t="s">
        <v>4172</v>
      </c>
      <c r="J536" t="s">
        <v>228</v>
      </c>
      <c r="N536">
        <v>59252166</v>
      </c>
    </row>
    <row r="537" spans="1:14" x14ac:dyDescent="0.35">
      <c r="A537">
        <v>11535</v>
      </c>
      <c r="C537" s="2" t="s">
        <v>883</v>
      </c>
      <c r="D537" t="s">
        <v>1539</v>
      </c>
      <c r="E537" t="s">
        <v>2539</v>
      </c>
      <c r="F537" t="s">
        <v>3344</v>
      </c>
      <c r="G537" t="s">
        <v>4173</v>
      </c>
      <c r="J537" t="s">
        <v>228</v>
      </c>
      <c r="N537">
        <v>59252167</v>
      </c>
    </row>
    <row r="538" spans="1:14" x14ac:dyDescent="0.35">
      <c r="A538">
        <v>11536</v>
      </c>
      <c r="C538" s="2" t="s">
        <v>883</v>
      </c>
      <c r="D538" t="s">
        <v>1540</v>
      </c>
      <c r="E538" t="s">
        <v>2540</v>
      </c>
      <c r="F538" t="s">
        <v>3345</v>
      </c>
      <c r="G538" t="s">
        <v>4174</v>
      </c>
      <c r="J538" t="s">
        <v>228</v>
      </c>
      <c r="N538">
        <v>59252168</v>
      </c>
    </row>
    <row r="539" spans="1:14" x14ac:dyDescent="0.35">
      <c r="A539">
        <v>11537</v>
      </c>
      <c r="C539" s="2" t="s">
        <v>883</v>
      </c>
      <c r="D539" t="s">
        <v>1541</v>
      </c>
      <c r="E539" t="s">
        <v>2541</v>
      </c>
      <c r="F539" t="s">
        <v>3346</v>
      </c>
      <c r="G539" t="s">
        <v>4175</v>
      </c>
      <c r="J539" t="s">
        <v>228</v>
      </c>
      <c r="N539">
        <v>59252169</v>
      </c>
    </row>
    <row r="540" spans="1:14" x14ac:dyDescent="0.35">
      <c r="A540">
        <v>11538</v>
      </c>
      <c r="C540" s="2" t="s">
        <v>883</v>
      </c>
      <c r="D540" t="s">
        <v>1542</v>
      </c>
      <c r="E540" t="s">
        <v>2542</v>
      </c>
      <c r="F540" t="s">
        <v>3347</v>
      </c>
      <c r="G540" t="s">
        <v>4176</v>
      </c>
      <c r="J540" t="s">
        <v>228</v>
      </c>
      <c r="N540">
        <v>59252170</v>
      </c>
    </row>
    <row r="541" spans="1:14" x14ac:dyDescent="0.35">
      <c r="A541">
        <v>11539</v>
      </c>
      <c r="C541" s="2" t="s">
        <v>883</v>
      </c>
      <c r="D541" t="s">
        <v>1543</v>
      </c>
      <c r="E541" t="s">
        <v>2543</v>
      </c>
      <c r="F541" t="s">
        <v>3348</v>
      </c>
      <c r="G541" t="s">
        <v>4030</v>
      </c>
      <c r="J541" t="s">
        <v>228</v>
      </c>
      <c r="N541">
        <v>59252171</v>
      </c>
    </row>
    <row r="542" spans="1:14" x14ac:dyDescent="0.35">
      <c r="A542">
        <v>11540</v>
      </c>
      <c r="C542" s="2" t="s">
        <v>883</v>
      </c>
      <c r="D542" t="s">
        <v>1544</v>
      </c>
      <c r="E542" t="s">
        <v>2544</v>
      </c>
      <c r="F542" t="s">
        <v>3349</v>
      </c>
      <c r="G542" t="s">
        <v>4177</v>
      </c>
      <c r="J542" t="s">
        <v>228</v>
      </c>
      <c r="N542">
        <v>59252172</v>
      </c>
    </row>
    <row r="543" spans="1:14" x14ac:dyDescent="0.35">
      <c r="A543">
        <v>11541</v>
      </c>
      <c r="C543" s="2" t="s">
        <v>883</v>
      </c>
      <c r="D543" t="s">
        <v>1545</v>
      </c>
      <c r="E543" t="s">
        <v>2545</v>
      </c>
      <c r="F543" t="s">
        <v>3350</v>
      </c>
      <c r="G543" t="s">
        <v>4178</v>
      </c>
      <c r="J543" t="s">
        <v>228</v>
      </c>
      <c r="N543">
        <v>59252173</v>
      </c>
    </row>
    <row r="544" spans="1:14" x14ac:dyDescent="0.35">
      <c r="A544">
        <v>11542</v>
      </c>
      <c r="C544" s="2" t="s">
        <v>883</v>
      </c>
      <c r="D544" t="s">
        <v>1546</v>
      </c>
      <c r="E544" t="s">
        <v>2546</v>
      </c>
      <c r="F544" t="s">
        <v>3085</v>
      </c>
      <c r="G544" t="s">
        <v>4179</v>
      </c>
      <c r="J544" t="s">
        <v>228</v>
      </c>
      <c r="N544">
        <v>59252174</v>
      </c>
    </row>
    <row r="545" spans="1:14" x14ac:dyDescent="0.35">
      <c r="A545">
        <v>11543</v>
      </c>
      <c r="C545" s="2" t="s">
        <v>883</v>
      </c>
      <c r="D545" t="s">
        <v>1547</v>
      </c>
      <c r="E545" t="s">
        <v>2547</v>
      </c>
      <c r="F545" t="s">
        <v>3026</v>
      </c>
      <c r="G545">
        <v>9</v>
      </c>
      <c r="H545" t="s">
        <v>4087</v>
      </c>
      <c r="J545" t="s">
        <v>228</v>
      </c>
      <c r="N545">
        <v>59252175</v>
      </c>
    </row>
    <row r="546" spans="1:14" x14ac:dyDescent="0.35">
      <c r="A546">
        <v>11544</v>
      </c>
      <c r="C546" s="2" t="s">
        <v>883</v>
      </c>
      <c r="D546" t="s">
        <v>1548</v>
      </c>
      <c r="E546" t="s">
        <v>2548</v>
      </c>
      <c r="F546" t="s">
        <v>3295</v>
      </c>
      <c r="G546" t="s">
        <v>4180</v>
      </c>
      <c r="J546" t="s">
        <v>228</v>
      </c>
      <c r="N546">
        <v>59252176</v>
      </c>
    </row>
    <row r="547" spans="1:14" x14ac:dyDescent="0.35">
      <c r="A547">
        <v>11545</v>
      </c>
      <c r="C547" s="2" t="s">
        <v>883</v>
      </c>
      <c r="D547" t="s">
        <v>1549</v>
      </c>
      <c r="E547" t="s">
        <v>2549</v>
      </c>
      <c r="F547" t="s">
        <v>3019</v>
      </c>
      <c r="G547">
        <v>88</v>
      </c>
      <c r="H547" t="s">
        <v>4056</v>
      </c>
      <c r="J547" t="s">
        <v>228</v>
      </c>
      <c r="N547">
        <v>59252177</v>
      </c>
    </row>
    <row r="548" spans="1:14" x14ac:dyDescent="0.35">
      <c r="A548">
        <v>11546</v>
      </c>
      <c r="C548" s="2" t="s">
        <v>883</v>
      </c>
      <c r="D548" t="s">
        <v>1550</v>
      </c>
      <c r="E548" t="s">
        <v>2550</v>
      </c>
      <c r="F548" t="s">
        <v>3089</v>
      </c>
      <c r="G548" t="s">
        <v>4181</v>
      </c>
      <c r="H548" t="s">
        <v>4182</v>
      </c>
      <c r="J548" t="s">
        <v>228</v>
      </c>
      <c r="N548">
        <v>59252178</v>
      </c>
    </row>
    <row r="549" spans="1:14" x14ac:dyDescent="0.35">
      <c r="A549">
        <v>11547</v>
      </c>
      <c r="C549" s="2" t="s">
        <v>883</v>
      </c>
      <c r="D549" t="s">
        <v>1551</v>
      </c>
      <c r="E549" t="s">
        <v>2551</v>
      </c>
      <c r="F549" t="s">
        <v>3068</v>
      </c>
      <c r="G549">
        <v>88</v>
      </c>
      <c r="H549" t="s">
        <v>4183</v>
      </c>
      <c r="J549" t="s">
        <v>228</v>
      </c>
      <c r="N549">
        <v>59252179</v>
      </c>
    </row>
    <row r="550" spans="1:14" x14ac:dyDescent="0.35">
      <c r="A550">
        <v>11548</v>
      </c>
      <c r="C550" s="2" t="s">
        <v>883</v>
      </c>
      <c r="D550" t="s">
        <v>1552</v>
      </c>
      <c r="E550" t="s">
        <v>2552</v>
      </c>
      <c r="F550" t="s">
        <v>3305</v>
      </c>
      <c r="G550" t="s">
        <v>4184</v>
      </c>
      <c r="J550" t="s">
        <v>228</v>
      </c>
      <c r="N550">
        <v>59252180</v>
      </c>
    </row>
    <row r="551" spans="1:14" x14ac:dyDescent="0.35">
      <c r="A551">
        <v>11549</v>
      </c>
      <c r="C551" s="2" t="s">
        <v>883</v>
      </c>
      <c r="D551" t="s">
        <v>1553</v>
      </c>
      <c r="E551" t="s">
        <v>2553</v>
      </c>
      <c r="F551" t="s">
        <v>3298</v>
      </c>
      <c r="G551" t="s">
        <v>4185</v>
      </c>
      <c r="J551" t="s">
        <v>228</v>
      </c>
      <c r="N551">
        <v>59252181</v>
      </c>
    </row>
    <row r="552" spans="1:14" x14ac:dyDescent="0.35">
      <c r="A552">
        <v>11550</v>
      </c>
      <c r="C552" s="2" t="s">
        <v>883</v>
      </c>
      <c r="D552" t="s">
        <v>1554</v>
      </c>
      <c r="E552" t="s">
        <v>2554</v>
      </c>
      <c r="F552" t="s">
        <v>3062</v>
      </c>
      <c r="G552" t="s">
        <v>3658</v>
      </c>
      <c r="J552" t="s">
        <v>228</v>
      </c>
      <c r="N552">
        <v>59252182</v>
      </c>
    </row>
    <row r="553" spans="1:14" x14ac:dyDescent="0.35">
      <c r="A553">
        <v>11551</v>
      </c>
      <c r="C553" s="2" t="s">
        <v>883</v>
      </c>
      <c r="D553" t="s">
        <v>1555</v>
      </c>
      <c r="E553" t="s">
        <v>2555</v>
      </c>
      <c r="F553" t="s">
        <v>3295</v>
      </c>
      <c r="G553">
        <v>268</v>
      </c>
      <c r="H553" t="s">
        <v>4186</v>
      </c>
      <c r="J553" t="s">
        <v>228</v>
      </c>
      <c r="N553">
        <v>59252183</v>
      </c>
    </row>
    <row r="554" spans="1:14" x14ac:dyDescent="0.35">
      <c r="A554">
        <v>11552</v>
      </c>
      <c r="C554" s="2" t="s">
        <v>883</v>
      </c>
      <c r="D554" t="s">
        <v>1556</v>
      </c>
      <c r="E554" t="s">
        <v>2556</v>
      </c>
      <c r="F554" t="s">
        <v>3295</v>
      </c>
      <c r="G554" t="s">
        <v>4187</v>
      </c>
      <c r="J554" t="s">
        <v>228</v>
      </c>
      <c r="N554">
        <v>59252184</v>
      </c>
    </row>
    <row r="555" spans="1:14" x14ac:dyDescent="0.35">
      <c r="A555">
        <v>11553</v>
      </c>
      <c r="C555" s="2" t="s">
        <v>883</v>
      </c>
      <c r="D555" t="s">
        <v>1557</v>
      </c>
      <c r="E555" t="s">
        <v>2557</v>
      </c>
      <c r="F555" t="s">
        <v>3286</v>
      </c>
      <c r="G555" t="s">
        <v>4188</v>
      </c>
      <c r="J555" t="s">
        <v>228</v>
      </c>
      <c r="N555">
        <v>59252185</v>
      </c>
    </row>
    <row r="556" spans="1:14" x14ac:dyDescent="0.35">
      <c r="A556">
        <v>11554</v>
      </c>
      <c r="C556" s="2" t="s">
        <v>883</v>
      </c>
      <c r="D556" t="s">
        <v>1558</v>
      </c>
      <c r="E556" t="s">
        <v>2558</v>
      </c>
      <c r="F556" t="s">
        <v>3092</v>
      </c>
      <c r="G556">
        <v>88</v>
      </c>
      <c r="H556" t="s">
        <v>4041</v>
      </c>
      <c r="J556" t="s">
        <v>228</v>
      </c>
      <c r="N556">
        <v>59252186</v>
      </c>
    </row>
    <row r="557" spans="1:14" x14ac:dyDescent="0.35">
      <c r="A557">
        <v>11555</v>
      </c>
      <c r="C557" s="2" t="s">
        <v>883</v>
      </c>
      <c r="D557" t="s">
        <v>1559</v>
      </c>
      <c r="E557" t="s">
        <v>2559</v>
      </c>
      <c r="F557" t="s">
        <v>3029</v>
      </c>
      <c r="G557">
        <v>11</v>
      </c>
      <c r="H557" t="s">
        <v>4028</v>
      </c>
      <c r="J557" t="s">
        <v>228</v>
      </c>
      <c r="N557">
        <v>59252187</v>
      </c>
    </row>
    <row r="558" spans="1:14" x14ac:dyDescent="0.35">
      <c r="A558">
        <v>11556</v>
      </c>
      <c r="C558" s="2" t="s">
        <v>883</v>
      </c>
      <c r="D558" t="s">
        <v>1560</v>
      </c>
      <c r="E558" t="s">
        <v>2560</v>
      </c>
      <c r="F558" t="s">
        <v>3297</v>
      </c>
      <c r="G558" t="s">
        <v>4189</v>
      </c>
      <c r="J558" t="s">
        <v>228</v>
      </c>
      <c r="N558">
        <v>59252188</v>
      </c>
    </row>
    <row r="559" spans="1:14" x14ac:dyDescent="0.35">
      <c r="A559">
        <v>11557</v>
      </c>
      <c r="C559" s="2" t="s">
        <v>883</v>
      </c>
      <c r="D559" t="s">
        <v>1561</v>
      </c>
      <c r="E559" t="s">
        <v>2561</v>
      </c>
      <c r="F559" t="s">
        <v>3053</v>
      </c>
      <c r="G559" t="s">
        <v>4190</v>
      </c>
      <c r="J559" t="s">
        <v>228</v>
      </c>
      <c r="N559">
        <v>59252189</v>
      </c>
    </row>
    <row r="560" spans="1:14" x14ac:dyDescent="0.35">
      <c r="A560">
        <v>11558</v>
      </c>
      <c r="C560" s="2" t="s">
        <v>883</v>
      </c>
      <c r="D560" t="s">
        <v>1562</v>
      </c>
      <c r="E560" t="s">
        <v>2562</v>
      </c>
      <c r="F560" t="s">
        <v>3092</v>
      </c>
      <c r="G560" t="s">
        <v>4191</v>
      </c>
      <c r="J560" t="s">
        <v>228</v>
      </c>
      <c r="N560">
        <v>59252190</v>
      </c>
    </row>
    <row r="561" spans="1:14" x14ac:dyDescent="0.35">
      <c r="A561">
        <v>11559</v>
      </c>
      <c r="C561" s="2" t="s">
        <v>883</v>
      </c>
      <c r="D561" t="s">
        <v>1563</v>
      </c>
      <c r="E561" t="s">
        <v>2563</v>
      </c>
      <c r="F561" t="s">
        <v>3068</v>
      </c>
      <c r="G561" t="s">
        <v>4192</v>
      </c>
      <c r="J561" t="s">
        <v>228</v>
      </c>
      <c r="N561">
        <v>59252191</v>
      </c>
    </row>
    <row r="562" spans="1:14" x14ac:dyDescent="0.35">
      <c r="A562">
        <v>11560</v>
      </c>
      <c r="C562" s="2" t="s">
        <v>883</v>
      </c>
      <c r="D562" t="s">
        <v>1564</v>
      </c>
      <c r="E562" t="s">
        <v>2564</v>
      </c>
      <c r="F562" t="s">
        <v>3081</v>
      </c>
      <c r="G562" t="s">
        <v>4193</v>
      </c>
      <c r="J562" t="s">
        <v>228</v>
      </c>
      <c r="N562">
        <v>59252192</v>
      </c>
    </row>
    <row r="563" spans="1:14" x14ac:dyDescent="0.35">
      <c r="A563">
        <v>11561</v>
      </c>
      <c r="C563" s="2" t="s">
        <v>883</v>
      </c>
      <c r="D563" t="s">
        <v>1565</v>
      </c>
      <c r="E563" t="s">
        <v>2565</v>
      </c>
      <c r="F563" t="s">
        <v>3086</v>
      </c>
      <c r="G563" t="s">
        <v>4194</v>
      </c>
      <c r="J563" t="s">
        <v>228</v>
      </c>
      <c r="N563">
        <v>59252193</v>
      </c>
    </row>
    <row r="564" spans="1:14" x14ac:dyDescent="0.35">
      <c r="A564">
        <v>11562</v>
      </c>
      <c r="C564" s="2" t="s">
        <v>883</v>
      </c>
      <c r="D564" t="s">
        <v>1566</v>
      </c>
      <c r="E564" t="s">
        <v>2566</v>
      </c>
      <c r="F564" t="s">
        <v>3008</v>
      </c>
      <c r="G564" t="s">
        <v>4195</v>
      </c>
      <c r="J564" t="s">
        <v>228</v>
      </c>
      <c r="N564">
        <v>59252194</v>
      </c>
    </row>
    <row r="565" spans="1:14" x14ac:dyDescent="0.35">
      <c r="A565">
        <v>11563</v>
      </c>
      <c r="C565" s="2" t="s">
        <v>883</v>
      </c>
      <c r="D565" t="s">
        <v>1567</v>
      </c>
      <c r="E565" t="s">
        <v>2567</v>
      </c>
      <c r="F565" t="s">
        <v>3288</v>
      </c>
      <c r="G565" t="s">
        <v>4196</v>
      </c>
      <c r="J565" t="s">
        <v>228</v>
      </c>
      <c r="N565">
        <v>59252195</v>
      </c>
    </row>
    <row r="566" spans="1:14" x14ac:dyDescent="0.35">
      <c r="A566">
        <v>11564</v>
      </c>
      <c r="C566" s="2" t="s">
        <v>883</v>
      </c>
      <c r="D566" t="s">
        <v>1568</v>
      </c>
      <c r="E566" t="s">
        <v>2568</v>
      </c>
      <c r="F566" t="s">
        <v>3080</v>
      </c>
      <c r="G566" t="s">
        <v>4197</v>
      </c>
      <c r="J566" t="s">
        <v>228</v>
      </c>
      <c r="N566">
        <v>59252196</v>
      </c>
    </row>
    <row r="567" spans="1:14" x14ac:dyDescent="0.35">
      <c r="A567">
        <v>11565</v>
      </c>
      <c r="C567" s="2" t="s">
        <v>883</v>
      </c>
      <c r="D567" t="s">
        <v>1569</v>
      </c>
      <c r="E567" t="s">
        <v>2569</v>
      </c>
      <c r="F567" t="s">
        <v>3082</v>
      </c>
      <c r="G567" t="s">
        <v>4198</v>
      </c>
      <c r="J567" t="s">
        <v>228</v>
      </c>
      <c r="N567">
        <v>59252197</v>
      </c>
    </row>
    <row r="568" spans="1:14" x14ac:dyDescent="0.35">
      <c r="A568">
        <v>11566</v>
      </c>
      <c r="C568" s="2" t="s">
        <v>883</v>
      </c>
      <c r="D568" t="s">
        <v>1570</v>
      </c>
      <c r="E568" t="s">
        <v>2570</v>
      </c>
      <c r="F568" t="s">
        <v>3093</v>
      </c>
      <c r="G568">
        <v>401</v>
      </c>
      <c r="H568" t="s">
        <v>4199</v>
      </c>
      <c r="J568" t="s">
        <v>228</v>
      </c>
      <c r="N568">
        <v>59252198</v>
      </c>
    </row>
    <row r="569" spans="1:14" x14ac:dyDescent="0.35">
      <c r="A569">
        <v>11567</v>
      </c>
      <c r="C569" s="2" t="s">
        <v>883</v>
      </c>
      <c r="D569" t="s">
        <v>1571</v>
      </c>
      <c r="E569" t="s">
        <v>2571</v>
      </c>
      <c r="F569" t="s">
        <v>3028</v>
      </c>
      <c r="G569" t="s">
        <v>4200</v>
      </c>
      <c r="J569" t="s">
        <v>228</v>
      </c>
      <c r="N569">
        <v>59252199</v>
      </c>
    </row>
    <row r="570" spans="1:14" x14ac:dyDescent="0.35">
      <c r="A570">
        <v>11568</v>
      </c>
      <c r="C570" s="2" t="s">
        <v>883</v>
      </c>
      <c r="D570" t="s">
        <v>1572</v>
      </c>
      <c r="E570" t="s">
        <v>2572</v>
      </c>
      <c r="F570" t="s">
        <v>3029</v>
      </c>
      <c r="G570" t="s">
        <v>4201</v>
      </c>
      <c r="J570" t="s">
        <v>228</v>
      </c>
      <c r="N570">
        <v>59252200</v>
      </c>
    </row>
    <row r="571" spans="1:14" x14ac:dyDescent="0.35">
      <c r="A571">
        <v>11569</v>
      </c>
      <c r="C571" s="2" t="s">
        <v>883</v>
      </c>
      <c r="D571" t="s">
        <v>1573</v>
      </c>
      <c r="E571" t="s">
        <v>2573</v>
      </c>
      <c r="F571" t="s">
        <v>3062</v>
      </c>
      <c r="G571" t="s">
        <v>4202</v>
      </c>
      <c r="J571" t="s">
        <v>228</v>
      </c>
      <c r="N571">
        <v>59252201</v>
      </c>
    </row>
    <row r="572" spans="1:14" x14ac:dyDescent="0.35">
      <c r="A572">
        <v>11570</v>
      </c>
      <c r="C572" s="2" t="s">
        <v>883</v>
      </c>
      <c r="D572" t="s">
        <v>1574</v>
      </c>
      <c r="E572" t="s">
        <v>2574</v>
      </c>
      <c r="F572" t="s">
        <v>3351</v>
      </c>
      <c r="G572" t="s">
        <v>4203</v>
      </c>
      <c r="J572" t="s">
        <v>228</v>
      </c>
      <c r="N572">
        <v>59252202</v>
      </c>
    </row>
    <row r="573" spans="1:14" x14ac:dyDescent="0.35">
      <c r="A573">
        <v>11571</v>
      </c>
      <c r="C573" s="2" t="s">
        <v>883</v>
      </c>
      <c r="D573" t="s">
        <v>1575</v>
      </c>
      <c r="E573" t="s">
        <v>2575</v>
      </c>
      <c r="F573" t="s">
        <v>3285</v>
      </c>
      <c r="G573">
        <v>99</v>
      </c>
      <c r="H573" t="s">
        <v>4204</v>
      </c>
      <c r="J573" t="s">
        <v>228</v>
      </c>
      <c r="N573">
        <v>59252203</v>
      </c>
    </row>
    <row r="574" spans="1:14" x14ac:dyDescent="0.35">
      <c r="A574">
        <v>11572</v>
      </c>
      <c r="C574" s="2" t="s">
        <v>883</v>
      </c>
      <c r="D574" t="s">
        <v>1576</v>
      </c>
      <c r="E574" t="s">
        <v>2576</v>
      </c>
      <c r="F574" t="s">
        <v>3065</v>
      </c>
      <c r="G574">
        <v>8733</v>
      </c>
      <c r="H574" t="s">
        <v>4205</v>
      </c>
      <c r="J574" t="s">
        <v>228</v>
      </c>
      <c r="N574">
        <v>59252204</v>
      </c>
    </row>
    <row r="575" spans="1:14" x14ac:dyDescent="0.35">
      <c r="A575">
        <v>11573</v>
      </c>
      <c r="C575" s="2" t="s">
        <v>883</v>
      </c>
      <c r="D575" t="s">
        <v>1577</v>
      </c>
      <c r="E575" t="s">
        <v>2577</v>
      </c>
      <c r="F575" t="s">
        <v>3285</v>
      </c>
      <c r="G575" t="s">
        <v>4206</v>
      </c>
      <c r="J575" t="s">
        <v>228</v>
      </c>
      <c r="N575">
        <v>59252205</v>
      </c>
    </row>
    <row r="576" spans="1:14" x14ac:dyDescent="0.35">
      <c r="A576">
        <v>11574</v>
      </c>
      <c r="C576" s="2" t="s">
        <v>883</v>
      </c>
      <c r="D576" t="s">
        <v>1578</v>
      </c>
      <c r="E576" t="s">
        <v>2578</v>
      </c>
      <c r="F576" t="s">
        <v>3111</v>
      </c>
      <c r="G576" t="s">
        <v>4207</v>
      </c>
      <c r="J576" t="s">
        <v>228</v>
      </c>
      <c r="N576">
        <v>59252206</v>
      </c>
    </row>
    <row r="577" spans="1:14" x14ac:dyDescent="0.35">
      <c r="A577">
        <v>11575</v>
      </c>
      <c r="C577" s="2" t="s">
        <v>883</v>
      </c>
      <c r="D577" t="s">
        <v>1579</v>
      </c>
      <c r="E577" t="s">
        <v>2579</v>
      </c>
      <c r="F577" t="s">
        <v>3029</v>
      </c>
      <c r="G577" t="s">
        <v>4208</v>
      </c>
      <c r="J577" t="s">
        <v>228</v>
      </c>
      <c r="N577">
        <v>59252207</v>
      </c>
    </row>
    <row r="578" spans="1:14" x14ac:dyDescent="0.35">
      <c r="A578">
        <v>11576</v>
      </c>
      <c r="C578" s="2" t="s">
        <v>883</v>
      </c>
      <c r="D578" t="s">
        <v>1580</v>
      </c>
      <c r="E578" t="s">
        <v>2580</v>
      </c>
      <c r="F578" t="s">
        <v>3063</v>
      </c>
      <c r="G578">
        <v>68</v>
      </c>
      <c r="H578" t="s">
        <v>4041</v>
      </c>
      <c r="J578" t="s">
        <v>228</v>
      </c>
      <c r="N578">
        <v>59252208</v>
      </c>
    </row>
    <row r="579" spans="1:14" x14ac:dyDescent="0.35">
      <c r="A579">
        <v>11577</v>
      </c>
      <c r="C579" s="2" t="s">
        <v>883</v>
      </c>
      <c r="D579" t="s">
        <v>1581</v>
      </c>
      <c r="E579" t="s">
        <v>2581</v>
      </c>
      <c r="F579" t="s">
        <v>3043</v>
      </c>
      <c r="G579" t="s">
        <v>4209</v>
      </c>
      <c r="J579" t="s">
        <v>228</v>
      </c>
      <c r="N579">
        <v>59252209</v>
      </c>
    </row>
    <row r="580" spans="1:14" x14ac:dyDescent="0.35">
      <c r="A580">
        <v>11578</v>
      </c>
      <c r="C580" s="2" t="s">
        <v>883</v>
      </c>
      <c r="D580" t="s">
        <v>1582</v>
      </c>
      <c r="E580" t="s">
        <v>2582</v>
      </c>
      <c r="F580" t="s">
        <v>3296</v>
      </c>
      <c r="G580">
        <v>33</v>
      </c>
      <c r="H580" t="s">
        <v>4210</v>
      </c>
      <c r="J580" t="s">
        <v>228</v>
      </c>
      <c r="N580">
        <v>59252210</v>
      </c>
    </row>
    <row r="581" spans="1:14" x14ac:dyDescent="0.35">
      <c r="A581">
        <v>11579</v>
      </c>
      <c r="C581" s="2" t="s">
        <v>883</v>
      </c>
      <c r="D581" t="s">
        <v>1583</v>
      </c>
      <c r="E581" t="s">
        <v>2583</v>
      </c>
      <c r="F581" t="s">
        <v>3006</v>
      </c>
      <c r="G581" t="s">
        <v>4211</v>
      </c>
      <c r="J581" t="s">
        <v>228</v>
      </c>
      <c r="N581">
        <v>59252211</v>
      </c>
    </row>
    <row r="582" spans="1:14" x14ac:dyDescent="0.35">
      <c r="A582">
        <v>11580</v>
      </c>
      <c r="C582" s="2" t="s">
        <v>883</v>
      </c>
      <c r="D582" t="s">
        <v>1584</v>
      </c>
      <c r="E582" t="s">
        <v>2584</v>
      </c>
      <c r="F582" t="s">
        <v>3352</v>
      </c>
      <c r="G582" t="s">
        <v>4212</v>
      </c>
      <c r="J582" t="s">
        <v>228</v>
      </c>
      <c r="N582">
        <v>59252212</v>
      </c>
    </row>
    <row r="583" spans="1:14" x14ac:dyDescent="0.35">
      <c r="A583">
        <v>11581</v>
      </c>
      <c r="C583" s="2" t="s">
        <v>883</v>
      </c>
      <c r="D583" t="s">
        <v>1585</v>
      </c>
      <c r="E583" t="s">
        <v>2585</v>
      </c>
      <c r="F583" t="s">
        <v>3080</v>
      </c>
      <c r="G583">
        <v>987</v>
      </c>
      <c r="H583" t="s">
        <v>4213</v>
      </c>
      <c r="J583" t="s">
        <v>228</v>
      </c>
      <c r="N583">
        <v>59252213</v>
      </c>
    </row>
    <row r="584" spans="1:14" x14ac:dyDescent="0.35">
      <c r="A584">
        <v>11582</v>
      </c>
      <c r="C584" s="2" t="s">
        <v>883</v>
      </c>
      <c r="D584" t="s">
        <v>1586</v>
      </c>
      <c r="E584" t="s">
        <v>2586</v>
      </c>
      <c r="F584" t="s">
        <v>3352</v>
      </c>
      <c r="G584">
        <v>222</v>
      </c>
      <c r="H584" t="s">
        <v>4214</v>
      </c>
      <c r="J584" t="s">
        <v>228</v>
      </c>
      <c r="N584">
        <v>59252214</v>
      </c>
    </row>
    <row r="585" spans="1:14" x14ac:dyDescent="0.35">
      <c r="A585">
        <v>11583</v>
      </c>
      <c r="C585" s="2" t="s">
        <v>883</v>
      </c>
      <c r="D585" t="s">
        <v>1587</v>
      </c>
      <c r="E585" t="s">
        <v>2587</v>
      </c>
      <c r="F585" t="s">
        <v>3305</v>
      </c>
      <c r="G585">
        <v>79</v>
      </c>
      <c r="H585" t="s">
        <v>4215</v>
      </c>
      <c r="J585" t="s">
        <v>228</v>
      </c>
      <c r="N585">
        <v>59252215</v>
      </c>
    </row>
    <row r="586" spans="1:14" x14ac:dyDescent="0.35">
      <c r="A586">
        <v>11584</v>
      </c>
      <c r="C586" s="2" t="s">
        <v>883</v>
      </c>
      <c r="D586" t="s">
        <v>1588</v>
      </c>
      <c r="E586" t="s">
        <v>2588</v>
      </c>
      <c r="F586" t="s">
        <v>3035</v>
      </c>
      <c r="G586" t="s">
        <v>4216</v>
      </c>
      <c r="J586" t="s">
        <v>228</v>
      </c>
      <c r="N586">
        <v>59252216</v>
      </c>
    </row>
    <row r="587" spans="1:14" x14ac:dyDescent="0.35">
      <c r="A587">
        <v>11585</v>
      </c>
      <c r="C587" s="2" t="s">
        <v>883</v>
      </c>
      <c r="D587" t="s">
        <v>1589</v>
      </c>
      <c r="E587" t="s">
        <v>2589</v>
      </c>
      <c r="F587" t="s">
        <v>3047</v>
      </c>
      <c r="G587" t="s">
        <v>4217</v>
      </c>
      <c r="J587" t="s">
        <v>228</v>
      </c>
      <c r="N587">
        <v>59252217</v>
      </c>
    </row>
    <row r="588" spans="1:14" x14ac:dyDescent="0.35">
      <c r="A588">
        <v>11586</v>
      </c>
      <c r="C588" s="2" t="s">
        <v>883</v>
      </c>
      <c r="D588" t="s">
        <v>1590</v>
      </c>
      <c r="E588" t="s">
        <v>2590</v>
      </c>
      <c r="F588" t="s">
        <v>3302</v>
      </c>
      <c r="G588" t="s">
        <v>4218</v>
      </c>
      <c r="J588" t="s">
        <v>228</v>
      </c>
      <c r="N588">
        <v>59252218</v>
      </c>
    </row>
    <row r="589" spans="1:14" x14ac:dyDescent="0.35">
      <c r="A589">
        <v>11587</v>
      </c>
      <c r="C589" s="2" t="s">
        <v>883</v>
      </c>
      <c r="D589" t="s">
        <v>1591</v>
      </c>
      <c r="E589" t="s">
        <v>2591</v>
      </c>
      <c r="F589" t="s">
        <v>3083</v>
      </c>
      <c r="G589">
        <v>21</v>
      </c>
      <c r="H589" t="s">
        <v>4204</v>
      </c>
      <c r="J589" t="s">
        <v>228</v>
      </c>
      <c r="N589">
        <v>59252219</v>
      </c>
    </row>
    <row r="590" spans="1:14" x14ac:dyDescent="0.35">
      <c r="A590">
        <v>11588</v>
      </c>
      <c r="C590" s="2" t="s">
        <v>883</v>
      </c>
      <c r="D590" t="s">
        <v>1592</v>
      </c>
      <c r="E590" t="s">
        <v>2592</v>
      </c>
      <c r="F590" t="s">
        <v>3051</v>
      </c>
      <c r="G590">
        <v>24</v>
      </c>
      <c r="H590" t="s">
        <v>4219</v>
      </c>
      <c r="J590" t="s">
        <v>228</v>
      </c>
      <c r="N590">
        <v>59252220</v>
      </c>
    </row>
    <row r="591" spans="1:14" x14ac:dyDescent="0.35">
      <c r="A591">
        <v>11589</v>
      </c>
      <c r="C591" s="2" t="s">
        <v>883</v>
      </c>
      <c r="D591" t="s">
        <v>1593</v>
      </c>
      <c r="E591" t="s">
        <v>2593</v>
      </c>
      <c r="F591" t="s">
        <v>3041</v>
      </c>
      <c r="G591" t="s">
        <v>3913</v>
      </c>
      <c r="J591" t="s">
        <v>228</v>
      </c>
      <c r="N591">
        <v>59252221</v>
      </c>
    </row>
    <row r="592" spans="1:14" x14ac:dyDescent="0.35">
      <c r="A592">
        <v>11590</v>
      </c>
      <c r="C592" s="2" t="s">
        <v>883</v>
      </c>
      <c r="D592" t="s">
        <v>1594</v>
      </c>
      <c r="E592" t="s">
        <v>2594</v>
      </c>
      <c r="F592" t="s">
        <v>3085</v>
      </c>
      <c r="G592" t="s">
        <v>3995</v>
      </c>
      <c r="J592" t="s">
        <v>228</v>
      </c>
      <c r="N592">
        <v>59252222</v>
      </c>
    </row>
    <row r="593" spans="1:14" x14ac:dyDescent="0.35">
      <c r="A593">
        <v>11591</v>
      </c>
      <c r="C593" s="2" t="s">
        <v>883</v>
      </c>
      <c r="D593" t="s">
        <v>1595</v>
      </c>
      <c r="E593" t="s">
        <v>2595</v>
      </c>
      <c r="F593" t="s">
        <v>3082</v>
      </c>
      <c r="G593">
        <v>67</v>
      </c>
      <c r="H593" t="s">
        <v>4041</v>
      </c>
      <c r="J593" t="s">
        <v>228</v>
      </c>
      <c r="N593">
        <v>59252223</v>
      </c>
    </row>
    <row r="594" spans="1:14" x14ac:dyDescent="0.35">
      <c r="A594">
        <v>11592</v>
      </c>
      <c r="C594" s="2" t="s">
        <v>883</v>
      </c>
      <c r="D594" t="s">
        <v>1596</v>
      </c>
      <c r="E594" t="s">
        <v>2596</v>
      </c>
      <c r="F594" t="s">
        <v>3026</v>
      </c>
      <c r="G594">
        <v>68</v>
      </c>
      <c r="H594" t="s">
        <v>4127</v>
      </c>
      <c r="J594" t="s">
        <v>228</v>
      </c>
      <c r="N594">
        <v>59252224</v>
      </c>
    </row>
    <row r="595" spans="1:14" x14ac:dyDescent="0.35">
      <c r="A595">
        <v>11593</v>
      </c>
      <c r="C595" s="2" t="s">
        <v>883</v>
      </c>
      <c r="D595" t="s">
        <v>1597</v>
      </c>
      <c r="E595" t="s">
        <v>2597</v>
      </c>
      <c r="F595" t="s">
        <v>3065</v>
      </c>
      <c r="G595">
        <v>121</v>
      </c>
      <c r="H595" t="s">
        <v>4214</v>
      </c>
      <c r="J595" t="s">
        <v>228</v>
      </c>
      <c r="N595">
        <v>59252225</v>
      </c>
    </row>
    <row r="596" spans="1:14" x14ac:dyDescent="0.35">
      <c r="A596">
        <v>11594</v>
      </c>
      <c r="C596" s="2" t="s">
        <v>883</v>
      </c>
      <c r="D596" t="s">
        <v>1598</v>
      </c>
      <c r="E596" t="s">
        <v>2598</v>
      </c>
      <c r="F596" t="s">
        <v>3068</v>
      </c>
      <c r="G596">
        <v>11</v>
      </c>
      <c r="H596" t="s">
        <v>4075</v>
      </c>
      <c r="J596" t="s">
        <v>228</v>
      </c>
      <c r="N596">
        <v>59252226</v>
      </c>
    </row>
    <row r="597" spans="1:14" x14ac:dyDescent="0.35">
      <c r="A597">
        <v>11595</v>
      </c>
      <c r="C597" s="2" t="s">
        <v>883</v>
      </c>
      <c r="D597" t="s">
        <v>1599</v>
      </c>
      <c r="E597" t="s">
        <v>2599</v>
      </c>
      <c r="F597" t="s">
        <v>3051</v>
      </c>
      <c r="G597" t="s">
        <v>4220</v>
      </c>
      <c r="J597" t="s">
        <v>228</v>
      </c>
      <c r="N597">
        <v>59252227</v>
      </c>
    </row>
    <row r="598" spans="1:14" x14ac:dyDescent="0.35">
      <c r="A598">
        <v>11596</v>
      </c>
      <c r="C598" s="2" t="s">
        <v>883</v>
      </c>
      <c r="D598" t="s">
        <v>1600</v>
      </c>
      <c r="E598" t="s">
        <v>2600</v>
      </c>
      <c r="F598" t="s">
        <v>3066</v>
      </c>
      <c r="G598" t="s">
        <v>4221</v>
      </c>
      <c r="J598" t="s">
        <v>228</v>
      </c>
      <c r="N598">
        <v>59252228</v>
      </c>
    </row>
    <row r="599" spans="1:14" x14ac:dyDescent="0.35">
      <c r="A599">
        <v>11597</v>
      </c>
      <c r="C599" s="2" t="s">
        <v>883</v>
      </c>
      <c r="D599" t="s">
        <v>1601</v>
      </c>
      <c r="E599" t="s">
        <v>2601</v>
      </c>
      <c r="F599" t="s">
        <v>3080</v>
      </c>
      <c r="G599">
        <v>25</v>
      </c>
      <c r="H599" t="s">
        <v>4057</v>
      </c>
      <c r="J599" t="s">
        <v>228</v>
      </c>
      <c r="N599">
        <v>59252229</v>
      </c>
    </row>
    <row r="600" spans="1:14" x14ac:dyDescent="0.35">
      <c r="A600">
        <v>11598</v>
      </c>
      <c r="C600" s="2" t="s">
        <v>883</v>
      </c>
      <c r="D600" t="s">
        <v>1602</v>
      </c>
      <c r="E600" t="s">
        <v>2602</v>
      </c>
      <c r="F600" t="s">
        <v>3041</v>
      </c>
      <c r="G600" t="s">
        <v>4222</v>
      </c>
      <c r="J600" t="s">
        <v>228</v>
      </c>
      <c r="N600">
        <v>59252230</v>
      </c>
    </row>
    <row r="601" spans="1:14" x14ac:dyDescent="0.35">
      <c r="A601">
        <v>11599</v>
      </c>
      <c r="C601" s="2" t="s">
        <v>883</v>
      </c>
      <c r="D601" t="s">
        <v>1603</v>
      </c>
      <c r="E601" t="s">
        <v>2603</v>
      </c>
      <c r="F601" t="s">
        <v>3034</v>
      </c>
      <c r="G601" t="s">
        <v>3995</v>
      </c>
      <c r="J601" t="s">
        <v>228</v>
      </c>
      <c r="N601">
        <v>59252231</v>
      </c>
    </row>
    <row r="602" spans="1:14" x14ac:dyDescent="0.35">
      <c r="A602">
        <v>11600</v>
      </c>
      <c r="C602" s="2" t="s">
        <v>883</v>
      </c>
      <c r="D602" t="s">
        <v>1604</v>
      </c>
      <c r="E602" t="s">
        <v>2604</v>
      </c>
      <c r="F602" t="s">
        <v>3297</v>
      </c>
      <c r="G602">
        <v>2616</v>
      </c>
      <c r="H602" t="s">
        <v>4063</v>
      </c>
      <c r="J602" t="s">
        <v>228</v>
      </c>
      <c r="N602">
        <v>59252232</v>
      </c>
    </row>
    <row r="603" spans="1:14" x14ac:dyDescent="0.35">
      <c r="A603">
        <v>11601</v>
      </c>
      <c r="C603" s="2" t="s">
        <v>883</v>
      </c>
      <c r="D603" t="s">
        <v>1605</v>
      </c>
      <c r="E603" t="s">
        <v>2605</v>
      </c>
      <c r="F603" t="s">
        <v>3198</v>
      </c>
      <c r="G603">
        <v>335</v>
      </c>
      <c r="H603" t="s">
        <v>4205</v>
      </c>
      <c r="J603" t="s">
        <v>228</v>
      </c>
      <c r="N603">
        <v>59252233</v>
      </c>
    </row>
    <row r="604" spans="1:14" x14ac:dyDescent="0.35">
      <c r="A604">
        <v>11602</v>
      </c>
      <c r="C604" s="2" t="s">
        <v>883</v>
      </c>
      <c r="D604" t="s">
        <v>1606</v>
      </c>
      <c r="E604" t="s">
        <v>2606</v>
      </c>
      <c r="F604" t="s">
        <v>3062</v>
      </c>
      <c r="G604" t="s">
        <v>4223</v>
      </c>
      <c r="J604" t="s">
        <v>228</v>
      </c>
      <c r="N604">
        <v>59252234</v>
      </c>
    </row>
    <row r="605" spans="1:14" x14ac:dyDescent="0.35">
      <c r="A605">
        <v>11603</v>
      </c>
      <c r="C605" s="2" t="s">
        <v>883</v>
      </c>
      <c r="D605" t="s">
        <v>1607</v>
      </c>
      <c r="E605" t="s">
        <v>2607</v>
      </c>
      <c r="F605" t="s">
        <v>3007</v>
      </c>
      <c r="G605" t="s">
        <v>4224</v>
      </c>
      <c r="J605" t="s">
        <v>228</v>
      </c>
      <c r="N605">
        <v>59252235</v>
      </c>
    </row>
    <row r="606" spans="1:14" x14ac:dyDescent="0.35">
      <c r="A606">
        <v>11604</v>
      </c>
      <c r="C606" s="2" t="s">
        <v>883</v>
      </c>
      <c r="D606" t="s">
        <v>1608</v>
      </c>
      <c r="E606" t="s">
        <v>2608</v>
      </c>
      <c r="F606" t="s">
        <v>3012</v>
      </c>
      <c r="G606" t="s">
        <v>4225</v>
      </c>
      <c r="J606" t="s">
        <v>228</v>
      </c>
      <c r="N606">
        <v>59252236</v>
      </c>
    </row>
    <row r="607" spans="1:14" x14ac:dyDescent="0.35">
      <c r="A607">
        <v>11605</v>
      </c>
      <c r="C607" s="2" t="s">
        <v>883</v>
      </c>
      <c r="D607" t="s">
        <v>1609</v>
      </c>
      <c r="E607" t="s">
        <v>2609</v>
      </c>
      <c r="F607" t="s">
        <v>3035</v>
      </c>
      <c r="G607" t="s">
        <v>4226</v>
      </c>
      <c r="J607" t="s">
        <v>228</v>
      </c>
      <c r="N607">
        <v>59252237</v>
      </c>
    </row>
    <row r="608" spans="1:14" x14ac:dyDescent="0.35">
      <c r="A608">
        <v>11606</v>
      </c>
      <c r="C608" s="2" t="s">
        <v>883</v>
      </c>
      <c r="D608" t="s">
        <v>1610</v>
      </c>
      <c r="E608" t="s">
        <v>2610</v>
      </c>
      <c r="F608" t="s">
        <v>3029</v>
      </c>
      <c r="G608">
        <v>2</v>
      </c>
      <c r="H608" t="s">
        <v>4215</v>
      </c>
      <c r="J608" t="s">
        <v>228</v>
      </c>
      <c r="N608">
        <v>59252238</v>
      </c>
    </row>
    <row r="609" spans="1:14" x14ac:dyDescent="0.35">
      <c r="A609">
        <v>11607</v>
      </c>
      <c r="C609" s="2" t="s">
        <v>883</v>
      </c>
      <c r="D609" t="s">
        <v>1611</v>
      </c>
      <c r="E609" t="s">
        <v>2611</v>
      </c>
      <c r="F609" t="s">
        <v>3353</v>
      </c>
      <c r="G609">
        <v>610</v>
      </c>
      <c r="H609" t="s">
        <v>4227</v>
      </c>
      <c r="J609" t="s">
        <v>228</v>
      </c>
      <c r="N609">
        <v>59252239</v>
      </c>
    </row>
    <row r="610" spans="1:14" x14ac:dyDescent="0.35">
      <c r="A610">
        <v>11608</v>
      </c>
      <c r="C610" s="2" t="s">
        <v>883</v>
      </c>
      <c r="D610" t="s">
        <v>1612</v>
      </c>
      <c r="E610" t="s">
        <v>2612</v>
      </c>
      <c r="F610" t="s">
        <v>3082</v>
      </c>
      <c r="G610">
        <v>774</v>
      </c>
      <c r="H610" t="s">
        <v>4228</v>
      </c>
      <c r="J610" t="s">
        <v>228</v>
      </c>
      <c r="N610">
        <v>59252240</v>
      </c>
    </row>
    <row r="611" spans="1:14" x14ac:dyDescent="0.35">
      <c r="A611">
        <v>11609</v>
      </c>
      <c r="C611" s="2" t="s">
        <v>883</v>
      </c>
      <c r="D611" t="s">
        <v>1613</v>
      </c>
      <c r="E611" t="s">
        <v>2613</v>
      </c>
      <c r="F611" t="s">
        <v>3296</v>
      </c>
      <c r="G611" t="s">
        <v>4229</v>
      </c>
      <c r="J611" t="s">
        <v>228</v>
      </c>
      <c r="N611">
        <v>59252241</v>
      </c>
    </row>
    <row r="612" spans="1:14" x14ac:dyDescent="0.35">
      <c r="A612">
        <v>11610</v>
      </c>
      <c r="C612" s="2" t="s">
        <v>883</v>
      </c>
      <c r="D612" t="s">
        <v>1614</v>
      </c>
      <c r="E612" t="s">
        <v>2614</v>
      </c>
      <c r="F612" t="s">
        <v>3354</v>
      </c>
      <c r="G612" t="s">
        <v>4230</v>
      </c>
      <c r="J612" t="s">
        <v>228</v>
      </c>
      <c r="N612">
        <v>59252242</v>
      </c>
    </row>
    <row r="613" spans="1:14" x14ac:dyDescent="0.35">
      <c r="A613">
        <v>11611</v>
      </c>
      <c r="C613" s="2" t="s">
        <v>883</v>
      </c>
      <c r="D613" t="s">
        <v>1615</v>
      </c>
      <c r="E613" t="s">
        <v>2615</v>
      </c>
      <c r="F613" t="s">
        <v>3355</v>
      </c>
      <c r="G613">
        <v>65</v>
      </c>
      <c r="H613" t="s">
        <v>4231</v>
      </c>
      <c r="J613" t="s">
        <v>228</v>
      </c>
      <c r="N613">
        <v>59252243</v>
      </c>
    </row>
    <row r="614" spans="1:14" x14ac:dyDescent="0.35">
      <c r="A614">
        <v>11612</v>
      </c>
      <c r="C614" s="2" t="s">
        <v>883</v>
      </c>
      <c r="D614" t="s">
        <v>1616</v>
      </c>
      <c r="E614" t="s">
        <v>2616</v>
      </c>
      <c r="F614" t="s">
        <v>3029</v>
      </c>
      <c r="G614" t="s">
        <v>4232</v>
      </c>
      <c r="J614" t="s">
        <v>228</v>
      </c>
      <c r="N614">
        <v>59252244</v>
      </c>
    </row>
    <row r="615" spans="1:14" x14ac:dyDescent="0.35">
      <c r="A615">
        <v>11613</v>
      </c>
      <c r="C615" s="2" t="s">
        <v>883</v>
      </c>
      <c r="D615" t="s">
        <v>1617</v>
      </c>
      <c r="E615" t="s">
        <v>2617</v>
      </c>
      <c r="F615" t="s">
        <v>3004</v>
      </c>
      <c r="G615" t="s">
        <v>4233</v>
      </c>
      <c r="J615" t="s">
        <v>228</v>
      </c>
      <c r="N615">
        <v>59252245</v>
      </c>
    </row>
    <row r="616" spans="1:14" x14ac:dyDescent="0.35">
      <c r="A616">
        <v>11614</v>
      </c>
      <c r="C616" s="2" t="s">
        <v>883</v>
      </c>
      <c r="D616" t="s">
        <v>1618</v>
      </c>
      <c r="E616" t="s">
        <v>2618</v>
      </c>
      <c r="F616" t="s">
        <v>3081</v>
      </c>
      <c r="G616" t="s">
        <v>4234</v>
      </c>
      <c r="J616" t="s">
        <v>228</v>
      </c>
      <c r="N616">
        <v>59252246</v>
      </c>
    </row>
    <row r="617" spans="1:14" x14ac:dyDescent="0.35">
      <c r="A617">
        <v>11615</v>
      </c>
      <c r="C617" s="2" t="s">
        <v>883</v>
      </c>
      <c r="D617" t="s">
        <v>1619</v>
      </c>
      <c r="E617" t="s">
        <v>2619</v>
      </c>
      <c r="F617" t="s">
        <v>3040</v>
      </c>
      <c r="G617" t="s">
        <v>4235</v>
      </c>
      <c r="J617" t="s">
        <v>228</v>
      </c>
      <c r="N617">
        <v>59252247</v>
      </c>
    </row>
    <row r="618" spans="1:14" x14ac:dyDescent="0.35">
      <c r="A618">
        <v>11616</v>
      </c>
      <c r="C618" s="2" t="s">
        <v>883</v>
      </c>
      <c r="D618" t="s">
        <v>1620</v>
      </c>
      <c r="E618" t="s">
        <v>2620</v>
      </c>
      <c r="F618" t="s">
        <v>3061</v>
      </c>
      <c r="G618" t="s">
        <v>4236</v>
      </c>
      <c r="J618" t="s">
        <v>228</v>
      </c>
      <c r="N618">
        <v>59252248</v>
      </c>
    </row>
    <row r="619" spans="1:14" x14ac:dyDescent="0.35">
      <c r="A619">
        <v>11617</v>
      </c>
      <c r="C619" s="2" t="s">
        <v>883</v>
      </c>
      <c r="D619" t="s">
        <v>1621</v>
      </c>
      <c r="E619" t="s">
        <v>2621</v>
      </c>
      <c r="F619" t="s">
        <v>3356</v>
      </c>
      <c r="G619" t="s">
        <v>4237</v>
      </c>
      <c r="J619" t="s">
        <v>228</v>
      </c>
      <c r="N619">
        <v>59252249</v>
      </c>
    </row>
    <row r="620" spans="1:14" x14ac:dyDescent="0.35">
      <c r="A620">
        <v>11618</v>
      </c>
      <c r="C620" s="2" t="s">
        <v>883</v>
      </c>
      <c r="D620" t="s">
        <v>1622</v>
      </c>
      <c r="E620" t="s">
        <v>2622</v>
      </c>
      <c r="F620" t="s">
        <v>3357</v>
      </c>
      <c r="G620" t="s">
        <v>4238</v>
      </c>
      <c r="J620" t="s">
        <v>228</v>
      </c>
      <c r="N620">
        <v>59252250</v>
      </c>
    </row>
    <row r="621" spans="1:14" x14ac:dyDescent="0.35">
      <c r="A621">
        <v>11619</v>
      </c>
      <c r="C621" s="2" t="s">
        <v>883</v>
      </c>
      <c r="D621" t="s">
        <v>1623</v>
      </c>
      <c r="E621" t="s">
        <v>2623</v>
      </c>
      <c r="F621" t="s">
        <v>3358</v>
      </c>
      <c r="G621" t="s">
        <v>4239</v>
      </c>
      <c r="J621" t="s">
        <v>228</v>
      </c>
      <c r="N621">
        <v>59252251</v>
      </c>
    </row>
    <row r="622" spans="1:14" x14ac:dyDescent="0.35">
      <c r="A622">
        <v>11620</v>
      </c>
      <c r="C622" s="2" t="s">
        <v>883</v>
      </c>
      <c r="D622" t="s">
        <v>1624</v>
      </c>
      <c r="E622" t="s">
        <v>2624</v>
      </c>
      <c r="F622" t="s">
        <v>3359</v>
      </c>
      <c r="G622" t="s">
        <v>4240</v>
      </c>
      <c r="J622" t="s">
        <v>228</v>
      </c>
      <c r="N622">
        <v>59252252</v>
      </c>
    </row>
    <row r="623" spans="1:14" x14ac:dyDescent="0.35">
      <c r="A623">
        <v>11621</v>
      </c>
      <c r="C623" s="2" t="s">
        <v>883</v>
      </c>
      <c r="D623" t="s">
        <v>1625</v>
      </c>
      <c r="E623" t="s">
        <v>2625</v>
      </c>
      <c r="F623" t="s">
        <v>3360</v>
      </c>
      <c r="G623" t="s">
        <v>4241</v>
      </c>
      <c r="J623" t="s">
        <v>228</v>
      </c>
      <c r="N623">
        <v>59252253</v>
      </c>
    </row>
    <row r="624" spans="1:14" x14ac:dyDescent="0.35">
      <c r="A624">
        <v>11622</v>
      </c>
      <c r="C624" s="2" t="s">
        <v>883</v>
      </c>
      <c r="D624" t="s">
        <v>1626</v>
      </c>
      <c r="E624" t="s">
        <v>2626</v>
      </c>
      <c r="F624" t="s">
        <v>3361</v>
      </c>
      <c r="G624" t="s">
        <v>4242</v>
      </c>
      <c r="J624" t="s">
        <v>228</v>
      </c>
      <c r="N624">
        <v>59252254</v>
      </c>
    </row>
    <row r="625" spans="1:14" x14ac:dyDescent="0.35">
      <c r="A625">
        <v>11623</v>
      </c>
      <c r="C625" s="2" t="s">
        <v>883</v>
      </c>
      <c r="D625" t="s">
        <v>1627</v>
      </c>
      <c r="E625" t="s">
        <v>2627</v>
      </c>
      <c r="F625" t="s">
        <v>3362</v>
      </c>
      <c r="G625" t="s">
        <v>4243</v>
      </c>
      <c r="J625" t="s">
        <v>228</v>
      </c>
      <c r="N625">
        <v>59252255</v>
      </c>
    </row>
    <row r="626" spans="1:14" x14ac:dyDescent="0.35">
      <c r="A626">
        <v>11624</v>
      </c>
      <c r="C626" s="2" t="s">
        <v>883</v>
      </c>
      <c r="D626" t="s">
        <v>1628</v>
      </c>
      <c r="E626" t="s">
        <v>2628</v>
      </c>
      <c r="F626" t="s">
        <v>3363</v>
      </c>
      <c r="G626" t="s">
        <v>4244</v>
      </c>
      <c r="J626" t="s">
        <v>228</v>
      </c>
      <c r="N626">
        <v>59252256</v>
      </c>
    </row>
    <row r="627" spans="1:14" x14ac:dyDescent="0.35">
      <c r="A627">
        <v>11625</v>
      </c>
      <c r="C627" s="2" t="s">
        <v>883</v>
      </c>
      <c r="D627" t="s">
        <v>1629</v>
      </c>
      <c r="E627" t="s">
        <v>2629</v>
      </c>
      <c r="F627" t="s">
        <v>3364</v>
      </c>
      <c r="G627" t="s">
        <v>4245</v>
      </c>
      <c r="J627" t="s">
        <v>228</v>
      </c>
      <c r="N627">
        <v>59252257</v>
      </c>
    </row>
    <row r="628" spans="1:14" x14ac:dyDescent="0.35">
      <c r="A628">
        <v>11626</v>
      </c>
      <c r="C628" s="2" t="s">
        <v>883</v>
      </c>
      <c r="D628" t="s">
        <v>1630</v>
      </c>
      <c r="E628" t="s">
        <v>2630</v>
      </c>
      <c r="F628" t="s">
        <v>3365</v>
      </c>
      <c r="G628" t="s">
        <v>4246</v>
      </c>
      <c r="J628" t="s">
        <v>228</v>
      </c>
      <c r="N628">
        <v>59252258</v>
      </c>
    </row>
    <row r="629" spans="1:14" x14ac:dyDescent="0.35">
      <c r="A629">
        <v>11627</v>
      </c>
      <c r="C629" s="2" t="s">
        <v>883</v>
      </c>
      <c r="D629" t="s">
        <v>1631</v>
      </c>
      <c r="E629" t="s">
        <v>2631</v>
      </c>
      <c r="F629" t="s">
        <v>3366</v>
      </c>
      <c r="G629" t="s">
        <v>4247</v>
      </c>
      <c r="J629" t="s">
        <v>228</v>
      </c>
      <c r="N629">
        <v>59252259</v>
      </c>
    </row>
    <row r="630" spans="1:14" x14ac:dyDescent="0.35">
      <c r="A630">
        <v>11628</v>
      </c>
      <c r="C630" s="2" t="s">
        <v>883</v>
      </c>
      <c r="D630" t="s">
        <v>1632</v>
      </c>
      <c r="E630" t="s">
        <v>2632</v>
      </c>
      <c r="F630" t="s">
        <v>3367</v>
      </c>
      <c r="G630" t="s">
        <v>4248</v>
      </c>
      <c r="J630" t="s">
        <v>228</v>
      </c>
      <c r="N630">
        <v>59252260</v>
      </c>
    </row>
    <row r="631" spans="1:14" x14ac:dyDescent="0.35">
      <c r="A631">
        <v>11629</v>
      </c>
      <c r="C631" s="2" t="s">
        <v>883</v>
      </c>
      <c r="D631" t="s">
        <v>1633</v>
      </c>
      <c r="E631" t="s">
        <v>2633</v>
      </c>
      <c r="F631" t="s">
        <v>3368</v>
      </c>
      <c r="G631" t="s">
        <v>4249</v>
      </c>
      <c r="J631" t="s">
        <v>228</v>
      </c>
      <c r="N631">
        <v>59252261</v>
      </c>
    </row>
    <row r="632" spans="1:14" x14ac:dyDescent="0.35">
      <c r="A632">
        <v>11630</v>
      </c>
      <c r="C632" s="2" t="s">
        <v>883</v>
      </c>
      <c r="D632" t="s">
        <v>1634</v>
      </c>
      <c r="E632" t="s">
        <v>2634</v>
      </c>
      <c r="F632" t="s">
        <v>3369</v>
      </c>
      <c r="G632" t="s">
        <v>4250</v>
      </c>
      <c r="J632" t="s">
        <v>228</v>
      </c>
      <c r="N632">
        <v>59252262</v>
      </c>
    </row>
    <row r="633" spans="1:14" x14ac:dyDescent="0.35">
      <c r="A633">
        <v>11631</v>
      </c>
      <c r="C633" s="2" t="s">
        <v>883</v>
      </c>
      <c r="D633" t="s">
        <v>1635</v>
      </c>
      <c r="E633" t="s">
        <v>2635</v>
      </c>
      <c r="F633" t="s">
        <v>3370</v>
      </c>
      <c r="G633" t="s">
        <v>4251</v>
      </c>
      <c r="J633" t="s">
        <v>228</v>
      </c>
      <c r="N633">
        <v>59252263</v>
      </c>
    </row>
    <row r="634" spans="1:14" x14ac:dyDescent="0.35">
      <c r="A634">
        <v>11632</v>
      </c>
      <c r="C634" s="2" t="s">
        <v>883</v>
      </c>
      <c r="D634" t="s">
        <v>1636</v>
      </c>
      <c r="E634" t="s">
        <v>2636</v>
      </c>
      <c r="F634" t="s">
        <v>3371</v>
      </c>
      <c r="G634" t="s">
        <v>4252</v>
      </c>
      <c r="J634" t="s">
        <v>228</v>
      </c>
      <c r="N634">
        <v>59252264</v>
      </c>
    </row>
    <row r="635" spans="1:14" x14ac:dyDescent="0.35">
      <c r="A635">
        <v>11633</v>
      </c>
      <c r="C635" s="2" t="s">
        <v>883</v>
      </c>
      <c r="D635" t="s">
        <v>1637</v>
      </c>
      <c r="E635" t="s">
        <v>2637</v>
      </c>
      <c r="F635" t="s">
        <v>3372</v>
      </c>
      <c r="G635" t="s">
        <v>4253</v>
      </c>
      <c r="J635" t="s">
        <v>228</v>
      </c>
      <c r="N635">
        <v>59252265</v>
      </c>
    </row>
    <row r="636" spans="1:14" x14ac:dyDescent="0.35">
      <c r="A636">
        <v>11634</v>
      </c>
      <c r="C636" s="2" t="s">
        <v>883</v>
      </c>
      <c r="D636" t="s">
        <v>1638</v>
      </c>
      <c r="E636" t="s">
        <v>2638</v>
      </c>
      <c r="F636" t="s">
        <v>3373</v>
      </c>
      <c r="G636" t="s">
        <v>4254</v>
      </c>
      <c r="J636" t="s">
        <v>228</v>
      </c>
      <c r="N636">
        <v>59252266</v>
      </c>
    </row>
    <row r="637" spans="1:14" x14ac:dyDescent="0.35">
      <c r="A637">
        <v>11635</v>
      </c>
      <c r="C637" s="2" t="s">
        <v>883</v>
      </c>
      <c r="D637" t="s">
        <v>1639</v>
      </c>
      <c r="E637" t="s">
        <v>2639</v>
      </c>
      <c r="F637" t="s">
        <v>3374</v>
      </c>
      <c r="G637" t="s">
        <v>4255</v>
      </c>
      <c r="J637" t="s">
        <v>228</v>
      </c>
      <c r="N637">
        <v>59252267</v>
      </c>
    </row>
    <row r="638" spans="1:14" x14ac:dyDescent="0.35">
      <c r="A638">
        <v>11636</v>
      </c>
      <c r="C638" s="2" t="s">
        <v>883</v>
      </c>
      <c r="D638" t="s">
        <v>1640</v>
      </c>
      <c r="E638" t="s">
        <v>2640</v>
      </c>
      <c r="F638" t="s">
        <v>3375</v>
      </c>
      <c r="G638" t="s">
        <v>4256</v>
      </c>
      <c r="J638" t="s">
        <v>228</v>
      </c>
      <c r="N638">
        <v>59252268</v>
      </c>
    </row>
    <row r="639" spans="1:14" x14ac:dyDescent="0.35">
      <c r="A639">
        <v>11637</v>
      </c>
      <c r="C639" s="2" t="s">
        <v>883</v>
      </c>
      <c r="D639" t="s">
        <v>1641</v>
      </c>
      <c r="E639" t="s">
        <v>2641</v>
      </c>
      <c r="F639" t="s">
        <v>3376</v>
      </c>
      <c r="G639" t="s">
        <v>4257</v>
      </c>
      <c r="J639" t="s">
        <v>228</v>
      </c>
      <c r="N639">
        <v>59252269</v>
      </c>
    </row>
    <row r="640" spans="1:14" x14ac:dyDescent="0.35">
      <c r="A640">
        <v>11638</v>
      </c>
      <c r="C640" s="2" t="s">
        <v>883</v>
      </c>
      <c r="D640" t="s">
        <v>1642</v>
      </c>
      <c r="E640" t="s">
        <v>2642</v>
      </c>
      <c r="F640" t="s">
        <v>3377</v>
      </c>
      <c r="G640" t="s">
        <v>4107</v>
      </c>
      <c r="J640" t="s">
        <v>228</v>
      </c>
      <c r="N640">
        <v>59252270</v>
      </c>
    </row>
    <row r="641" spans="1:14" x14ac:dyDescent="0.35">
      <c r="A641">
        <v>11639</v>
      </c>
      <c r="C641" s="2" t="s">
        <v>883</v>
      </c>
      <c r="D641" t="s">
        <v>1643</v>
      </c>
      <c r="E641" t="s">
        <v>2643</v>
      </c>
      <c r="F641" t="s">
        <v>3378</v>
      </c>
      <c r="G641" t="s">
        <v>4258</v>
      </c>
      <c r="J641" t="s">
        <v>228</v>
      </c>
      <c r="N641">
        <v>59252271</v>
      </c>
    </row>
    <row r="642" spans="1:14" x14ac:dyDescent="0.35">
      <c r="A642">
        <v>11640</v>
      </c>
      <c r="C642" s="2" t="s">
        <v>883</v>
      </c>
      <c r="D642" t="s">
        <v>1644</v>
      </c>
      <c r="E642" t="s">
        <v>2644</v>
      </c>
      <c r="F642" t="s">
        <v>3379</v>
      </c>
      <c r="G642" t="s">
        <v>4259</v>
      </c>
      <c r="J642" t="s">
        <v>228</v>
      </c>
      <c r="N642">
        <v>59252272</v>
      </c>
    </row>
    <row r="643" spans="1:14" x14ac:dyDescent="0.35">
      <c r="A643">
        <v>11641</v>
      </c>
      <c r="C643" s="2" t="s">
        <v>883</v>
      </c>
      <c r="D643" t="s">
        <v>1645</v>
      </c>
      <c r="E643" t="s">
        <v>2645</v>
      </c>
      <c r="F643" t="s">
        <v>3380</v>
      </c>
      <c r="G643" t="s">
        <v>4260</v>
      </c>
      <c r="J643" t="s">
        <v>228</v>
      </c>
      <c r="N643">
        <v>59252273</v>
      </c>
    </row>
    <row r="644" spans="1:14" x14ac:dyDescent="0.35">
      <c r="A644">
        <v>11642</v>
      </c>
      <c r="C644" s="2" t="s">
        <v>883</v>
      </c>
      <c r="D644" t="s">
        <v>1646</v>
      </c>
      <c r="E644" t="s">
        <v>2646</v>
      </c>
      <c r="F644" t="s">
        <v>3381</v>
      </c>
      <c r="G644" t="s">
        <v>4261</v>
      </c>
      <c r="J644" t="s">
        <v>228</v>
      </c>
      <c r="N644">
        <v>59252274</v>
      </c>
    </row>
    <row r="645" spans="1:14" x14ac:dyDescent="0.35">
      <c r="A645">
        <v>11643</v>
      </c>
      <c r="C645" s="2" t="s">
        <v>883</v>
      </c>
      <c r="D645" t="s">
        <v>1647</v>
      </c>
      <c r="E645" t="s">
        <v>2647</v>
      </c>
      <c r="F645" t="s">
        <v>3382</v>
      </c>
      <c r="G645" t="s">
        <v>4262</v>
      </c>
      <c r="J645" t="s">
        <v>228</v>
      </c>
      <c r="N645">
        <v>59252275</v>
      </c>
    </row>
    <row r="646" spans="1:14" x14ac:dyDescent="0.35">
      <c r="A646">
        <v>11644</v>
      </c>
      <c r="C646" s="2" t="s">
        <v>883</v>
      </c>
      <c r="D646" t="s">
        <v>1648</v>
      </c>
      <c r="E646" t="s">
        <v>2648</v>
      </c>
      <c r="F646" t="s">
        <v>3383</v>
      </c>
      <c r="G646" t="s">
        <v>4263</v>
      </c>
      <c r="J646" t="s">
        <v>228</v>
      </c>
      <c r="N646">
        <v>59252276</v>
      </c>
    </row>
    <row r="647" spans="1:14" x14ac:dyDescent="0.35">
      <c r="A647">
        <v>11645</v>
      </c>
      <c r="C647" s="2" t="s">
        <v>883</v>
      </c>
      <c r="D647" t="s">
        <v>1649</v>
      </c>
      <c r="E647" t="s">
        <v>2649</v>
      </c>
      <c r="F647" t="s">
        <v>3384</v>
      </c>
      <c r="G647" t="s">
        <v>4264</v>
      </c>
      <c r="J647" t="s">
        <v>228</v>
      </c>
      <c r="N647">
        <v>59252277</v>
      </c>
    </row>
    <row r="648" spans="1:14" x14ac:dyDescent="0.35">
      <c r="A648">
        <v>11646</v>
      </c>
      <c r="C648" s="2" t="s">
        <v>883</v>
      </c>
      <c r="D648" t="s">
        <v>1650</v>
      </c>
      <c r="E648" t="s">
        <v>2650</v>
      </c>
      <c r="F648" t="s">
        <v>3385</v>
      </c>
      <c r="G648" t="s">
        <v>4265</v>
      </c>
      <c r="J648" t="s">
        <v>228</v>
      </c>
      <c r="N648">
        <v>59252278</v>
      </c>
    </row>
    <row r="649" spans="1:14" x14ac:dyDescent="0.35">
      <c r="A649">
        <v>11647</v>
      </c>
      <c r="C649" s="2" t="s">
        <v>883</v>
      </c>
      <c r="D649" t="s">
        <v>1651</v>
      </c>
      <c r="E649" t="s">
        <v>2651</v>
      </c>
      <c r="F649" t="s">
        <v>3386</v>
      </c>
      <c r="G649" t="s">
        <v>4266</v>
      </c>
      <c r="J649" t="s">
        <v>228</v>
      </c>
      <c r="N649">
        <v>59252279</v>
      </c>
    </row>
    <row r="650" spans="1:14" x14ac:dyDescent="0.35">
      <c r="A650">
        <v>11648</v>
      </c>
      <c r="C650" s="2" t="s">
        <v>883</v>
      </c>
      <c r="D650" t="s">
        <v>1652</v>
      </c>
      <c r="E650" t="s">
        <v>2652</v>
      </c>
      <c r="F650" t="s">
        <v>3387</v>
      </c>
      <c r="G650" t="s">
        <v>4267</v>
      </c>
      <c r="J650" t="s">
        <v>228</v>
      </c>
      <c r="N650">
        <v>59252280</v>
      </c>
    </row>
    <row r="651" spans="1:14" x14ac:dyDescent="0.35">
      <c r="A651">
        <v>11649</v>
      </c>
      <c r="C651" s="2" t="s">
        <v>883</v>
      </c>
      <c r="D651" t="s">
        <v>1653</v>
      </c>
      <c r="E651" t="s">
        <v>2653</v>
      </c>
      <c r="F651" t="s">
        <v>3388</v>
      </c>
      <c r="G651" t="s">
        <v>4268</v>
      </c>
      <c r="J651" t="s">
        <v>228</v>
      </c>
      <c r="N651">
        <v>59252281</v>
      </c>
    </row>
    <row r="652" spans="1:14" x14ac:dyDescent="0.35">
      <c r="A652">
        <v>11650</v>
      </c>
      <c r="C652" s="2" t="s">
        <v>883</v>
      </c>
      <c r="D652" t="s">
        <v>1654</v>
      </c>
      <c r="E652" t="s">
        <v>2654</v>
      </c>
      <c r="F652" t="s">
        <v>3389</v>
      </c>
      <c r="G652" t="s">
        <v>4269</v>
      </c>
      <c r="J652" t="s">
        <v>228</v>
      </c>
      <c r="N652">
        <v>59252282</v>
      </c>
    </row>
    <row r="653" spans="1:14" x14ac:dyDescent="0.35">
      <c r="A653">
        <v>11651</v>
      </c>
      <c r="C653" s="2" t="s">
        <v>883</v>
      </c>
      <c r="D653" t="s">
        <v>1655</v>
      </c>
      <c r="E653" t="s">
        <v>2655</v>
      </c>
      <c r="F653" t="s">
        <v>3390</v>
      </c>
      <c r="G653" t="s">
        <v>4270</v>
      </c>
      <c r="J653" t="s">
        <v>228</v>
      </c>
      <c r="N653">
        <v>59252283</v>
      </c>
    </row>
    <row r="654" spans="1:14" x14ac:dyDescent="0.35">
      <c r="A654">
        <v>11652</v>
      </c>
      <c r="C654" s="2" t="s">
        <v>883</v>
      </c>
      <c r="D654" t="s">
        <v>1656</v>
      </c>
      <c r="E654" t="s">
        <v>2656</v>
      </c>
      <c r="F654" t="s">
        <v>3391</v>
      </c>
      <c r="G654" t="s">
        <v>4271</v>
      </c>
      <c r="J654" t="s">
        <v>228</v>
      </c>
      <c r="N654">
        <v>59252284</v>
      </c>
    </row>
    <row r="655" spans="1:14" x14ac:dyDescent="0.35">
      <c r="A655">
        <v>11653</v>
      </c>
      <c r="C655" s="2" t="s">
        <v>883</v>
      </c>
      <c r="D655" t="s">
        <v>1657</v>
      </c>
      <c r="E655" t="s">
        <v>2657</v>
      </c>
      <c r="F655" t="s">
        <v>3392</v>
      </c>
      <c r="G655" t="s">
        <v>4272</v>
      </c>
      <c r="J655" t="s">
        <v>228</v>
      </c>
      <c r="N655">
        <v>59252285</v>
      </c>
    </row>
    <row r="656" spans="1:14" x14ac:dyDescent="0.35">
      <c r="A656">
        <v>11654</v>
      </c>
      <c r="C656" s="2" t="s">
        <v>883</v>
      </c>
      <c r="D656" t="s">
        <v>1658</v>
      </c>
      <c r="E656" t="s">
        <v>2658</v>
      </c>
      <c r="F656" t="s">
        <v>3393</v>
      </c>
      <c r="G656" t="s">
        <v>4273</v>
      </c>
      <c r="J656" t="s">
        <v>228</v>
      </c>
      <c r="N656">
        <v>59252286</v>
      </c>
    </row>
    <row r="657" spans="1:14" x14ac:dyDescent="0.35">
      <c r="A657">
        <v>11655</v>
      </c>
      <c r="C657" s="2" t="s">
        <v>883</v>
      </c>
      <c r="D657" t="s">
        <v>1659</v>
      </c>
      <c r="E657" t="s">
        <v>2659</v>
      </c>
      <c r="F657" t="s">
        <v>3394</v>
      </c>
      <c r="G657" t="s">
        <v>4274</v>
      </c>
      <c r="J657" t="s">
        <v>228</v>
      </c>
      <c r="N657">
        <v>59252287</v>
      </c>
    </row>
    <row r="658" spans="1:14" x14ac:dyDescent="0.35">
      <c r="A658">
        <v>11656</v>
      </c>
      <c r="C658" s="2" t="s">
        <v>883</v>
      </c>
      <c r="D658" t="s">
        <v>1660</v>
      </c>
      <c r="E658" t="s">
        <v>2660</v>
      </c>
      <c r="F658" t="s">
        <v>3395</v>
      </c>
      <c r="G658" t="s">
        <v>4275</v>
      </c>
      <c r="J658" t="s">
        <v>228</v>
      </c>
      <c r="N658">
        <v>59252288</v>
      </c>
    </row>
    <row r="659" spans="1:14" x14ac:dyDescent="0.35">
      <c r="A659">
        <v>11657</v>
      </c>
      <c r="C659" s="2" t="s">
        <v>883</v>
      </c>
      <c r="D659" t="s">
        <v>1661</v>
      </c>
      <c r="E659" t="s">
        <v>2661</v>
      </c>
      <c r="F659" t="s">
        <v>3396</v>
      </c>
      <c r="G659" t="s">
        <v>4276</v>
      </c>
      <c r="J659" t="s">
        <v>228</v>
      </c>
      <c r="N659">
        <v>59252289</v>
      </c>
    </row>
    <row r="660" spans="1:14" x14ac:dyDescent="0.35">
      <c r="A660">
        <v>11658</v>
      </c>
      <c r="C660" s="2" t="s">
        <v>883</v>
      </c>
      <c r="D660" t="s">
        <v>1662</v>
      </c>
      <c r="E660" t="s">
        <v>2662</v>
      </c>
      <c r="F660" t="s">
        <v>3397</v>
      </c>
      <c r="G660" t="s">
        <v>4277</v>
      </c>
      <c r="J660" t="s">
        <v>228</v>
      </c>
      <c r="N660">
        <v>59252290</v>
      </c>
    </row>
    <row r="661" spans="1:14" x14ac:dyDescent="0.35">
      <c r="A661">
        <v>11659</v>
      </c>
      <c r="C661" s="2" t="s">
        <v>883</v>
      </c>
      <c r="D661" t="s">
        <v>1663</v>
      </c>
      <c r="E661" t="s">
        <v>2663</v>
      </c>
      <c r="F661" t="s">
        <v>3398</v>
      </c>
      <c r="G661" t="s">
        <v>4278</v>
      </c>
      <c r="J661" t="s">
        <v>228</v>
      </c>
      <c r="N661">
        <v>59252291</v>
      </c>
    </row>
    <row r="662" spans="1:14" x14ac:dyDescent="0.35">
      <c r="A662">
        <v>11660</v>
      </c>
      <c r="C662" s="2" t="s">
        <v>883</v>
      </c>
      <c r="D662" t="s">
        <v>1664</v>
      </c>
      <c r="E662" t="s">
        <v>2664</v>
      </c>
      <c r="F662" t="s">
        <v>3399</v>
      </c>
      <c r="G662" t="s">
        <v>4279</v>
      </c>
      <c r="J662" t="s">
        <v>228</v>
      </c>
      <c r="N662">
        <v>59252292</v>
      </c>
    </row>
    <row r="663" spans="1:14" x14ac:dyDescent="0.35">
      <c r="A663">
        <v>11661</v>
      </c>
      <c r="C663" s="2" t="s">
        <v>883</v>
      </c>
      <c r="D663" t="s">
        <v>1665</v>
      </c>
      <c r="E663" t="s">
        <v>2665</v>
      </c>
      <c r="F663" t="s">
        <v>3400</v>
      </c>
      <c r="G663" t="s">
        <v>4280</v>
      </c>
      <c r="J663" t="s">
        <v>228</v>
      </c>
      <c r="N663">
        <v>59252293</v>
      </c>
    </row>
    <row r="664" spans="1:14" x14ac:dyDescent="0.35">
      <c r="A664">
        <v>11662</v>
      </c>
      <c r="C664" s="2" t="s">
        <v>883</v>
      </c>
      <c r="D664" t="s">
        <v>1666</v>
      </c>
      <c r="E664" t="s">
        <v>2666</v>
      </c>
      <c r="F664" t="s">
        <v>3401</v>
      </c>
      <c r="G664" t="s">
        <v>4281</v>
      </c>
      <c r="J664" t="s">
        <v>228</v>
      </c>
      <c r="N664">
        <v>59252294</v>
      </c>
    </row>
    <row r="665" spans="1:14" x14ac:dyDescent="0.35">
      <c r="A665">
        <v>11663</v>
      </c>
      <c r="C665" s="2" t="s">
        <v>883</v>
      </c>
      <c r="D665" t="s">
        <v>1667</v>
      </c>
      <c r="E665" t="s">
        <v>2667</v>
      </c>
      <c r="F665" t="s">
        <v>3402</v>
      </c>
      <c r="G665" t="s">
        <v>4282</v>
      </c>
      <c r="J665" t="s">
        <v>228</v>
      </c>
      <c r="N665">
        <v>59252295</v>
      </c>
    </row>
    <row r="666" spans="1:14" x14ac:dyDescent="0.35">
      <c r="A666">
        <v>11664</v>
      </c>
      <c r="C666" s="2" t="s">
        <v>883</v>
      </c>
      <c r="D666" t="s">
        <v>1668</v>
      </c>
      <c r="E666" t="s">
        <v>2668</v>
      </c>
      <c r="F666" t="s">
        <v>3403</v>
      </c>
      <c r="G666" t="s">
        <v>4283</v>
      </c>
      <c r="J666" t="s">
        <v>228</v>
      </c>
      <c r="N666">
        <v>59252296</v>
      </c>
    </row>
    <row r="667" spans="1:14" x14ac:dyDescent="0.35">
      <c r="A667">
        <v>11665</v>
      </c>
      <c r="C667" s="2" t="s">
        <v>883</v>
      </c>
      <c r="D667" t="s">
        <v>1669</v>
      </c>
      <c r="E667" t="s">
        <v>2669</v>
      </c>
      <c r="F667" t="s">
        <v>3404</v>
      </c>
      <c r="G667" t="s">
        <v>4284</v>
      </c>
      <c r="J667" t="s">
        <v>228</v>
      </c>
      <c r="N667">
        <v>59252297</v>
      </c>
    </row>
    <row r="668" spans="1:14" x14ac:dyDescent="0.35">
      <c r="A668">
        <v>11666</v>
      </c>
      <c r="C668" s="2" t="s">
        <v>883</v>
      </c>
      <c r="D668" t="s">
        <v>1670</v>
      </c>
      <c r="E668" t="s">
        <v>2670</v>
      </c>
      <c r="F668" t="s">
        <v>3405</v>
      </c>
      <c r="G668" t="s">
        <v>4285</v>
      </c>
      <c r="J668" t="s">
        <v>228</v>
      </c>
      <c r="N668">
        <v>59252298</v>
      </c>
    </row>
    <row r="669" spans="1:14" x14ac:dyDescent="0.35">
      <c r="A669">
        <v>11667</v>
      </c>
      <c r="C669" s="2" t="s">
        <v>883</v>
      </c>
      <c r="D669" t="s">
        <v>1671</v>
      </c>
      <c r="E669" t="s">
        <v>2671</v>
      </c>
      <c r="F669" t="s">
        <v>3406</v>
      </c>
      <c r="G669" t="s">
        <v>4286</v>
      </c>
      <c r="J669" t="s">
        <v>228</v>
      </c>
      <c r="N669">
        <v>59252299</v>
      </c>
    </row>
    <row r="670" spans="1:14" x14ac:dyDescent="0.35">
      <c r="A670">
        <v>11668</v>
      </c>
      <c r="C670" s="2" t="s">
        <v>883</v>
      </c>
      <c r="D670" t="s">
        <v>1672</v>
      </c>
      <c r="E670" t="s">
        <v>2672</v>
      </c>
      <c r="F670" t="s">
        <v>3407</v>
      </c>
      <c r="G670" t="s">
        <v>4287</v>
      </c>
      <c r="J670" t="s">
        <v>228</v>
      </c>
      <c r="N670">
        <v>59252300</v>
      </c>
    </row>
    <row r="671" spans="1:14" x14ac:dyDescent="0.35">
      <c r="A671">
        <v>11669</v>
      </c>
      <c r="C671" s="2" t="s">
        <v>883</v>
      </c>
      <c r="D671" t="s">
        <v>1673</v>
      </c>
      <c r="E671" t="s">
        <v>2673</v>
      </c>
      <c r="F671" t="s">
        <v>3408</v>
      </c>
      <c r="G671" t="s">
        <v>4288</v>
      </c>
      <c r="J671" t="s">
        <v>228</v>
      </c>
      <c r="N671">
        <v>59252301</v>
      </c>
    </row>
    <row r="672" spans="1:14" x14ac:dyDescent="0.35">
      <c r="A672">
        <v>11670</v>
      </c>
      <c r="C672" s="2" t="s">
        <v>883</v>
      </c>
      <c r="D672" t="s">
        <v>1674</v>
      </c>
      <c r="E672" t="s">
        <v>2674</v>
      </c>
      <c r="F672" t="s">
        <v>3409</v>
      </c>
      <c r="G672" t="s">
        <v>4289</v>
      </c>
      <c r="J672" t="s">
        <v>228</v>
      </c>
      <c r="N672">
        <v>59252302</v>
      </c>
    </row>
    <row r="673" spans="1:14" x14ac:dyDescent="0.35">
      <c r="A673">
        <v>11671</v>
      </c>
      <c r="C673" s="2" t="s">
        <v>883</v>
      </c>
      <c r="D673" t="s">
        <v>1675</v>
      </c>
      <c r="E673" t="s">
        <v>2675</v>
      </c>
      <c r="F673" t="s">
        <v>3410</v>
      </c>
      <c r="G673" t="s">
        <v>4290</v>
      </c>
      <c r="J673" t="s">
        <v>228</v>
      </c>
      <c r="N673">
        <v>59252303</v>
      </c>
    </row>
    <row r="674" spans="1:14" x14ac:dyDescent="0.35">
      <c r="A674">
        <v>11672</v>
      </c>
      <c r="C674" s="2" t="s">
        <v>883</v>
      </c>
      <c r="D674" t="s">
        <v>1676</v>
      </c>
      <c r="E674" t="s">
        <v>2676</v>
      </c>
      <c r="F674" t="s">
        <v>3411</v>
      </c>
      <c r="G674" t="s">
        <v>4291</v>
      </c>
      <c r="J674" t="s">
        <v>228</v>
      </c>
      <c r="N674">
        <v>59252304</v>
      </c>
    </row>
    <row r="675" spans="1:14" x14ac:dyDescent="0.35">
      <c r="A675">
        <v>11673</v>
      </c>
      <c r="C675" s="2" t="s">
        <v>883</v>
      </c>
      <c r="D675" t="s">
        <v>1677</v>
      </c>
      <c r="E675" t="s">
        <v>2677</v>
      </c>
      <c r="F675" t="s">
        <v>3412</v>
      </c>
      <c r="G675" t="s">
        <v>4292</v>
      </c>
      <c r="J675" t="s">
        <v>228</v>
      </c>
      <c r="N675">
        <v>59252305</v>
      </c>
    </row>
    <row r="676" spans="1:14" x14ac:dyDescent="0.35">
      <c r="A676">
        <v>11674</v>
      </c>
      <c r="C676" s="2" t="s">
        <v>883</v>
      </c>
      <c r="D676" t="s">
        <v>1678</v>
      </c>
      <c r="E676" t="s">
        <v>2678</v>
      </c>
      <c r="F676" t="s">
        <v>3413</v>
      </c>
      <c r="G676" t="s">
        <v>4293</v>
      </c>
      <c r="J676" t="s">
        <v>228</v>
      </c>
      <c r="N676">
        <v>59252306</v>
      </c>
    </row>
    <row r="677" spans="1:14" x14ac:dyDescent="0.35">
      <c r="A677">
        <v>11675</v>
      </c>
      <c r="C677" s="2" t="s">
        <v>883</v>
      </c>
      <c r="D677" t="s">
        <v>1679</v>
      </c>
      <c r="E677" t="s">
        <v>2679</v>
      </c>
      <c r="F677" t="s">
        <v>3414</v>
      </c>
      <c r="G677" t="s">
        <v>4294</v>
      </c>
      <c r="J677" t="s">
        <v>228</v>
      </c>
      <c r="N677">
        <v>59252307</v>
      </c>
    </row>
    <row r="678" spans="1:14" x14ac:dyDescent="0.35">
      <c r="A678">
        <v>11676</v>
      </c>
      <c r="C678" s="2" t="s">
        <v>883</v>
      </c>
      <c r="D678" t="s">
        <v>1680</v>
      </c>
      <c r="E678" t="s">
        <v>2680</v>
      </c>
      <c r="F678" t="s">
        <v>3415</v>
      </c>
      <c r="G678" t="s">
        <v>4295</v>
      </c>
      <c r="J678" t="s">
        <v>228</v>
      </c>
      <c r="N678">
        <v>59252308</v>
      </c>
    </row>
    <row r="679" spans="1:14" x14ac:dyDescent="0.35">
      <c r="A679">
        <v>11677</v>
      </c>
      <c r="C679" s="2" t="s">
        <v>883</v>
      </c>
      <c r="D679" t="s">
        <v>1681</v>
      </c>
      <c r="E679" t="s">
        <v>2681</v>
      </c>
      <c r="F679" t="s">
        <v>3416</v>
      </c>
      <c r="G679" t="s">
        <v>4296</v>
      </c>
      <c r="J679" t="s">
        <v>228</v>
      </c>
      <c r="N679">
        <v>59252309</v>
      </c>
    </row>
    <row r="680" spans="1:14" x14ac:dyDescent="0.35">
      <c r="A680">
        <v>11678</v>
      </c>
      <c r="C680" s="2" t="s">
        <v>883</v>
      </c>
      <c r="D680" t="s">
        <v>1682</v>
      </c>
      <c r="E680" t="s">
        <v>2682</v>
      </c>
      <c r="F680" t="s">
        <v>3417</v>
      </c>
      <c r="G680" t="s">
        <v>4297</v>
      </c>
      <c r="J680" t="s">
        <v>228</v>
      </c>
      <c r="N680">
        <v>59252310</v>
      </c>
    </row>
    <row r="681" spans="1:14" x14ac:dyDescent="0.35">
      <c r="A681">
        <v>11679</v>
      </c>
      <c r="C681" s="2" t="s">
        <v>883</v>
      </c>
      <c r="D681" t="s">
        <v>1683</v>
      </c>
      <c r="E681" t="s">
        <v>2683</v>
      </c>
      <c r="F681" t="s">
        <v>3373</v>
      </c>
      <c r="G681" t="s">
        <v>4298</v>
      </c>
      <c r="J681" t="s">
        <v>228</v>
      </c>
      <c r="N681">
        <v>59252311</v>
      </c>
    </row>
    <row r="682" spans="1:14" x14ac:dyDescent="0.35">
      <c r="A682">
        <v>11680</v>
      </c>
      <c r="C682" s="2" t="s">
        <v>883</v>
      </c>
      <c r="D682" t="s">
        <v>1684</v>
      </c>
      <c r="E682" t="s">
        <v>2684</v>
      </c>
      <c r="F682" t="s">
        <v>3418</v>
      </c>
      <c r="G682" t="s">
        <v>4299</v>
      </c>
      <c r="J682" t="s">
        <v>228</v>
      </c>
      <c r="N682">
        <v>59252312</v>
      </c>
    </row>
    <row r="683" spans="1:14" x14ac:dyDescent="0.35">
      <c r="A683">
        <v>11681</v>
      </c>
      <c r="C683" s="2" t="s">
        <v>883</v>
      </c>
      <c r="D683" t="s">
        <v>1685</v>
      </c>
      <c r="E683" t="s">
        <v>2685</v>
      </c>
      <c r="F683" t="s">
        <v>3419</v>
      </c>
      <c r="G683" t="s">
        <v>4300</v>
      </c>
      <c r="J683" t="s">
        <v>228</v>
      </c>
      <c r="N683">
        <v>59252313</v>
      </c>
    </row>
    <row r="684" spans="1:14" x14ac:dyDescent="0.35">
      <c r="A684">
        <v>11682</v>
      </c>
      <c r="C684" s="2" t="s">
        <v>883</v>
      </c>
      <c r="D684" t="s">
        <v>1686</v>
      </c>
      <c r="E684" t="s">
        <v>2686</v>
      </c>
      <c r="F684" t="s">
        <v>3211</v>
      </c>
      <c r="G684" t="s">
        <v>4301</v>
      </c>
      <c r="J684" t="s">
        <v>228</v>
      </c>
      <c r="N684">
        <v>59252314</v>
      </c>
    </row>
    <row r="685" spans="1:14" x14ac:dyDescent="0.35">
      <c r="A685">
        <v>11683</v>
      </c>
      <c r="C685" s="2" t="s">
        <v>883</v>
      </c>
      <c r="D685" t="s">
        <v>1687</v>
      </c>
      <c r="E685" t="s">
        <v>2687</v>
      </c>
      <c r="F685" t="s">
        <v>3420</v>
      </c>
      <c r="G685" t="s">
        <v>4302</v>
      </c>
      <c r="J685" t="s">
        <v>228</v>
      </c>
      <c r="N685">
        <v>59252315</v>
      </c>
    </row>
    <row r="686" spans="1:14" x14ac:dyDescent="0.35">
      <c r="A686">
        <v>11684</v>
      </c>
      <c r="C686" s="2" t="s">
        <v>883</v>
      </c>
      <c r="D686" t="s">
        <v>1688</v>
      </c>
      <c r="E686" t="s">
        <v>2688</v>
      </c>
      <c r="F686" t="s">
        <v>3421</v>
      </c>
      <c r="G686" t="s">
        <v>4303</v>
      </c>
      <c r="J686" t="s">
        <v>228</v>
      </c>
      <c r="N686">
        <v>59252316</v>
      </c>
    </row>
    <row r="687" spans="1:14" x14ac:dyDescent="0.35">
      <c r="A687">
        <v>11685</v>
      </c>
      <c r="C687" s="2" t="s">
        <v>883</v>
      </c>
      <c r="D687" t="s">
        <v>1689</v>
      </c>
      <c r="E687" t="s">
        <v>2689</v>
      </c>
      <c r="F687" t="s">
        <v>3422</v>
      </c>
      <c r="G687" t="s">
        <v>4304</v>
      </c>
      <c r="J687" t="s">
        <v>228</v>
      </c>
      <c r="N687">
        <v>59252317</v>
      </c>
    </row>
    <row r="688" spans="1:14" x14ac:dyDescent="0.35">
      <c r="A688">
        <v>11686</v>
      </c>
      <c r="C688" s="2" t="s">
        <v>883</v>
      </c>
      <c r="D688" t="s">
        <v>1690</v>
      </c>
      <c r="E688" t="s">
        <v>2690</v>
      </c>
      <c r="F688" t="s">
        <v>3423</v>
      </c>
      <c r="G688" t="s">
        <v>4305</v>
      </c>
      <c r="J688" t="s">
        <v>228</v>
      </c>
      <c r="N688">
        <v>59252318</v>
      </c>
    </row>
    <row r="689" spans="1:14" x14ac:dyDescent="0.35">
      <c r="A689">
        <v>11687</v>
      </c>
      <c r="C689" s="2" t="s">
        <v>883</v>
      </c>
      <c r="D689" t="s">
        <v>1691</v>
      </c>
      <c r="E689" t="s">
        <v>2691</v>
      </c>
      <c r="F689" t="s">
        <v>3424</v>
      </c>
      <c r="G689" t="s">
        <v>4306</v>
      </c>
      <c r="J689" t="s">
        <v>228</v>
      </c>
      <c r="N689">
        <v>59252319</v>
      </c>
    </row>
    <row r="690" spans="1:14" x14ac:dyDescent="0.35">
      <c r="A690">
        <v>11688</v>
      </c>
      <c r="C690" s="2" t="s">
        <v>883</v>
      </c>
      <c r="D690" t="s">
        <v>1692</v>
      </c>
      <c r="E690" t="s">
        <v>2692</v>
      </c>
      <c r="F690" t="s">
        <v>3128</v>
      </c>
      <c r="G690" t="s">
        <v>4307</v>
      </c>
      <c r="J690" t="s">
        <v>228</v>
      </c>
      <c r="N690">
        <v>59252320</v>
      </c>
    </row>
    <row r="691" spans="1:14" x14ac:dyDescent="0.35">
      <c r="A691">
        <v>11689</v>
      </c>
      <c r="C691" s="2" t="s">
        <v>883</v>
      </c>
      <c r="D691" t="s">
        <v>1693</v>
      </c>
      <c r="E691" t="s">
        <v>2693</v>
      </c>
      <c r="F691" t="s">
        <v>3425</v>
      </c>
      <c r="G691" t="s">
        <v>4308</v>
      </c>
      <c r="J691" t="s">
        <v>228</v>
      </c>
      <c r="N691">
        <v>59252321</v>
      </c>
    </row>
    <row r="692" spans="1:14" x14ac:dyDescent="0.35">
      <c r="A692">
        <v>11690</v>
      </c>
      <c r="C692" s="2" t="s">
        <v>883</v>
      </c>
      <c r="D692" t="s">
        <v>1694</v>
      </c>
      <c r="E692" t="s">
        <v>2694</v>
      </c>
      <c r="F692" t="s">
        <v>3426</v>
      </c>
      <c r="G692" t="s">
        <v>4309</v>
      </c>
      <c r="J692" t="s">
        <v>228</v>
      </c>
      <c r="N692">
        <v>59252322</v>
      </c>
    </row>
    <row r="693" spans="1:14" x14ac:dyDescent="0.35">
      <c r="A693">
        <v>11691</v>
      </c>
      <c r="C693" s="2" t="s">
        <v>883</v>
      </c>
      <c r="D693" t="s">
        <v>1695</v>
      </c>
      <c r="E693" t="s">
        <v>2695</v>
      </c>
      <c r="F693" t="s">
        <v>3427</v>
      </c>
      <c r="G693" t="s">
        <v>4310</v>
      </c>
      <c r="J693" t="s">
        <v>228</v>
      </c>
      <c r="N693">
        <v>59252323</v>
      </c>
    </row>
    <row r="694" spans="1:14" x14ac:dyDescent="0.35">
      <c r="A694">
        <v>11692</v>
      </c>
      <c r="C694" s="2" t="s">
        <v>883</v>
      </c>
      <c r="D694" t="s">
        <v>1696</v>
      </c>
      <c r="E694" t="s">
        <v>2696</v>
      </c>
      <c r="F694" t="s">
        <v>3428</v>
      </c>
      <c r="G694" t="s">
        <v>4311</v>
      </c>
      <c r="J694" t="s">
        <v>228</v>
      </c>
      <c r="N694">
        <v>59252324</v>
      </c>
    </row>
    <row r="695" spans="1:14" x14ac:dyDescent="0.35">
      <c r="A695">
        <v>11693</v>
      </c>
      <c r="C695" s="2" t="s">
        <v>883</v>
      </c>
      <c r="D695" t="s">
        <v>1697</v>
      </c>
      <c r="E695" t="s">
        <v>2697</v>
      </c>
      <c r="F695" t="s">
        <v>3429</v>
      </c>
      <c r="G695" t="s">
        <v>4312</v>
      </c>
      <c r="J695" t="s">
        <v>228</v>
      </c>
      <c r="N695">
        <v>59252325</v>
      </c>
    </row>
    <row r="696" spans="1:14" x14ac:dyDescent="0.35">
      <c r="A696">
        <v>11694</v>
      </c>
      <c r="C696" s="2" t="s">
        <v>883</v>
      </c>
      <c r="D696" t="s">
        <v>1698</v>
      </c>
      <c r="E696" t="s">
        <v>2698</v>
      </c>
      <c r="F696" t="s">
        <v>3430</v>
      </c>
      <c r="G696" t="s">
        <v>4313</v>
      </c>
      <c r="J696" t="s">
        <v>228</v>
      </c>
      <c r="N696">
        <v>59252326</v>
      </c>
    </row>
    <row r="697" spans="1:14" x14ac:dyDescent="0.35">
      <c r="A697">
        <v>11695</v>
      </c>
      <c r="C697" s="2" t="s">
        <v>883</v>
      </c>
      <c r="D697" t="s">
        <v>1699</v>
      </c>
      <c r="E697" t="s">
        <v>2699</v>
      </c>
      <c r="F697" t="s">
        <v>3431</v>
      </c>
      <c r="G697" t="s">
        <v>4314</v>
      </c>
      <c r="J697" t="s">
        <v>228</v>
      </c>
      <c r="N697">
        <v>59252327</v>
      </c>
    </row>
    <row r="698" spans="1:14" x14ac:dyDescent="0.35">
      <c r="A698">
        <v>11696</v>
      </c>
      <c r="C698" s="2" t="s">
        <v>883</v>
      </c>
      <c r="D698" t="s">
        <v>1700</v>
      </c>
      <c r="E698" t="s">
        <v>2700</v>
      </c>
      <c r="F698" t="s">
        <v>3432</v>
      </c>
      <c r="G698" t="s">
        <v>4315</v>
      </c>
      <c r="J698" t="s">
        <v>228</v>
      </c>
      <c r="N698">
        <v>59252328</v>
      </c>
    </row>
    <row r="699" spans="1:14" x14ac:dyDescent="0.35">
      <c r="A699">
        <v>11697</v>
      </c>
      <c r="C699" s="2" t="s">
        <v>883</v>
      </c>
      <c r="D699" t="s">
        <v>1701</v>
      </c>
      <c r="E699" t="s">
        <v>2701</v>
      </c>
      <c r="F699" t="s">
        <v>3433</v>
      </c>
      <c r="G699" t="s">
        <v>4316</v>
      </c>
      <c r="J699" t="s">
        <v>228</v>
      </c>
      <c r="N699">
        <v>59252329</v>
      </c>
    </row>
    <row r="700" spans="1:14" x14ac:dyDescent="0.35">
      <c r="A700">
        <v>11698</v>
      </c>
      <c r="C700" s="2" t="s">
        <v>883</v>
      </c>
      <c r="D700" t="s">
        <v>1702</v>
      </c>
      <c r="E700" t="s">
        <v>2702</v>
      </c>
      <c r="F700" t="s">
        <v>3434</v>
      </c>
      <c r="G700" t="s">
        <v>4317</v>
      </c>
      <c r="J700" t="s">
        <v>228</v>
      </c>
      <c r="N700">
        <v>59252330</v>
      </c>
    </row>
    <row r="701" spans="1:14" x14ac:dyDescent="0.35">
      <c r="A701">
        <v>11699</v>
      </c>
      <c r="C701" s="2" t="s">
        <v>883</v>
      </c>
      <c r="D701" t="s">
        <v>1703</v>
      </c>
      <c r="E701" t="s">
        <v>2703</v>
      </c>
      <c r="F701" t="s">
        <v>3435</v>
      </c>
      <c r="G701" t="s">
        <v>4318</v>
      </c>
      <c r="J701" t="s">
        <v>228</v>
      </c>
      <c r="N701">
        <v>59252331</v>
      </c>
    </row>
    <row r="702" spans="1:14" x14ac:dyDescent="0.35">
      <c r="A702">
        <v>11700</v>
      </c>
      <c r="C702" s="2" t="s">
        <v>883</v>
      </c>
      <c r="D702" t="s">
        <v>1704</v>
      </c>
      <c r="E702" t="s">
        <v>2704</v>
      </c>
      <c r="F702" t="s">
        <v>3436</v>
      </c>
      <c r="G702" t="s">
        <v>4319</v>
      </c>
      <c r="J702" t="s">
        <v>228</v>
      </c>
      <c r="N702">
        <v>59252332</v>
      </c>
    </row>
    <row r="703" spans="1:14" x14ac:dyDescent="0.35">
      <c r="A703">
        <v>11701</v>
      </c>
      <c r="C703" s="2" t="s">
        <v>883</v>
      </c>
      <c r="D703" t="s">
        <v>1705</v>
      </c>
      <c r="E703" t="s">
        <v>2705</v>
      </c>
      <c r="F703" t="s">
        <v>3437</v>
      </c>
      <c r="G703" t="s">
        <v>4320</v>
      </c>
      <c r="J703" t="s">
        <v>228</v>
      </c>
      <c r="N703">
        <v>59252333</v>
      </c>
    </row>
    <row r="704" spans="1:14" x14ac:dyDescent="0.35">
      <c r="A704">
        <v>11702</v>
      </c>
      <c r="C704" s="2" t="s">
        <v>883</v>
      </c>
      <c r="D704" t="s">
        <v>1706</v>
      </c>
      <c r="E704" t="s">
        <v>2706</v>
      </c>
      <c r="F704" t="s">
        <v>3438</v>
      </c>
      <c r="G704" t="s">
        <v>4321</v>
      </c>
      <c r="J704" t="s">
        <v>228</v>
      </c>
      <c r="N704">
        <v>59252334</v>
      </c>
    </row>
    <row r="705" spans="1:14" x14ac:dyDescent="0.35">
      <c r="A705">
        <v>11703</v>
      </c>
      <c r="C705" s="2" t="s">
        <v>883</v>
      </c>
      <c r="D705" t="s">
        <v>1707</v>
      </c>
      <c r="E705" t="s">
        <v>2707</v>
      </c>
      <c r="F705" t="s">
        <v>3439</v>
      </c>
      <c r="G705" t="s">
        <v>4322</v>
      </c>
      <c r="J705" t="s">
        <v>228</v>
      </c>
      <c r="N705">
        <v>59252335</v>
      </c>
    </row>
    <row r="706" spans="1:14" x14ac:dyDescent="0.35">
      <c r="A706">
        <v>11704</v>
      </c>
      <c r="C706" s="2" t="s">
        <v>883</v>
      </c>
      <c r="D706" t="s">
        <v>1708</v>
      </c>
      <c r="E706" t="s">
        <v>2708</v>
      </c>
      <c r="F706" t="s">
        <v>3440</v>
      </c>
      <c r="G706" t="s">
        <v>4323</v>
      </c>
      <c r="J706" t="s">
        <v>228</v>
      </c>
      <c r="N706">
        <v>59252336</v>
      </c>
    </row>
    <row r="707" spans="1:14" x14ac:dyDescent="0.35">
      <c r="A707">
        <v>11705</v>
      </c>
      <c r="C707" s="2" t="s">
        <v>883</v>
      </c>
      <c r="D707" t="s">
        <v>1709</v>
      </c>
      <c r="E707" t="s">
        <v>2709</v>
      </c>
      <c r="F707" t="s">
        <v>3441</v>
      </c>
      <c r="G707" t="s">
        <v>4324</v>
      </c>
      <c r="J707" t="s">
        <v>228</v>
      </c>
      <c r="N707">
        <v>59252337</v>
      </c>
    </row>
    <row r="708" spans="1:14" x14ac:dyDescent="0.35">
      <c r="A708">
        <v>11706</v>
      </c>
      <c r="C708" s="2" t="s">
        <v>883</v>
      </c>
      <c r="D708" t="s">
        <v>1710</v>
      </c>
      <c r="E708" t="s">
        <v>2710</v>
      </c>
      <c r="F708" t="s">
        <v>3442</v>
      </c>
      <c r="G708" t="s">
        <v>4325</v>
      </c>
      <c r="J708" t="s">
        <v>228</v>
      </c>
      <c r="N708">
        <v>59252338</v>
      </c>
    </row>
    <row r="709" spans="1:14" x14ac:dyDescent="0.35">
      <c r="A709">
        <v>11707</v>
      </c>
      <c r="C709" s="2" t="s">
        <v>883</v>
      </c>
      <c r="D709" t="s">
        <v>1711</v>
      </c>
      <c r="E709" t="s">
        <v>2711</v>
      </c>
      <c r="F709" t="s">
        <v>3443</v>
      </c>
      <c r="G709" t="s">
        <v>4326</v>
      </c>
      <c r="J709" t="s">
        <v>228</v>
      </c>
      <c r="N709">
        <v>59252339</v>
      </c>
    </row>
    <row r="710" spans="1:14" x14ac:dyDescent="0.35">
      <c r="A710">
        <v>11708</v>
      </c>
      <c r="C710" s="2" t="s">
        <v>883</v>
      </c>
      <c r="D710" t="s">
        <v>1712</v>
      </c>
      <c r="E710" t="s">
        <v>2712</v>
      </c>
      <c r="F710" t="s">
        <v>3444</v>
      </c>
      <c r="G710" t="s">
        <v>4327</v>
      </c>
      <c r="J710" t="s">
        <v>228</v>
      </c>
      <c r="N710">
        <v>59252340</v>
      </c>
    </row>
    <row r="711" spans="1:14" x14ac:dyDescent="0.35">
      <c r="A711">
        <v>11709</v>
      </c>
      <c r="C711" s="2" t="s">
        <v>883</v>
      </c>
      <c r="D711" t="s">
        <v>1713</v>
      </c>
      <c r="E711" t="s">
        <v>2713</v>
      </c>
      <c r="F711" t="s">
        <v>3445</v>
      </c>
      <c r="G711" t="s">
        <v>4328</v>
      </c>
      <c r="J711" t="s">
        <v>228</v>
      </c>
      <c r="N711">
        <v>59252341</v>
      </c>
    </row>
    <row r="712" spans="1:14" x14ac:dyDescent="0.35">
      <c r="A712">
        <v>11710</v>
      </c>
      <c r="C712" s="2" t="s">
        <v>883</v>
      </c>
      <c r="D712" t="s">
        <v>1714</v>
      </c>
      <c r="E712" t="s">
        <v>2714</v>
      </c>
      <c r="F712" t="s">
        <v>3446</v>
      </c>
      <c r="G712" t="s">
        <v>4329</v>
      </c>
      <c r="J712" t="s">
        <v>228</v>
      </c>
      <c r="N712">
        <v>59252342</v>
      </c>
    </row>
    <row r="713" spans="1:14" x14ac:dyDescent="0.35">
      <c r="A713">
        <v>11711</v>
      </c>
      <c r="C713" s="2" t="s">
        <v>883</v>
      </c>
      <c r="D713" t="s">
        <v>1715</v>
      </c>
      <c r="E713" t="s">
        <v>2715</v>
      </c>
      <c r="F713" t="s">
        <v>3447</v>
      </c>
      <c r="G713" t="s">
        <v>4330</v>
      </c>
      <c r="J713" t="s">
        <v>228</v>
      </c>
      <c r="N713">
        <v>59252343</v>
      </c>
    </row>
    <row r="714" spans="1:14" x14ac:dyDescent="0.35">
      <c r="A714">
        <v>11712</v>
      </c>
      <c r="C714" s="2" t="s">
        <v>883</v>
      </c>
      <c r="D714" t="s">
        <v>1716</v>
      </c>
      <c r="E714" t="s">
        <v>2716</v>
      </c>
      <c r="F714" t="s">
        <v>3448</v>
      </c>
      <c r="G714" t="s">
        <v>4331</v>
      </c>
      <c r="J714" t="s">
        <v>228</v>
      </c>
      <c r="N714">
        <v>59252344</v>
      </c>
    </row>
    <row r="715" spans="1:14" x14ac:dyDescent="0.35">
      <c r="A715">
        <v>11713</v>
      </c>
      <c r="C715" s="2" t="s">
        <v>883</v>
      </c>
      <c r="D715" t="s">
        <v>1717</v>
      </c>
      <c r="E715" t="s">
        <v>2717</v>
      </c>
      <c r="F715" t="s">
        <v>3449</v>
      </c>
      <c r="G715" t="s">
        <v>4332</v>
      </c>
      <c r="J715" t="s">
        <v>228</v>
      </c>
      <c r="N715">
        <v>59252345</v>
      </c>
    </row>
    <row r="716" spans="1:14" x14ac:dyDescent="0.35">
      <c r="A716">
        <v>11714</v>
      </c>
      <c r="C716" s="2" t="s">
        <v>883</v>
      </c>
      <c r="D716" t="s">
        <v>1718</v>
      </c>
      <c r="E716" t="s">
        <v>2718</v>
      </c>
      <c r="F716" t="s">
        <v>3450</v>
      </c>
      <c r="G716" t="s">
        <v>4333</v>
      </c>
      <c r="J716" t="s">
        <v>228</v>
      </c>
      <c r="N716">
        <v>59252346</v>
      </c>
    </row>
    <row r="717" spans="1:14" x14ac:dyDescent="0.35">
      <c r="A717">
        <v>11715</v>
      </c>
      <c r="C717" s="2" t="s">
        <v>883</v>
      </c>
      <c r="D717" t="s">
        <v>1719</v>
      </c>
      <c r="E717" t="s">
        <v>2719</v>
      </c>
      <c r="F717" t="s">
        <v>3451</v>
      </c>
      <c r="G717" t="s">
        <v>4334</v>
      </c>
      <c r="J717" t="s">
        <v>228</v>
      </c>
      <c r="N717">
        <v>59252347</v>
      </c>
    </row>
    <row r="718" spans="1:14" x14ac:dyDescent="0.35">
      <c r="A718">
        <v>11716</v>
      </c>
      <c r="C718" s="2" t="s">
        <v>883</v>
      </c>
      <c r="D718" t="s">
        <v>1720</v>
      </c>
      <c r="E718" t="s">
        <v>2720</v>
      </c>
      <c r="F718" t="s">
        <v>3452</v>
      </c>
      <c r="G718" t="s">
        <v>4335</v>
      </c>
      <c r="J718" t="s">
        <v>228</v>
      </c>
      <c r="N718">
        <v>59252348</v>
      </c>
    </row>
    <row r="719" spans="1:14" x14ac:dyDescent="0.35">
      <c r="A719">
        <v>11717</v>
      </c>
      <c r="C719" s="2" t="s">
        <v>883</v>
      </c>
      <c r="D719" t="s">
        <v>1721</v>
      </c>
      <c r="E719" t="s">
        <v>2721</v>
      </c>
      <c r="F719" t="s">
        <v>3453</v>
      </c>
      <c r="G719" t="s">
        <v>4336</v>
      </c>
      <c r="J719" t="s">
        <v>228</v>
      </c>
      <c r="N719">
        <v>59252349</v>
      </c>
    </row>
    <row r="720" spans="1:14" x14ac:dyDescent="0.35">
      <c r="A720">
        <v>11718</v>
      </c>
      <c r="C720" s="2" t="s">
        <v>883</v>
      </c>
      <c r="D720" t="s">
        <v>1722</v>
      </c>
      <c r="E720" t="s">
        <v>2722</v>
      </c>
      <c r="F720" t="s">
        <v>3454</v>
      </c>
      <c r="G720" t="s">
        <v>4337</v>
      </c>
      <c r="J720" t="s">
        <v>228</v>
      </c>
      <c r="N720">
        <v>59252350</v>
      </c>
    </row>
    <row r="721" spans="1:14" x14ac:dyDescent="0.35">
      <c r="A721">
        <v>11719</v>
      </c>
      <c r="C721" s="2" t="s">
        <v>883</v>
      </c>
      <c r="D721" t="s">
        <v>1723</v>
      </c>
      <c r="E721" t="s">
        <v>2723</v>
      </c>
      <c r="F721" t="s">
        <v>3455</v>
      </c>
      <c r="G721" t="s">
        <v>4338</v>
      </c>
      <c r="J721" t="s">
        <v>228</v>
      </c>
      <c r="N721">
        <v>59252351</v>
      </c>
    </row>
    <row r="722" spans="1:14" x14ac:dyDescent="0.35">
      <c r="A722">
        <v>11720</v>
      </c>
      <c r="C722" s="2" t="s">
        <v>883</v>
      </c>
      <c r="D722" t="s">
        <v>1724</v>
      </c>
      <c r="E722" t="s">
        <v>2724</v>
      </c>
      <c r="F722" t="s">
        <v>3456</v>
      </c>
      <c r="G722" t="s">
        <v>4339</v>
      </c>
      <c r="J722" t="s">
        <v>228</v>
      </c>
      <c r="N722">
        <v>59252352</v>
      </c>
    </row>
    <row r="723" spans="1:14" x14ac:dyDescent="0.35">
      <c r="A723">
        <v>11721</v>
      </c>
      <c r="C723" s="2" t="s">
        <v>883</v>
      </c>
      <c r="D723" t="s">
        <v>1725</v>
      </c>
      <c r="E723" t="s">
        <v>2725</v>
      </c>
      <c r="F723" t="s">
        <v>3457</v>
      </c>
      <c r="G723" t="s">
        <v>4340</v>
      </c>
      <c r="J723" t="s">
        <v>228</v>
      </c>
      <c r="N723">
        <v>59252353</v>
      </c>
    </row>
    <row r="724" spans="1:14" x14ac:dyDescent="0.35">
      <c r="A724">
        <v>11722</v>
      </c>
      <c r="C724" s="2" t="s">
        <v>883</v>
      </c>
      <c r="D724" t="s">
        <v>1726</v>
      </c>
      <c r="E724" t="s">
        <v>2726</v>
      </c>
      <c r="F724" t="s">
        <v>3458</v>
      </c>
      <c r="G724" t="s">
        <v>4198</v>
      </c>
      <c r="J724" t="s">
        <v>228</v>
      </c>
      <c r="N724">
        <v>59252354</v>
      </c>
    </row>
    <row r="725" spans="1:14" x14ac:dyDescent="0.35">
      <c r="A725">
        <v>11723</v>
      </c>
      <c r="C725" s="2" t="s">
        <v>883</v>
      </c>
      <c r="D725" t="s">
        <v>1727</v>
      </c>
      <c r="E725" t="s">
        <v>2727</v>
      </c>
      <c r="F725" t="s">
        <v>3459</v>
      </c>
      <c r="G725" t="s">
        <v>4341</v>
      </c>
      <c r="J725" t="s">
        <v>228</v>
      </c>
      <c r="N725">
        <v>59252355</v>
      </c>
    </row>
    <row r="726" spans="1:14" x14ac:dyDescent="0.35">
      <c r="A726">
        <v>11724</v>
      </c>
      <c r="C726" s="2" t="s">
        <v>883</v>
      </c>
      <c r="D726" t="s">
        <v>1728</v>
      </c>
      <c r="E726" t="s">
        <v>2728</v>
      </c>
      <c r="F726" t="s">
        <v>3460</v>
      </c>
      <c r="G726" t="s">
        <v>4342</v>
      </c>
      <c r="J726" t="s">
        <v>228</v>
      </c>
      <c r="N726">
        <v>59252356</v>
      </c>
    </row>
    <row r="727" spans="1:14" x14ac:dyDescent="0.35">
      <c r="A727">
        <v>11725</v>
      </c>
      <c r="C727" s="2" t="s">
        <v>883</v>
      </c>
      <c r="D727" t="s">
        <v>1729</v>
      </c>
      <c r="E727" t="s">
        <v>2729</v>
      </c>
      <c r="F727" t="s">
        <v>3461</v>
      </c>
      <c r="G727" t="s">
        <v>4343</v>
      </c>
      <c r="J727" t="s">
        <v>228</v>
      </c>
      <c r="N727">
        <v>59252357</v>
      </c>
    </row>
    <row r="728" spans="1:14" x14ac:dyDescent="0.35">
      <c r="A728">
        <v>11726</v>
      </c>
      <c r="C728" s="2" t="s">
        <v>883</v>
      </c>
      <c r="D728" t="s">
        <v>1730</v>
      </c>
      <c r="E728" t="s">
        <v>2730</v>
      </c>
      <c r="F728" t="s">
        <v>3462</v>
      </c>
      <c r="G728" t="s">
        <v>4344</v>
      </c>
      <c r="J728" t="s">
        <v>228</v>
      </c>
      <c r="N728">
        <v>59252358</v>
      </c>
    </row>
    <row r="729" spans="1:14" x14ac:dyDescent="0.35">
      <c r="A729">
        <v>11727</v>
      </c>
      <c r="C729" s="2" t="s">
        <v>883</v>
      </c>
      <c r="D729" t="s">
        <v>1731</v>
      </c>
      <c r="E729" t="s">
        <v>2731</v>
      </c>
      <c r="F729" t="s">
        <v>3463</v>
      </c>
      <c r="G729" t="s">
        <v>4345</v>
      </c>
      <c r="J729" t="s">
        <v>228</v>
      </c>
      <c r="N729">
        <v>59252359</v>
      </c>
    </row>
    <row r="730" spans="1:14" x14ac:dyDescent="0.35">
      <c r="A730">
        <v>11728</v>
      </c>
      <c r="C730" s="2" t="s">
        <v>883</v>
      </c>
      <c r="D730" t="s">
        <v>1732</v>
      </c>
      <c r="E730" t="s">
        <v>2732</v>
      </c>
      <c r="F730" t="s">
        <v>3464</v>
      </c>
      <c r="G730" t="s">
        <v>4346</v>
      </c>
      <c r="J730" t="s">
        <v>228</v>
      </c>
      <c r="N730">
        <v>59252360</v>
      </c>
    </row>
    <row r="731" spans="1:14" x14ac:dyDescent="0.35">
      <c r="A731">
        <v>11729</v>
      </c>
      <c r="C731" s="2" t="s">
        <v>883</v>
      </c>
      <c r="D731" t="s">
        <v>1733</v>
      </c>
      <c r="E731" t="s">
        <v>2733</v>
      </c>
      <c r="F731" t="s">
        <v>3465</v>
      </c>
      <c r="G731" t="s">
        <v>4347</v>
      </c>
      <c r="J731" t="s">
        <v>228</v>
      </c>
      <c r="N731">
        <v>59252361</v>
      </c>
    </row>
    <row r="732" spans="1:14" x14ac:dyDescent="0.35">
      <c r="A732">
        <v>11730</v>
      </c>
      <c r="C732" s="2" t="s">
        <v>883</v>
      </c>
      <c r="D732" t="s">
        <v>1734</v>
      </c>
      <c r="E732" t="s">
        <v>2734</v>
      </c>
      <c r="F732" t="s">
        <v>3466</v>
      </c>
      <c r="G732" t="s">
        <v>4348</v>
      </c>
      <c r="J732" t="s">
        <v>228</v>
      </c>
      <c r="N732">
        <v>59252362</v>
      </c>
    </row>
    <row r="733" spans="1:14" x14ac:dyDescent="0.35">
      <c r="A733">
        <v>11731</v>
      </c>
      <c r="C733" s="2" t="s">
        <v>883</v>
      </c>
      <c r="D733" t="s">
        <v>1735</v>
      </c>
      <c r="E733" t="s">
        <v>2735</v>
      </c>
      <c r="F733" t="s">
        <v>3467</v>
      </c>
      <c r="G733" t="s">
        <v>4349</v>
      </c>
      <c r="J733" t="s">
        <v>228</v>
      </c>
      <c r="N733">
        <v>59252363</v>
      </c>
    </row>
    <row r="734" spans="1:14" x14ac:dyDescent="0.35">
      <c r="A734">
        <v>11732</v>
      </c>
      <c r="C734" s="2" t="s">
        <v>883</v>
      </c>
      <c r="D734" t="s">
        <v>1736</v>
      </c>
      <c r="E734" t="s">
        <v>2736</v>
      </c>
      <c r="F734" t="s">
        <v>3468</v>
      </c>
      <c r="G734" t="s">
        <v>4350</v>
      </c>
      <c r="J734" t="s">
        <v>228</v>
      </c>
      <c r="N734">
        <v>59252364</v>
      </c>
    </row>
    <row r="735" spans="1:14" x14ac:dyDescent="0.35">
      <c r="A735">
        <v>11733</v>
      </c>
      <c r="C735" s="2" t="s">
        <v>883</v>
      </c>
      <c r="D735" t="s">
        <v>1737</v>
      </c>
      <c r="E735" t="s">
        <v>2737</v>
      </c>
      <c r="F735" t="s">
        <v>3469</v>
      </c>
      <c r="G735" t="s">
        <v>4351</v>
      </c>
      <c r="J735" t="s">
        <v>228</v>
      </c>
      <c r="N735">
        <v>59252365</v>
      </c>
    </row>
    <row r="736" spans="1:14" x14ac:dyDescent="0.35">
      <c r="A736">
        <v>11734</v>
      </c>
      <c r="C736" s="2" t="s">
        <v>883</v>
      </c>
      <c r="D736" t="s">
        <v>1738</v>
      </c>
      <c r="E736" t="s">
        <v>2738</v>
      </c>
      <c r="F736" t="s">
        <v>3470</v>
      </c>
      <c r="G736" t="s">
        <v>4352</v>
      </c>
      <c r="J736" t="s">
        <v>228</v>
      </c>
      <c r="N736">
        <v>59252366</v>
      </c>
    </row>
    <row r="737" spans="1:14" x14ac:dyDescent="0.35">
      <c r="A737">
        <v>11735</v>
      </c>
      <c r="C737" s="2" t="s">
        <v>883</v>
      </c>
      <c r="D737" t="s">
        <v>1739</v>
      </c>
      <c r="E737" t="s">
        <v>2739</v>
      </c>
      <c r="F737" t="s">
        <v>3471</v>
      </c>
      <c r="G737" t="s">
        <v>4353</v>
      </c>
      <c r="J737" t="s">
        <v>228</v>
      </c>
      <c r="N737">
        <v>59252367</v>
      </c>
    </row>
    <row r="738" spans="1:14" x14ac:dyDescent="0.35">
      <c r="A738">
        <v>11736</v>
      </c>
      <c r="C738" s="2" t="s">
        <v>883</v>
      </c>
      <c r="D738" t="s">
        <v>1740</v>
      </c>
      <c r="E738" t="s">
        <v>2740</v>
      </c>
      <c r="F738" t="s">
        <v>3472</v>
      </c>
      <c r="G738" t="s">
        <v>4354</v>
      </c>
      <c r="J738" t="s">
        <v>228</v>
      </c>
      <c r="N738">
        <v>59252368</v>
      </c>
    </row>
    <row r="739" spans="1:14" x14ac:dyDescent="0.35">
      <c r="A739">
        <v>11737</v>
      </c>
      <c r="C739" s="2" t="s">
        <v>883</v>
      </c>
      <c r="D739" t="s">
        <v>1741</v>
      </c>
      <c r="E739" t="s">
        <v>2741</v>
      </c>
      <c r="F739" t="s">
        <v>3473</v>
      </c>
      <c r="G739" t="s">
        <v>4355</v>
      </c>
      <c r="J739" t="s">
        <v>228</v>
      </c>
      <c r="N739">
        <v>59252369</v>
      </c>
    </row>
    <row r="740" spans="1:14" x14ac:dyDescent="0.35">
      <c r="A740">
        <v>11738</v>
      </c>
      <c r="C740" s="2" t="s">
        <v>883</v>
      </c>
      <c r="D740" t="s">
        <v>1742</v>
      </c>
      <c r="E740" t="s">
        <v>2742</v>
      </c>
      <c r="F740" t="s">
        <v>3474</v>
      </c>
      <c r="G740" t="s">
        <v>4356</v>
      </c>
      <c r="J740" t="s">
        <v>228</v>
      </c>
      <c r="N740">
        <v>59252370</v>
      </c>
    </row>
    <row r="741" spans="1:14" x14ac:dyDescent="0.35">
      <c r="A741">
        <v>11739</v>
      </c>
      <c r="C741" s="2" t="s">
        <v>883</v>
      </c>
      <c r="D741" t="s">
        <v>1743</v>
      </c>
      <c r="E741" t="s">
        <v>2743</v>
      </c>
      <c r="F741" t="s">
        <v>3475</v>
      </c>
      <c r="G741" t="s">
        <v>3655</v>
      </c>
      <c r="J741" t="s">
        <v>228</v>
      </c>
      <c r="N741">
        <v>59252371</v>
      </c>
    </row>
    <row r="742" spans="1:14" x14ac:dyDescent="0.35">
      <c r="A742">
        <v>11740</v>
      </c>
      <c r="C742" s="2" t="s">
        <v>883</v>
      </c>
      <c r="D742" t="s">
        <v>1744</v>
      </c>
      <c r="E742" t="s">
        <v>2744</v>
      </c>
      <c r="F742" t="s">
        <v>3476</v>
      </c>
      <c r="G742" t="s">
        <v>4357</v>
      </c>
      <c r="J742" t="s">
        <v>228</v>
      </c>
      <c r="N742">
        <v>59252372</v>
      </c>
    </row>
    <row r="743" spans="1:14" x14ac:dyDescent="0.35">
      <c r="A743">
        <v>11741</v>
      </c>
      <c r="C743" s="2" t="s">
        <v>883</v>
      </c>
      <c r="D743" t="s">
        <v>1745</v>
      </c>
      <c r="E743" t="s">
        <v>2745</v>
      </c>
      <c r="F743" t="s">
        <v>3477</v>
      </c>
      <c r="G743" t="s">
        <v>4358</v>
      </c>
      <c r="J743" t="s">
        <v>228</v>
      </c>
      <c r="N743">
        <v>59252373</v>
      </c>
    </row>
    <row r="744" spans="1:14" x14ac:dyDescent="0.35">
      <c r="A744">
        <v>11742</v>
      </c>
      <c r="C744" s="2" t="s">
        <v>883</v>
      </c>
      <c r="D744" t="s">
        <v>1746</v>
      </c>
      <c r="E744" t="s">
        <v>2746</v>
      </c>
      <c r="F744" t="s">
        <v>3478</v>
      </c>
      <c r="G744" t="s">
        <v>4359</v>
      </c>
      <c r="J744" t="s">
        <v>228</v>
      </c>
      <c r="N744">
        <v>59252374</v>
      </c>
    </row>
    <row r="745" spans="1:14" x14ac:dyDescent="0.35">
      <c r="A745">
        <v>11743</v>
      </c>
      <c r="C745" s="2" t="s">
        <v>883</v>
      </c>
      <c r="D745" t="s">
        <v>1747</v>
      </c>
      <c r="E745" t="s">
        <v>2747</v>
      </c>
      <c r="F745" t="s">
        <v>3479</v>
      </c>
      <c r="G745" t="s">
        <v>4360</v>
      </c>
      <c r="J745" t="s">
        <v>228</v>
      </c>
      <c r="N745">
        <v>59252375</v>
      </c>
    </row>
    <row r="746" spans="1:14" x14ac:dyDescent="0.35">
      <c r="A746">
        <v>11744</v>
      </c>
      <c r="C746" s="2" t="s">
        <v>883</v>
      </c>
      <c r="D746" t="s">
        <v>1748</v>
      </c>
      <c r="E746" t="s">
        <v>2748</v>
      </c>
      <c r="F746" t="s">
        <v>3480</v>
      </c>
      <c r="G746" t="s">
        <v>4361</v>
      </c>
      <c r="J746" t="s">
        <v>228</v>
      </c>
      <c r="N746">
        <v>59252376</v>
      </c>
    </row>
    <row r="747" spans="1:14" x14ac:dyDescent="0.35">
      <c r="A747">
        <v>11745</v>
      </c>
      <c r="C747" s="2" t="s">
        <v>883</v>
      </c>
      <c r="D747" t="s">
        <v>1749</v>
      </c>
      <c r="E747" t="s">
        <v>2749</v>
      </c>
      <c r="F747" t="s">
        <v>3481</v>
      </c>
      <c r="G747" t="s">
        <v>4362</v>
      </c>
      <c r="J747" t="s">
        <v>228</v>
      </c>
      <c r="N747">
        <v>59252377</v>
      </c>
    </row>
    <row r="748" spans="1:14" x14ac:dyDescent="0.35">
      <c r="A748">
        <v>11746</v>
      </c>
      <c r="C748" s="2" t="s">
        <v>883</v>
      </c>
      <c r="D748" t="s">
        <v>1750</v>
      </c>
      <c r="E748" t="s">
        <v>2750</v>
      </c>
      <c r="F748" t="s">
        <v>3482</v>
      </c>
      <c r="G748" t="s">
        <v>4363</v>
      </c>
      <c r="J748" t="s">
        <v>228</v>
      </c>
      <c r="N748">
        <v>59252378</v>
      </c>
    </row>
    <row r="749" spans="1:14" x14ac:dyDescent="0.35">
      <c r="A749">
        <v>11747</v>
      </c>
      <c r="C749" s="2" t="s">
        <v>883</v>
      </c>
      <c r="D749" t="s">
        <v>1751</v>
      </c>
      <c r="E749" t="s">
        <v>2751</v>
      </c>
      <c r="F749" t="s">
        <v>3483</v>
      </c>
      <c r="G749" t="s">
        <v>4364</v>
      </c>
      <c r="J749" t="s">
        <v>228</v>
      </c>
      <c r="N749">
        <v>59252379</v>
      </c>
    </row>
    <row r="750" spans="1:14" x14ac:dyDescent="0.35">
      <c r="A750">
        <v>11748</v>
      </c>
      <c r="C750" s="2" t="s">
        <v>883</v>
      </c>
      <c r="D750" t="s">
        <v>1752</v>
      </c>
      <c r="E750" t="s">
        <v>2752</v>
      </c>
      <c r="F750" t="s">
        <v>3484</v>
      </c>
      <c r="G750" t="s">
        <v>4365</v>
      </c>
      <c r="J750" t="s">
        <v>228</v>
      </c>
      <c r="N750">
        <v>59252380</v>
      </c>
    </row>
    <row r="751" spans="1:14" x14ac:dyDescent="0.35">
      <c r="A751">
        <v>11749</v>
      </c>
      <c r="C751" s="2" t="s">
        <v>883</v>
      </c>
      <c r="D751" t="s">
        <v>1753</v>
      </c>
      <c r="E751" t="s">
        <v>2753</v>
      </c>
      <c r="F751" t="s">
        <v>3034</v>
      </c>
      <c r="G751" t="s">
        <v>4366</v>
      </c>
      <c r="J751" t="s">
        <v>228</v>
      </c>
      <c r="N751">
        <v>59252381</v>
      </c>
    </row>
    <row r="752" spans="1:14" x14ac:dyDescent="0.35">
      <c r="A752">
        <v>11750</v>
      </c>
      <c r="C752" s="2" t="s">
        <v>883</v>
      </c>
      <c r="D752" t="s">
        <v>1754</v>
      </c>
      <c r="E752" t="s">
        <v>2754</v>
      </c>
      <c r="F752" t="s">
        <v>3086</v>
      </c>
      <c r="G752" t="s">
        <v>4367</v>
      </c>
      <c r="J752" t="s">
        <v>228</v>
      </c>
      <c r="N752">
        <v>59252382</v>
      </c>
    </row>
    <row r="753" spans="1:14" x14ac:dyDescent="0.35">
      <c r="A753">
        <v>11751</v>
      </c>
      <c r="C753" s="2" t="s">
        <v>883</v>
      </c>
      <c r="D753" t="s">
        <v>1755</v>
      </c>
      <c r="E753" t="s">
        <v>2755</v>
      </c>
      <c r="F753" t="s">
        <v>3290</v>
      </c>
      <c r="G753" t="s">
        <v>4368</v>
      </c>
      <c r="J753" t="s">
        <v>228</v>
      </c>
      <c r="N753">
        <v>59252383</v>
      </c>
    </row>
    <row r="754" spans="1:14" x14ac:dyDescent="0.35">
      <c r="A754">
        <v>11752</v>
      </c>
      <c r="C754" s="2" t="s">
        <v>883</v>
      </c>
      <c r="D754" t="s">
        <v>1756</v>
      </c>
      <c r="E754" t="s">
        <v>2756</v>
      </c>
      <c r="F754" t="s">
        <v>3301</v>
      </c>
      <c r="G754" t="s">
        <v>4369</v>
      </c>
      <c r="J754" t="s">
        <v>228</v>
      </c>
      <c r="N754">
        <v>59252384</v>
      </c>
    </row>
    <row r="755" spans="1:14" x14ac:dyDescent="0.35">
      <c r="A755">
        <v>11753</v>
      </c>
      <c r="C755" s="2" t="s">
        <v>883</v>
      </c>
      <c r="D755" t="s">
        <v>1757</v>
      </c>
      <c r="E755" t="s">
        <v>2757</v>
      </c>
      <c r="F755" t="s">
        <v>3063</v>
      </c>
      <c r="G755" t="s">
        <v>4370</v>
      </c>
      <c r="J755" t="s">
        <v>228</v>
      </c>
      <c r="N755">
        <v>59252385</v>
      </c>
    </row>
    <row r="756" spans="1:14" x14ac:dyDescent="0.35">
      <c r="A756">
        <v>11754</v>
      </c>
      <c r="C756" s="2" t="s">
        <v>883</v>
      </c>
      <c r="D756" t="s">
        <v>1758</v>
      </c>
      <c r="E756" t="s">
        <v>2758</v>
      </c>
      <c r="F756" t="s">
        <v>3029</v>
      </c>
      <c r="G756" t="s">
        <v>4371</v>
      </c>
      <c r="J756" t="s">
        <v>228</v>
      </c>
      <c r="N756">
        <v>59252386</v>
      </c>
    </row>
    <row r="757" spans="1:14" x14ac:dyDescent="0.35">
      <c r="A757">
        <v>11755</v>
      </c>
      <c r="C757" s="2" t="s">
        <v>883</v>
      </c>
      <c r="D757" t="s">
        <v>1759</v>
      </c>
      <c r="E757" t="s">
        <v>2759</v>
      </c>
      <c r="F757" t="s">
        <v>3010</v>
      </c>
      <c r="G757" t="s">
        <v>4372</v>
      </c>
      <c r="J757" t="s">
        <v>228</v>
      </c>
      <c r="N757">
        <v>59252387</v>
      </c>
    </row>
    <row r="758" spans="1:14" x14ac:dyDescent="0.35">
      <c r="A758">
        <v>11756</v>
      </c>
      <c r="C758" s="2" t="s">
        <v>883</v>
      </c>
      <c r="D758" t="s">
        <v>1760</v>
      </c>
      <c r="E758" t="s">
        <v>2760</v>
      </c>
      <c r="F758" t="s">
        <v>3299</v>
      </c>
      <c r="G758" t="s">
        <v>4373</v>
      </c>
      <c r="J758" t="s">
        <v>228</v>
      </c>
      <c r="N758">
        <v>59252388</v>
      </c>
    </row>
    <row r="759" spans="1:14" x14ac:dyDescent="0.35">
      <c r="A759">
        <v>11757</v>
      </c>
      <c r="C759" s="2" t="s">
        <v>883</v>
      </c>
      <c r="D759" t="s">
        <v>1761</v>
      </c>
      <c r="E759" t="s">
        <v>2761</v>
      </c>
      <c r="F759" t="s">
        <v>3027</v>
      </c>
      <c r="G759" t="s">
        <v>4374</v>
      </c>
      <c r="J759" t="s">
        <v>228</v>
      </c>
      <c r="N759">
        <v>59252389</v>
      </c>
    </row>
    <row r="760" spans="1:14" x14ac:dyDescent="0.35">
      <c r="A760">
        <v>11758</v>
      </c>
      <c r="C760" s="2" t="s">
        <v>883</v>
      </c>
      <c r="D760" t="s">
        <v>1762</v>
      </c>
      <c r="E760" t="s">
        <v>2762</v>
      </c>
      <c r="F760" t="s">
        <v>3303</v>
      </c>
      <c r="G760" t="s">
        <v>4326</v>
      </c>
      <c r="J760" t="s">
        <v>228</v>
      </c>
      <c r="N760">
        <v>59252390</v>
      </c>
    </row>
    <row r="761" spans="1:14" x14ac:dyDescent="0.35">
      <c r="A761">
        <v>11759</v>
      </c>
      <c r="C761" s="2" t="s">
        <v>883</v>
      </c>
      <c r="D761" t="s">
        <v>1763</v>
      </c>
      <c r="E761" t="s">
        <v>2763</v>
      </c>
      <c r="F761" t="s">
        <v>3199</v>
      </c>
      <c r="G761" t="s">
        <v>4375</v>
      </c>
      <c r="J761" t="s">
        <v>228</v>
      </c>
      <c r="N761">
        <v>59252391</v>
      </c>
    </row>
    <row r="762" spans="1:14" x14ac:dyDescent="0.35">
      <c r="A762">
        <v>11760</v>
      </c>
      <c r="C762" s="2" t="s">
        <v>883</v>
      </c>
      <c r="D762" t="s">
        <v>1764</v>
      </c>
      <c r="E762" t="s">
        <v>2764</v>
      </c>
      <c r="F762" t="s">
        <v>3040</v>
      </c>
      <c r="G762" t="s">
        <v>4376</v>
      </c>
      <c r="J762" t="s">
        <v>228</v>
      </c>
      <c r="N762">
        <v>59252392</v>
      </c>
    </row>
    <row r="763" spans="1:14" x14ac:dyDescent="0.35">
      <c r="A763">
        <v>11761</v>
      </c>
      <c r="C763" s="2" t="s">
        <v>883</v>
      </c>
      <c r="D763" t="s">
        <v>1765</v>
      </c>
      <c r="E763" t="s">
        <v>2765</v>
      </c>
      <c r="F763" t="s">
        <v>3300</v>
      </c>
      <c r="G763" t="s">
        <v>4377</v>
      </c>
      <c r="J763" t="s">
        <v>228</v>
      </c>
      <c r="N763">
        <v>59252393</v>
      </c>
    </row>
    <row r="764" spans="1:14" x14ac:dyDescent="0.35">
      <c r="A764">
        <v>11762</v>
      </c>
      <c r="C764" s="2" t="s">
        <v>883</v>
      </c>
      <c r="D764" t="s">
        <v>1766</v>
      </c>
      <c r="E764" t="s">
        <v>2766</v>
      </c>
      <c r="F764" t="s">
        <v>3089</v>
      </c>
      <c r="G764" t="s">
        <v>4378</v>
      </c>
      <c r="J764" t="s">
        <v>228</v>
      </c>
      <c r="N764">
        <v>59252394</v>
      </c>
    </row>
    <row r="765" spans="1:14" x14ac:dyDescent="0.35">
      <c r="A765">
        <v>11763</v>
      </c>
      <c r="C765" s="2" t="s">
        <v>883</v>
      </c>
      <c r="D765" t="s">
        <v>1767</v>
      </c>
      <c r="E765" t="s">
        <v>2767</v>
      </c>
      <c r="F765" t="s">
        <v>3031</v>
      </c>
      <c r="G765" t="s">
        <v>4379</v>
      </c>
      <c r="J765" t="s">
        <v>228</v>
      </c>
      <c r="N765">
        <v>59252395</v>
      </c>
    </row>
    <row r="766" spans="1:14" x14ac:dyDescent="0.35">
      <c r="A766">
        <v>11764</v>
      </c>
      <c r="C766" s="2" t="s">
        <v>883</v>
      </c>
      <c r="D766" t="s">
        <v>1768</v>
      </c>
      <c r="E766" t="s">
        <v>2768</v>
      </c>
      <c r="F766" t="s">
        <v>3051</v>
      </c>
      <c r="G766" t="s">
        <v>4380</v>
      </c>
      <c r="J766" t="s">
        <v>228</v>
      </c>
      <c r="N766">
        <v>59252396</v>
      </c>
    </row>
    <row r="767" spans="1:14" x14ac:dyDescent="0.35">
      <c r="A767">
        <v>11765</v>
      </c>
      <c r="C767" s="2" t="s">
        <v>883</v>
      </c>
      <c r="D767" t="s">
        <v>1769</v>
      </c>
      <c r="E767" t="s">
        <v>2769</v>
      </c>
      <c r="F767" t="s">
        <v>3007</v>
      </c>
      <c r="G767" t="s">
        <v>4381</v>
      </c>
      <c r="J767" t="s">
        <v>228</v>
      </c>
      <c r="N767">
        <v>59252397</v>
      </c>
    </row>
    <row r="768" spans="1:14" x14ac:dyDescent="0.35">
      <c r="A768">
        <v>11766</v>
      </c>
      <c r="C768" s="2" t="s">
        <v>883</v>
      </c>
      <c r="D768" t="s">
        <v>1770</v>
      </c>
      <c r="E768" t="s">
        <v>2770</v>
      </c>
      <c r="F768" t="s">
        <v>3287</v>
      </c>
      <c r="G768" t="s">
        <v>4382</v>
      </c>
      <c r="J768" t="s">
        <v>228</v>
      </c>
      <c r="N768">
        <v>59252398</v>
      </c>
    </row>
    <row r="769" spans="1:14" x14ac:dyDescent="0.35">
      <c r="A769">
        <v>11767</v>
      </c>
      <c r="C769" s="2" t="s">
        <v>883</v>
      </c>
      <c r="D769" t="s">
        <v>1771</v>
      </c>
      <c r="E769" t="s">
        <v>2771</v>
      </c>
      <c r="F769" t="s">
        <v>3051</v>
      </c>
      <c r="G769" t="s">
        <v>4383</v>
      </c>
      <c r="J769" t="s">
        <v>228</v>
      </c>
      <c r="N769">
        <v>59252399</v>
      </c>
    </row>
    <row r="770" spans="1:14" x14ac:dyDescent="0.35">
      <c r="A770">
        <v>11768</v>
      </c>
      <c r="C770" s="2" t="s">
        <v>883</v>
      </c>
      <c r="D770" t="s">
        <v>1772</v>
      </c>
      <c r="E770" t="s">
        <v>2772</v>
      </c>
      <c r="F770" t="s">
        <v>3004</v>
      </c>
      <c r="G770" t="s">
        <v>4384</v>
      </c>
      <c r="J770" t="s">
        <v>228</v>
      </c>
      <c r="N770">
        <v>59252400</v>
      </c>
    </row>
    <row r="771" spans="1:14" x14ac:dyDescent="0.35">
      <c r="A771">
        <v>11769</v>
      </c>
      <c r="C771" s="2" t="s">
        <v>883</v>
      </c>
      <c r="D771" t="s">
        <v>1773</v>
      </c>
      <c r="E771" t="s">
        <v>2773</v>
      </c>
      <c r="F771" t="s">
        <v>3485</v>
      </c>
      <c r="G771" t="s">
        <v>4385</v>
      </c>
      <c r="J771" t="s">
        <v>228</v>
      </c>
      <c r="N771">
        <v>59252401</v>
      </c>
    </row>
    <row r="772" spans="1:14" x14ac:dyDescent="0.35">
      <c r="A772">
        <v>11770</v>
      </c>
      <c r="C772" s="2" t="s">
        <v>883</v>
      </c>
      <c r="D772" t="s">
        <v>1774</v>
      </c>
      <c r="E772" t="s">
        <v>2774</v>
      </c>
      <c r="F772" t="s">
        <v>3486</v>
      </c>
      <c r="G772" t="s">
        <v>4386</v>
      </c>
      <c r="J772" t="s">
        <v>228</v>
      </c>
      <c r="N772">
        <v>59252402</v>
      </c>
    </row>
    <row r="773" spans="1:14" x14ac:dyDescent="0.35">
      <c r="A773">
        <v>11771</v>
      </c>
      <c r="C773" s="2" t="s">
        <v>883</v>
      </c>
      <c r="D773" t="s">
        <v>1775</v>
      </c>
      <c r="E773" t="s">
        <v>2775</v>
      </c>
      <c r="F773" t="s">
        <v>3487</v>
      </c>
      <c r="G773" t="s">
        <v>4387</v>
      </c>
      <c r="J773" t="s">
        <v>228</v>
      </c>
      <c r="N773">
        <v>59252403</v>
      </c>
    </row>
    <row r="774" spans="1:14" x14ac:dyDescent="0.35">
      <c r="A774">
        <v>11772</v>
      </c>
      <c r="C774" s="2" t="s">
        <v>883</v>
      </c>
      <c r="D774" t="s">
        <v>1776</v>
      </c>
      <c r="E774" t="s">
        <v>2776</v>
      </c>
      <c r="F774" t="s">
        <v>3488</v>
      </c>
      <c r="G774" t="s">
        <v>4388</v>
      </c>
      <c r="J774" t="s">
        <v>228</v>
      </c>
      <c r="N774">
        <v>59252404</v>
      </c>
    </row>
    <row r="775" spans="1:14" x14ac:dyDescent="0.35">
      <c r="A775">
        <v>11773</v>
      </c>
      <c r="C775" s="2" t="s">
        <v>883</v>
      </c>
      <c r="D775" t="s">
        <v>1777</v>
      </c>
      <c r="E775" t="s">
        <v>2777</v>
      </c>
      <c r="F775" t="s">
        <v>3489</v>
      </c>
      <c r="G775" t="s">
        <v>4389</v>
      </c>
      <c r="J775" t="s">
        <v>228</v>
      </c>
      <c r="N775">
        <v>59252405</v>
      </c>
    </row>
    <row r="776" spans="1:14" x14ac:dyDescent="0.35">
      <c r="A776">
        <v>11774</v>
      </c>
      <c r="C776" s="2" t="s">
        <v>883</v>
      </c>
      <c r="D776" t="s">
        <v>1778</v>
      </c>
      <c r="E776" t="s">
        <v>2778</v>
      </c>
      <c r="F776" t="s">
        <v>3490</v>
      </c>
      <c r="G776" t="s">
        <v>4390</v>
      </c>
      <c r="J776" t="s">
        <v>228</v>
      </c>
      <c r="N776">
        <v>59252406</v>
      </c>
    </row>
    <row r="777" spans="1:14" x14ac:dyDescent="0.35">
      <c r="A777">
        <v>11775</v>
      </c>
      <c r="C777" s="2" t="s">
        <v>883</v>
      </c>
      <c r="D777" t="s">
        <v>1779</v>
      </c>
      <c r="E777" t="s">
        <v>2779</v>
      </c>
      <c r="F777" t="s">
        <v>3491</v>
      </c>
      <c r="G777" t="s">
        <v>4391</v>
      </c>
      <c r="J777" t="s">
        <v>228</v>
      </c>
      <c r="N777">
        <v>59252407</v>
      </c>
    </row>
    <row r="778" spans="1:14" x14ac:dyDescent="0.35">
      <c r="A778">
        <v>11776</v>
      </c>
      <c r="C778" s="2" t="s">
        <v>883</v>
      </c>
      <c r="D778" t="s">
        <v>1780</v>
      </c>
      <c r="E778" t="s">
        <v>2780</v>
      </c>
      <c r="F778" t="s">
        <v>3492</v>
      </c>
      <c r="G778" t="s">
        <v>4392</v>
      </c>
      <c r="J778" t="s">
        <v>228</v>
      </c>
      <c r="N778">
        <v>59252408</v>
      </c>
    </row>
    <row r="779" spans="1:14" x14ac:dyDescent="0.35">
      <c r="A779">
        <v>11777</v>
      </c>
      <c r="C779" s="2" t="s">
        <v>883</v>
      </c>
      <c r="D779" t="s">
        <v>1781</v>
      </c>
      <c r="E779" t="s">
        <v>2781</v>
      </c>
      <c r="F779" t="s">
        <v>3493</v>
      </c>
      <c r="G779" t="s">
        <v>4393</v>
      </c>
      <c r="J779" t="s">
        <v>228</v>
      </c>
      <c r="N779">
        <v>59252409</v>
      </c>
    </row>
    <row r="780" spans="1:14" x14ac:dyDescent="0.35">
      <c r="A780">
        <v>11778</v>
      </c>
      <c r="C780" s="2" t="s">
        <v>883</v>
      </c>
      <c r="D780" t="s">
        <v>1782</v>
      </c>
      <c r="E780" t="s">
        <v>2782</v>
      </c>
      <c r="F780" t="s">
        <v>3494</v>
      </c>
      <c r="G780" t="s">
        <v>4394</v>
      </c>
      <c r="J780" t="s">
        <v>228</v>
      </c>
      <c r="N780">
        <v>59252410</v>
      </c>
    </row>
    <row r="781" spans="1:14" x14ac:dyDescent="0.35">
      <c r="A781">
        <v>11779</v>
      </c>
      <c r="C781" s="2" t="s">
        <v>883</v>
      </c>
      <c r="D781" t="s">
        <v>1783</v>
      </c>
      <c r="E781" t="s">
        <v>2783</v>
      </c>
      <c r="F781" t="s">
        <v>3495</v>
      </c>
      <c r="G781" t="s">
        <v>4395</v>
      </c>
      <c r="J781" t="s">
        <v>228</v>
      </c>
      <c r="N781">
        <v>59252411</v>
      </c>
    </row>
    <row r="782" spans="1:14" x14ac:dyDescent="0.35">
      <c r="A782">
        <v>11780</v>
      </c>
      <c r="C782" s="2" t="s">
        <v>883</v>
      </c>
      <c r="D782" t="s">
        <v>1784</v>
      </c>
      <c r="E782" t="s">
        <v>2784</v>
      </c>
      <c r="F782" t="s">
        <v>3496</v>
      </c>
      <c r="G782" t="s">
        <v>4396</v>
      </c>
      <c r="J782" t="s">
        <v>228</v>
      </c>
      <c r="N782">
        <v>59252412</v>
      </c>
    </row>
    <row r="783" spans="1:14" x14ac:dyDescent="0.35">
      <c r="A783">
        <v>11781</v>
      </c>
      <c r="C783" s="2" t="s">
        <v>883</v>
      </c>
      <c r="D783" t="s">
        <v>1785</v>
      </c>
      <c r="E783" t="s">
        <v>2785</v>
      </c>
      <c r="F783" t="s">
        <v>3497</v>
      </c>
      <c r="G783" t="s">
        <v>4397</v>
      </c>
      <c r="J783" t="s">
        <v>228</v>
      </c>
      <c r="N783">
        <v>59252413</v>
      </c>
    </row>
    <row r="784" spans="1:14" x14ac:dyDescent="0.35">
      <c r="A784">
        <v>11782</v>
      </c>
      <c r="C784" s="2" t="s">
        <v>883</v>
      </c>
      <c r="D784" t="s">
        <v>1786</v>
      </c>
      <c r="E784" t="s">
        <v>2786</v>
      </c>
      <c r="F784" t="s">
        <v>3498</v>
      </c>
      <c r="G784" t="s">
        <v>4398</v>
      </c>
      <c r="J784" t="s">
        <v>228</v>
      </c>
      <c r="N784">
        <v>59252414</v>
      </c>
    </row>
    <row r="785" spans="1:14" x14ac:dyDescent="0.35">
      <c r="A785">
        <v>11783</v>
      </c>
      <c r="C785" s="2" t="s">
        <v>883</v>
      </c>
      <c r="D785" t="s">
        <v>1787</v>
      </c>
      <c r="E785" t="s">
        <v>2787</v>
      </c>
      <c r="F785" t="s">
        <v>3499</v>
      </c>
      <c r="G785" t="s">
        <v>4399</v>
      </c>
      <c r="J785" t="s">
        <v>228</v>
      </c>
      <c r="N785">
        <v>59252415</v>
      </c>
    </row>
    <row r="786" spans="1:14" x14ac:dyDescent="0.35">
      <c r="A786">
        <v>11784</v>
      </c>
      <c r="C786" s="2" t="s">
        <v>883</v>
      </c>
      <c r="D786" t="s">
        <v>1788</v>
      </c>
      <c r="E786" t="s">
        <v>2788</v>
      </c>
      <c r="F786" t="s">
        <v>3500</v>
      </c>
      <c r="G786" t="s">
        <v>4400</v>
      </c>
      <c r="J786" t="s">
        <v>228</v>
      </c>
      <c r="N786">
        <v>59252416</v>
      </c>
    </row>
    <row r="787" spans="1:14" x14ac:dyDescent="0.35">
      <c r="A787">
        <v>11785</v>
      </c>
      <c r="C787" s="2" t="s">
        <v>883</v>
      </c>
      <c r="D787" t="s">
        <v>1789</v>
      </c>
      <c r="E787" t="s">
        <v>2789</v>
      </c>
      <c r="F787" t="s">
        <v>3501</v>
      </c>
      <c r="G787" t="s">
        <v>4401</v>
      </c>
      <c r="J787" t="s">
        <v>228</v>
      </c>
      <c r="N787">
        <v>59252417</v>
      </c>
    </row>
    <row r="788" spans="1:14" x14ac:dyDescent="0.35">
      <c r="A788">
        <v>11786</v>
      </c>
      <c r="C788" s="2" t="s">
        <v>883</v>
      </c>
      <c r="D788" t="s">
        <v>1790</v>
      </c>
      <c r="E788" t="s">
        <v>2790</v>
      </c>
      <c r="F788" t="s">
        <v>3502</v>
      </c>
      <c r="G788" t="s">
        <v>4402</v>
      </c>
      <c r="J788" t="s">
        <v>228</v>
      </c>
      <c r="N788">
        <v>59252418</v>
      </c>
    </row>
    <row r="789" spans="1:14" x14ac:dyDescent="0.35">
      <c r="A789">
        <v>11787</v>
      </c>
      <c r="C789" s="2" t="s">
        <v>883</v>
      </c>
      <c r="D789" t="s">
        <v>1791</v>
      </c>
      <c r="E789" t="s">
        <v>2791</v>
      </c>
      <c r="F789" t="s">
        <v>3503</v>
      </c>
      <c r="G789" t="s">
        <v>4403</v>
      </c>
      <c r="J789" t="s">
        <v>228</v>
      </c>
      <c r="N789">
        <v>59252419</v>
      </c>
    </row>
    <row r="790" spans="1:14" x14ac:dyDescent="0.35">
      <c r="A790">
        <v>11788</v>
      </c>
      <c r="C790" s="2" t="s">
        <v>883</v>
      </c>
      <c r="D790" t="s">
        <v>1792</v>
      </c>
      <c r="E790" t="s">
        <v>2792</v>
      </c>
      <c r="F790" t="s">
        <v>3504</v>
      </c>
      <c r="G790" t="s">
        <v>4404</v>
      </c>
      <c r="J790" t="s">
        <v>228</v>
      </c>
      <c r="N790">
        <v>59252420</v>
      </c>
    </row>
    <row r="791" spans="1:14" x14ac:dyDescent="0.35">
      <c r="A791">
        <v>11789</v>
      </c>
      <c r="C791" s="2" t="s">
        <v>883</v>
      </c>
      <c r="D791" t="s">
        <v>1793</v>
      </c>
      <c r="E791" t="s">
        <v>2793</v>
      </c>
      <c r="F791" t="s">
        <v>3505</v>
      </c>
      <c r="G791" t="s">
        <v>4405</v>
      </c>
      <c r="J791" t="s">
        <v>228</v>
      </c>
      <c r="N791">
        <v>59252421</v>
      </c>
    </row>
    <row r="792" spans="1:14" x14ac:dyDescent="0.35">
      <c r="A792">
        <v>11790</v>
      </c>
      <c r="C792" s="2" t="s">
        <v>883</v>
      </c>
      <c r="D792" t="s">
        <v>1794</v>
      </c>
      <c r="E792" t="s">
        <v>2794</v>
      </c>
      <c r="F792" t="s">
        <v>3506</v>
      </c>
      <c r="G792" t="s">
        <v>4406</v>
      </c>
      <c r="J792" t="s">
        <v>228</v>
      </c>
      <c r="N792">
        <v>59252422</v>
      </c>
    </row>
    <row r="793" spans="1:14" x14ac:dyDescent="0.35">
      <c r="A793">
        <v>11791</v>
      </c>
      <c r="C793" s="2" t="s">
        <v>883</v>
      </c>
      <c r="D793" t="s">
        <v>1795</v>
      </c>
      <c r="E793" t="s">
        <v>2795</v>
      </c>
      <c r="F793" t="s">
        <v>3507</v>
      </c>
      <c r="G793" t="s">
        <v>4407</v>
      </c>
      <c r="J793" t="s">
        <v>228</v>
      </c>
      <c r="N793">
        <v>59252423</v>
      </c>
    </row>
    <row r="794" spans="1:14" x14ac:dyDescent="0.35">
      <c r="A794">
        <v>11792</v>
      </c>
      <c r="C794" s="2" t="s">
        <v>883</v>
      </c>
      <c r="D794" t="s">
        <v>1796</v>
      </c>
      <c r="E794" t="s">
        <v>2796</v>
      </c>
      <c r="F794" t="s">
        <v>3508</v>
      </c>
      <c r="G794" t="s">
        <v>4408</v>
      </c>
      <c r="J794" t="s">
        <v>228</v>
      </c>
      <c r="N794">
        <v>59252424</v>
      </c>
    </row>
    <row r="795" spans="1:14" x14ac:dyDescent="0.35">
      <c r="A795">
        <v>11793</v>
      </c>
      <c r="C795" s="2" t="s">
        <v>883</v>
      </c>
      <c r="D795" t="s">
        <v>1797</v>
      </c>
      <c r="E795" t="s">
        <v>2797</v>
      </c>
      <c r="F795" t="s">
        <v>3509</v>
      </c>
      <c r="G795" t="s">
        <v>4409</v>
      </c>
      <c r="J795" t="s">
        <v>228</v>
      </c>
      <c r="N795">
        <v>59252425</v>
      </c>
    </row>
    <row r="796" spans="1:14" x14ac:dyDescent="0.35">
      <c r="A796">
        <v>11794</v>
      </c>
      <c r="C796" s="2" t="s">
        <v>883</v>
      </c>
      <c r="D796" t="s">
        <v>1798</v>
      </c>
      <c r="E796" t="s">
        <v>2798</v>
      </c>
      <c r="F796" t="s">
        <v>3510</v>
      </c>
      <c r="G796" t="s">
        <v>4410</v>
      </c>
      <c r="J796" t="s">
        <v>228</v>
      </c>
      <c r="N796">
        <v>59252426</v>
      </c>
    </row>
    <row r="797" spans="1:14" x14ac:dyDescent="0.35">
      <c r="A797">
        <v>11795</v>
      </c>
      <c r="C797" s="2" t="s">
        <v>883</v>
      </c>
      <c r="D797" t="s">
        <v>1799</v>
      </c>
      <c r="E797" t="s">
        <v>2799</v>
      </c>
      <c r="F797" t="s">
        <v>3511</v>
      </c>
      <c r="G797" t="s">
        <v>4411</v>
      </c>
      <c r="J797" t="s">
        <v>228</v>
      </c>
      <c r="N797">
        <v>59252427</v>
      </c>
    </row>
    <row r="798" spans="1:14" x14ac:dyDescent="0.35">
      <c r="A798">
        <v>11796</v>
      </c>
      <c r="C798" s="2" t="s">
        <v>883</v>
      </c>
      <c r="D798" t="s">
        <v>1800</v>
      </c>
      <c r="E798" t="s">
        <v>2800</v>
      </c>
      <c r="F798" t="s">
        <v>3512</v>
      </c>
      <c r="G798" t="s">
        <v>4412</v>
      </c>
      <c r="J798" t="s">
        <v>228</v>
      </c>
      <c r="N798">
        <v>59252428</v>
      </c>
    </row>
    <row r="799" spans="1:14" x14ac:dyDescent="0.35">
      <c r="A799">
        <v>11797</v>
      </c>
      <c r="C799" s="2" t="s">
        <v>883</v>
      </c>
      <c r="D799" t="s">
        <v>1801</v>
      </c>
      <c r="E799" t="s">
        <v>2801</v>
      </c>
      <c r="F799" t="s">
        <v>3513</v>
      </c>
      <c r="G799" t="s">
        <v>4413</v>
      </c>
      <c r="J799" t="s">
        <v>228</v>
      </c>
      <c r="N799">
        <v>59252429</v>
      </c>
    </row>
    <row r="800" spans="1:14" x14ac:dyDescent="0.35">
      <c r="A800">
        <v>11798</v>
      </c>
      <c r="C800" s="2" t="s">
        <v>883</v>
      </c>
      <c r="D800" t="s">
        <v>1802</v>
      </c>
      <c r="E800" t="s">
        <v>2802</v>
      </c>
      <c r="F800" t="s">
        <v>3514</v>
      </c>
      <c r="G800" t="s">
        <v>4414</v>
      </c>
      <c r="J800" t="s">
        <v>228</v>
      </c>
      <c r="N800">
        <v>59252430</v>
      </c>
    </row>
    <row r="801" spans="1:14" x14ac:dyDescent="0.35">
      <c r="A801">
        <v>11799</v>
      </c>
      <c r="C801" s="2" t="s">
        <v>883</v>
      </c>
      <c r="D801" t="s">
        <v>1803</v>
      </c>
      <c r="E801" t="s">
        <v>2803</v>
      </c>
      <c r="F801" t="s">
        <v>3515</v>
      </c>
      <c r="G801" t="s">
        <v>4415</v>
      </c>
      <c r="J801" t="s">
        <v>228</v>
      </c>
      <c r="N801">
        <v>59252431</v>
      </c>
    </row>
    <row r="802" spans="1:14" x14ac:dyDescent="0.35">
      <c r="A802">
        <v>11800</v>
      </c>
      <c r="C802" s="2" t="s">
        <v>883</v>
      </c>
      <c r="D802" t="s">
        <v>1804</v>
      </c>
      <c r="E802" t="s">
        <v>2804</v>
      </c>
      <c r="F802" t="s">
        <v>3516</v>
      </c>
      <c r="G802" t="s">
        <v>4416</v>
      </c>
      <c r="J802" t="s">
        <v>228</v>
      </c>
      <c r="N802">
        <v>59252432</v>
      </c>
    </row>
    <row r="803" spans="1:14" x14ac:dyDescent="0.35">
      <c r="A803">
        <v>11801</v>
      </c>
      <c r="C803" s="2" t="s">
        <v>883</v>
      </c>
      <c r="D803" t="s">
        <v>1805</v>
      </c>
      <c r="E803" t="s">
        <v>2805</v>
      </c>
      <c r="F803" t="s">
        <v>3517</v>
      </c>
      <c r="G803" t="s">
        <v>4417</v>
      </c>
      <c r="J803" t="s">
        <v>228</v>
      </c>
      <c r="N803">
        <v>59252433</v>
      </c>
    </row>
    <row r="804" spans="1:14" x14ac:dyDescent="0.35">
      <c r="A804">
        <v>11802</v>
      </c>
      <c r="C804" s="2" t="s">
        <v>883</v>
      </c>
      <c r="D804" t="s">
        <v>1806</v>
      </c>
      <c r="E804" t="s">
        <v>2806</v>
      </c>
      <c r="F804" t="s">
        <v>3518</v>
      </c>
      <c r="G804" t="s">
        <v>4418</v>
      </c>
      <c r="J804" t="s">
        <v>228</v>
      </c>
      <c r="N804">
        <v>59252434</v>
      </c>
    </row>
    <row r="805" spans="1:14" x14ac:dyDescent="0.35">
      <c r="A805">
        <v>11803</v>
      </c>
      <c r="C805" s="2" t="s">
        <v>883</v>
      </c>
      <c r="D805" t="s">
        <v>1807</v>
      </c>
      <c r="E805" t="s">
        <v>2807</v>
      </c>
      <c r="F805" t="s">
        <v>3519</v>
      </c>
      <c r="G805" t="s">
        <v>4419</v>
      </c>
      <c r="J805" t="s">
        <v>228</v>
      </c>
      <c r="N805">
        <v>59252435</v>
      </c>
    </row>
    <row r="806" spans="1:14" x14ac:dyDescent="0.35">
      <c r="A806">
        <v>11804</v>
      </c>
      <c r="C806" s="2" t="s">
        <v>883</v>
      </c>
      <c r="D806" t="s">
        <v>1808</v>
      </c>
      <c r="E806" t="s">
        <v>2808</v>
      </c>
      <c r="F806" t="s">
        <v>3520</v>
      </c>
      <c r="G806" t="s">
        <v>4420</v>
      </c>
      <c r="J806" t="s">
        <v>228</v>
      </c>
      <c r="N806">
        <v>59252436</v>
      </c>
    </row>
    <row r="807" spans="1:14" x14ac:dyDescent="0.35">
      <c r="A807">
        <v>11805</v>
      </c>
      <c r="C807" s="2" t="s">
        <v>883</v>
      </c>
      <c r="D807" t="s">
        <v>1809</v>
      </c>
      <c r="E807" t="s">
        <v>2809</v>
      </c>
      <c r="F807" t="s">
        <v>3521</v>
      </c>
      <c r="G807" t="s">
        <v>4421</v>
      </c>
      <c r="J807" t="s">
        <v>228</v>
      </c>
      <c r="N807">
        <v>59252437</v>
      </c>
    </row>
    <row r="808" spans="1:14" x14ac:dyDescent="0.35">
      <c r="A808">
        <v>11806</v>
      </c>
      <c r="C808" s="2" t="s">
        <v>883</v>
      </c>
      <c r="D808" t="s">
        <v>1810</v>
      </c>
      <c r="E808" t="s">
        <v>2810</v>
      </c>
      <c r="F808" t="s">
        <v>3522</v>
      </c>
      <c r="G808" t="s">
        <v>4422</v>
      </c>
      <c r="J808" t="s">
        <v>228</v>
      </c>
      <c r="N808">
        <v>59252438</v>
      </c>
    </row>
    <row r="809" spans="1:14" x14ac:dyDescent="0.35">
      <c r="A809">
        <v>11807</v>
      </c>
      <c r="C809" s="2" t="s">
        <v>883</v>
      </c>
      <c r="D809" t="s">
        <v>1811</v>
      </c>
      <c r="E809" t="s">
        <v>2811</v>
      </c>
      <c r="F809" t="s">
        <v>3523</v>
      </c>
      <c r="G809" t="s">
        <v>4423</v>
      </c>
      <c r="J809" t="s">
        <v>228</v>
      </c>
      <c r="N809">
        <v>59252439</v>
      </c>
    </row>
    <row r="810" spans="1:14" x14ac:dyDescent="0.35">
      <c r="A810">
        <v>11808</v>
      </c>
      <c r="C810" s="2" t="s">
        <v>883</v>
      </c>
      <c r="D810" t="s">
        <v>1812</v>
      </c>
      <c r="E810" t="s">
        <v>2812</v>
      </c>
      <c r="F810" t="s">
        <v>3524</v>
      </c>
      <c r="G810" t="s">
        <v>4424</v>
      </c>
      <c r="J810" t="s">
        <v>228</v>
      </c>
      <c r="N810">
        <v>59252440</v>
      </c>
    </row>
    <row r="811" spans="1:14" x14ac:dyDescent="0.35">
      <c r="A811">
        <v>11809</v>
      </c>
      <c r="C811" s="2" t="s">
        <v>883</v>
      </c>
      <c r="D811" t="s">
        <v>1813</v>
      </c>
      <c r="E811" t="s">
        <v>2813</v>
      </c>
      <c r="F811" t="s">
        <v>3469</v>
      </c>
      <c r="G811" t="s">
        <v>4425</v>
      </c>
      <c r="J811" t="s">
        <v>228</v>
      </c>
      <c r="N811">
        <v>59252441</v>
      </c>
    </row>
    <row r="812" spans="1:14" x14ac:dyDescent="0.35">
      <c r="A812">
        <v>11810</v>
      </c>
      <c r="C812" s="2" t="s">
        <v>883</v>
      </c>
      <c r="D812" t="s">
        <v>1814</v>
      </c>
      <c r="E812" t="s">
        <v>2814</v>
      </c>
      <c r="F812" t="s">
        <v>3525</v>
      </c>
      <c r="G812" t="s">
        <v>4426</v>
      </c>
      <c r="J812" t="s">
        <v>228</v>
      </c>
      <c r="N812">
        <v>59252442</v>
      </c>
    </row>
    <row r="813" spans="1:14" x14ac:dyDescent="0.35">
      <c r="A813">
        <v>11811</v>
      </c>
      <c r="C813" s="2" t="s">
        <v>883</v>
      </c>
      <c r="D813" t="s">
        <v>1815</v>
      </c>
      <c r="E813" t="s">
        <v>2815</v>
      </c>
      <c r="F813" t="s">
        <v>3526</v>
      </c>
      <c r="G813" t="s">
        <v>4427</v>
      </c>
      <c r="J813" t="s">
        <v>228</v>
      </c>
      <c r="N813">
        <v>59252443</v>
      </c>
    </row>
    <row r="814" spans="1:14" x14ac:dyDescent="0.35">
      <c r="A814">
        <v>11812</v>
      </c>
      <c r="C814" s="2" t="s">
        <v>883</v>
      </c>
      <c r="D814" t="s">
        <v>1816</v>
      </c>
      <c r="E814" t="s">
        <v>2816</v>
      </c>
      <c r="F814" t="s">
        <v>3527</v>
      </c>
      <c r="G814" t="s">
        <v>4428</v>
      </c>
      <c r="J814" t="s">
        <v>228</v>
      </c>
      <c r="N814">
        <v>59252444</v>
      </c>
    </row>
    <row r="815" spans="1:14" x14ac:dyDescent="0.35">
      <c r="A815">
        <v>11813</v>
      </c>
      <c r="C815" s="2" t="s">
        <v>883</v>
      </c>
      <c r="D815" t="s">
        <v>1817</v>
      </c>
      <c r="E815" t="s">
        <v>2817</v>
      </c>
      <c r="F815" t="s">
        <v>3528</v>
      </c>
      <c r="G815" t="s">
        <v>4429</v>
      </c>
      <c r="J815" t="s">
        <v>228</v>
      </c>
      <c r="N815">
        <v>59252445</v>
      </c>
    </row>
    <row r="816" spans="1:14" x14ac:dyDescent="0.35">
      <c r="A816">
        <v>11814</v>
      </c>
      <c r="C816" s="2" t="s">
        <v>883</v>
      </c>
      <c r="D816" t="s">
        <v>1818</v>
      </c>
      <c r="E816" t="s">
        <v>2818</v>
      </c>
      <c r="F816" t="s">
        <v>3529</v>
      </c>
      <c r="G816" t="s">
        <v>4371</v>
      </c>
      <c r="J816" t="s">
        <v>228</v>
      </c>
      <c r="N816">
        <v>59252446</v>
      </c>
    </row>
    <row r="817" spans="1:14" x14ac:dyDescent="0.35">
      <c r="A817">
        <v>11815</v>
      </c>
      <c r="C817" s="2" t="s">
        <v>883</v>
      </c>
      <c r="D817" t="s">
        <v>1819</v>
      </c>
      <c r="E817" t="s">
        <v>2819</v>
      </c>
      <c r="F817" t="s">
        <v>3530</v>
      </c>
      <c r="G817" t="s">
        <v>4430</v>
      </c>
      <c r="J817" t="s">
        <v>228</v>
      </c>
      <c r="N817">
        <v>59252447</v>
      </c>
    </row>
    <row r="818" spans="1:14" x14ac:dyDescent="0.35">
      <c r="A818">
        <v>11816</v>
      </c>
      <c r="C818" s="2" t="s">
        <v>883</v>
      </c>
      <c r="D818" t="s">
        <v>1820</v>
      </c>
      <c r="E818" t="s">
        <v>2820</v>
      </c>
      <c r="F818" t="s">
        <v>3531</v>
      </c>
      <c r="G818" t="s">
        <v>4431</v>
      </c>
      <c r="J818" t="s">
        <v>228</v>
      </c>
      <c r="N818">
        <v>59252448</v>
      </c>
    </row>
    <row r="819" spans="1:14" x14ac:dyDescent="0.35">
      <c r="A819">
        <v>11817</v>
      </c>
      <c r="C819" s="2" t="s">
        <v>883</v>
      </c>
      <c r="D819" t="s">
        <v>1821</v>
      </c>
      <c r="E819" t="s">
        <v>2821</v>
      </c>
      <c r="F819" t="s">
        <v>3532</v>
      </c>
      <c r="G819" t="s">
        <v>4432</v>
      </c>
      <c r="J819" t="s">
        <v>228</v>
      </c>
      <c r="N819">
        <v>59252449</v>
      </c>
    </row>
    <row r="820" spans="1:14" x14ac:dyDescent="0.35">
      <c r="A820">
        <v>11818</v>
      </c>
      <c r="C820" s="2" t="s">
        <v>883</v>
      </c>
      <c r="D820" t="s">
        <v>1822</v>
      </c>
      <c r="E820" t="s">
        <v>2822</v>
      </c>
      <c r="F820" t="s">
        <v>3533</v>
      </c>
      <c r="G820" t="s">
        <v>4433</v>
      </c>
      <c r="J820" t="s">
        <v>228</v>
      </c>
      <c r="N820">
        <v>59252450</v>
      </c>
    </row>
    <row r="821" spans="1:14" x14ac:dyDescent="0.35">
      <c r="A821">
        <v>11819</v>
      </c>
      <c r="C821" s="2" t="s">
        <v>883</v>
      </c>
      <c r="D821" t="s">
        <v>1823</v>
      </c>
      <c r="E821" t="s">
        <v>2823</v>
      </c>
      <c r="F821" t="s">
        <v>3534</v>
      </c>
      <c r="G821" t="s">
        <v>4434</v>
      </c>
      <c r="J821" t="s">
        <v>228</v>
      </c>
      <c r="N821">
        <v>59252451</v>
      </c>
    </row>
    <row r="822" spans="1:14" x14ac:dyDescent="0.35">
      <c r="A822">
        <v>11820</v>
      </c>
      <c r="C822" s="2" t="s">
        <v>883</v>
      </c>
      <c r="D822" t="s">
        <v>1824</v>
      </c>
      <c r="E822" t="s">
        <v>2824</v>
      </c>
      <c r="F822" t="s">
        <v>3535</v>
      </c>
      <c r="G822" t="s">
        <v>4435</v>
      </c>
      <c r="J822" t="s">
        <v>228</v>
      </c>
      <c r="N822">
        <v>59252452</v>
      </c>
    </row>
    <row r="823" spans="1:14" x14ac:dyDescent="0.35">
      <c r="A823">
        <v>11821</v>
      </c>
      <c r="C823" s="2" t="s">
        <v>883</v>
      </c>
      <c r="D823" t="s">
        <v>1825</v>
      </c>
      <c r="E823" t="s">
        <v>2825</v>
      </c>
      <c r="F823" t="s">
        <v>3536</v>
      </c>
      <c r="G823" t="s">
        <v>4436</v>
      </c>
      <c r="J823" t="s">
        <v>228</v>
      </c>
      <c r="N823">
        <v>59252453</v>
      </c>
    </row>
    <row r="824" spans="1:14" x14ac:dyDescent="0.35">
      <c r="A824">
        <v>11822</v>
      </c>
      <c r="C824" s="2" t="s">
        <v>883</v>
      </c>
      <c r="D824" t="s">
        <v>1826</v>
      </c>
      <c r="E824" t="s">
        <v>2826</v>
      </c>
      <c r="F824" t="s">
        <v>3537</v>
      </c>
      <c r="G824" t="s">
        <v>4437</v>
      </c>
      <c r="J824" t="s">
        <v>228</v>
      </c>
      <c r="N824">
        <v>59252454</v>
      </c>
    </row>
    <row r="825" spans="1:14" x14ac:dyDescent="0.35">
      <c r="A825">
        <v>11823</v>
      </c>
      <c r="C825" s="2" t="s">
        <v>883</v>
      </c>
      <c r="D825" t="s">
        <v>1827</v>
      </c>
      <c r="E825" t="s">
        <v>2827</v>
      </c>
      <c r="F825" t="s">
        <v>3538</v>
      </c>
      <c r="G825" t="s">
        <v>4438</v>
      </c>
      <c r="J825" t="s">
        <v>228</v>
      </c>
      <c r="N825">
        <v>59252455</v>
      </c>
    </row>
    <row r="826" spans="1:14" x14ac:dyDescent="0.35">
      <c r="A826">
        <v>11824</v>
      </c>
      <c r="C826" s="2" t="s">
        <v>883</v>
      </c>
      <c r="D826" t="s">
        <v>1828</v>
      </c>
      <c r="E826" t="s">
        <v>2828</v>
      </c>
      <c r="F826" t="s">
        <v>3539</v>
      </c>
      <c r="G826" t="s">
        <v>4111</v>
      </c>
      <c r="J826" t="s">
        <v>228</v>
      </c>
      <c r="N826">
        <v>59252456</v>
      </c>
    </row>
    <row r="827" spans="1:14" x14ac:dyDescent="0.35">
      <c r="A827">
        <v>11825</v>
      </c>
      <c r="C827" s="2" t="s">
        <v>883</v>
      </c>
      <c r="D827" t="s">
        <v>1829</v>
      </c>
      <c r="E827" t="s">
        <v>2829</v>
      </c>
      <c r="F827" t="s">
        <v>3540</v>
      </c>
      <c r="G827" t="s">
        <v>4439</v>
      </c>
      <c r="J827" t="s">
        <v>228</v>
      </c>
      <c r="N827">
        <v>59252457</v>
      </c>
    </row>
    <row r="828" spans="1:14" x14ac:dyDescent="0.35">
      <c r="A828">
        <v>11826</v>
      </c>
      <c r="C828" s="2" t="s">
        <v>883</v>
      </c>
      <c r="D828" t="s">
        <v>1830</v>
      </c>
      <c r="E828" t="s">
        <v>2830</v>
      </c>
      <c r="F828" t="s">
        <v>3541</v>
      </c>
      <c r="G828" t="s">
        <v>4440</v>
      </c>
      <c r="J828" t="s">
        <v>228</v>
      </c>
      <c r="N828">
        <v>59252458</v>
      </c>
    </row>
    <row r="829" spans="1:14" x14ac:dyDescent="0.35">
      <c r="A829">
        <v>11827</v>
      </c>
      <c r="C829" s="2" t="s">
        <v>883</v>
      </c>
      <c r="D829" t="s">
        <v>1831</v>
      </c>
      <c r="E829" t="s">
        <v>2831</v>
      </c>
      <c r="F829" t="s">
        <v>3542</v>
      </c>
      <c r="G829" t="s">
        <v>4441</v>
      </c>
      <c r="J829" t="s">
        <v>228</v>
      </c>
      <c r="N829">
        <v>59252459</v>
      </c>
    </row>
    <row r="830" spans="1:14" x14ac:dyDescent="0.35">
      <c r="A830">
        <v>11828</v>
      </c>
      <c r="C830" s="2" t="s">
        <v>883</v>
      </c>
      <c r="D830" t="s">
        <v>1832</v>
      </c>
      <c r="E830" t="s">
        <v>2832</v>
      </c>
      <c r="F830" t="s">
        <v>3543</v>
      </c>
      <c r="G830" t="s">
        <v>4442</v>
      </c>
      <c r="J830" t="s">
        <v>228</v>
      </c>
      <c r="N830">
        <v>59252460</v>
      </c>
    </row>
    <row r="831" spans="1:14" x14ac:dyDescent="0.35">
      <c r="A831">
        <v>11829</v>
      </c>
      <c r="C831" s="2" t="s">
        <v>883</v>
      </c>
      <c r="D831" t="s">
        <v>1833</v>
      </c>
      <c r="E831" t="s">
        <v>2833</v>
      </c>
      <c r="F831" t="s">
        <v>3544</v>
      </c>
      <c r="G831" t="s">
        <v>4443</v>
      </c>
      <c r="J831" t="s">
        <v>228</v>
      </c>
      <c r="N831">
        <v>59252461</v>
      </c>
    </row>
    <row r="832" spans="1:14" x14ac:dyDescent="0.35">
      <c r="A832">
        <v>11830</v>
      </c>
      <c r="C832" s="2" t="s">
        <v>883</v>
      </c>
      <c r="D832" t="s">
        <v>1834</v>
      </c>
      <c r="E832" t="s">
        <v>2834</v>
      </c>
      <c r="F832" t="s">
        <v>3545</v>
      </c>
      <c r="G832" t="s">
        <v>4444</v>
      </c>
      <c r="J832" t="s">
        <v>228</v>
      </c>
      <c r="N832">
        <v>59252462</v>
      </c>
    </row>
    <row r="833" spans="1:14" x14ac:dyDescent="0.35">
      <c r="A833">
        <v>11831</v>
      </c>
      <c r="C833" s="2" t="s">
        <v>883</v>
      </c>
      <c r="D833" t="s">
        <v>1835</v>
      </c>
      <c r="E833" t="s">
        <v>2835</v>
      </c>
      <c r="F833" t="s">
        <v>3546</v>
      </c>
      <c r="G833" t="s">
        <v>4445</v>
      </c>
      <c r="J833" t="s">
        <v>228</v>
      </c>
      <c r="N833">
        <v>59252463</v>
      </c>
    </row>
    <row r="834" spans="1:14" x14ac:dyDescent="0.35">
      <c r="A834">
        <v>11832</v>
      </c>
      <c r="C834" s="2" t="s">
        <v>883</v>
      </c>
      <c r="D834" t="s">
        <v>1836</v>
      </c>
      <c r="E834" t="s">
        <v>2836</v>
      </c>
      <c r="F834" t="s">
        <v>3547</v>
      </c>
      <c r="G834" t="s">
        <v>4446</v>
      </c>
      <c r="J834" t="s">
        <v>228</v>
      </c>
      <c r="N834">
        <v>59252464</v>
      </c>
    </row>
    <row r="835" spans="1:14" x14ac:dyDescent="0.35">
      <c r="A835">
        <v>11833</v>
      </c>
      <c r="C835" s="2" t="s">
        <v>883</v>
      </c>
      <c r="D835" t="s">
        <v>1837</v>
      </c>
      <c r="E835" t="s">
        <v>2837</v>
      </c>
      <c r="F835" t="s">
        <v>3548</v>
      </c>
      <c r="G835" t="s">
        <v>4447</v>
      </c>
      <c r="J835" t="s">
        <v>228</v>
      </c>
      <c r="N835">
        <v>59252465</v>
      </c>
    </row>
    <row r="836" spans="1:14" x14ac:dyDescent="0.35">
      <c r="A836">
        <v>11834</v>
      </c>
      <c r="C836" s="2" t="s">
        <v>883</v>
      </c>
      <c r="D836" t="s">
        <v>1838</v>
      </c>
      <c r="E836" t="s">
        <v>2838</v>
      </c>
      <c r="F836" t="s">
        <v>3549</v>
      </c>
      <c r="G836" t="s">
        <v>4448</v>
      </c>
      <c r="J836" t="s">
        <v>228</v>
      </c>
      <c r="N836">
        <v>59252466</v>
      </c>
    </row>
    <row r="837" spans="1:14" x14ac:dyDescent="0.35">
      <c r="A837">
        <v>11835</v>
      </c>
      <c r="C837" s="2" t="s">
        <v>883</v>
      </c>
      <c r="D837" t="s">
        <v>1839</v>
      </c>
      <c r="E837" t="s">
        <v>2839</v>
      </c>
      <c r="F837" t="s">
        <v>3550</v>
      </c>
      <c r="G837" t="s">
        <v>4449</v>
      </c>
      <c r="J837" t="s">
        <v>228</v>
      </c>
      <c r="N837">
        <v>59252467</v>
      </c>
    </row>
    <row r="838" spans="1:14" x14ac:dyDescent="0.35">
      <c r="A838">
        <v>11836</v>
      </c>
      <c r="C838" s="2" t="s">
        <v>883</v>
      </c>
      <c r="D838" t="s">
        <v>1840</v>
      </c>
      <c r="E838" t="s">
        <v>2840</v>
      </c>
      <c r="F838" t="s">
        <v>3551</v>
      </c>
      <c r="G838" t="s">
        <v>4450</v>
      </c>
      <c r="J838" t="s">
        <v>228</v>
      </c>
      <c r="N838">
        <v>59252468</v>
      </c>
    </row>
    <row r="839" spans="1:14" x14ac:dyDescent="0.35">
      <c r="A839">
        <v>11837</v>
      </c>
      <c r="C839" s="2" t="s">
        <v>883</v>
      </c>
      <c r="D839" t="s">
        <v>1841</v>
      </c>
      <c r="E839" t="s">
        <v>2841</v>
      </c>
      <c r="F839" t="s">
        <v>3552</v>
      </c>
      <c r="G839" t="s">
        <v>4451</v>
      </c>
      <c r="J839" t="s">
        <v>228</v>
      </c>
      <c r="N839">
        <v>59252469</v>
      </c>
    </row>
    <row r="840" spans="1:14" x14ac:dyDescent="0.35">
      <c r="A840">
        <v>11838</v>
      </c>
      <c r="C840" s="2" t="s">
        <v>883</v>
      </c>
      <c r="D840" t="s">
        <v>1842</v>
      </c>
      <c r="E840" t="s">
        <v>2842</v>
      </c>
      <c r="F840" t="s">
        <v>3553</v>
      </c>
      <c r="G840" t="s">
        <v>4452</v>
      </c>
      <c r="J840" t="s">
        <v>228</v>
      </c>
      <c r="N840">
        <v>59252470</v>
      </c>
    </row>
    <row r="841" spans="1:14" x14ac:dyDescent="0.35">
      <c r="A841">
        <v>11839</v>
      </c>
      <c r="C841" s="2" t="s">
        <v>883</v>
      </c>
      <c r="D841" t="s">
        <v>1843</v>
      </c>
      <c r="E841" t="s">
        <v>2843</v>
      </c>
      <c r="F841" t="s">
        <v>3554</v>
      </c>
      <c r="G841" t="s">
        <v>4453</v>
      </c>
      <c r="J841" t="s">
        <v>228</v>
      </c>
      <c r="N841">
        <v>59252471</v>
      </c>
    </row>
    <row r="842" spans="1:14" x14ac:dyDescent="0.35">
      <c r="A842">
        <v>11840</v>
      </c>
      <c r="C842" s="2" t="s">
        <v>883</v>
      </c>
      <c r="D842" t="s">
        <v>1844</v>
      </c>
      <c r="E842" t="s">
        <v>2844</v>
      </c>
      <c r="F842" t="s">
        <v>3555</v>
      </c>
      <c r="G842" t="s">
        <v>4454</v>
      </c>
      <c r="J842" t="s">
        <v>228</v>
      </c>
      <c r="N842">
        <v>59252472</v>
      </c>
    </row>
    <row r="843" spans="1:14" x14ac:dyDescent="0.35">
      <c r="A843">
        <v>11841</v>
      </c>
      <c r="C843" s="2" t="s">
        <v>883</v>
      </c>
      <c r="D843" t="s">
        <v>1845</v>
      </c>
      <c r="E843" t="s">
        <v>2845</v>
      </c>
      <c r="F843" t="s">
        <v>3556</v>
      </c>
      <c r="G843" t="s">
        <v>4455</v>
      </c>
      <c r="J843" t="s">
        <v>228</v>
      </c>
      <c r="N843">
        <v>59252473</v>
      </c>
    </row>
    <row r="844" spans="1:14" x14ac:dyDescent="0.35">
      <c r="A844">
        <v>11842</v>
      </c>
      <c r="C844" s="2" t="s">
        <v>883</v>
      </c>
      <c r="D844" t="s">
        <v>1846</v>
      </c>
      <c r="E844" t="s">
        <v>2846</v>
      </c>
      <c r="F844" t="s">
        <v>3557</v>
      </c>
      <c r="G844" t="s">
        <v>4456</v>
      </c>
      <c r="J844" t="s">
        <v>228</v>
      </c>
      <c r="N844">
        <v>59252474</v>
      </c>
    </row>
    <row r="845" spans="1:14" x14ac:dyDescent="0.35">
      <c r="A845">
        <v>11843</v>
      </c>
      <c r="C845" s="2" t="s">
        <v>883</v>
      </c>
      <c r="D845" t="s">
        <v>1847</v>
      </c>
      <c r="E845" t="s">
        <v>2847</v>
      </c>
      <c r="F845" t="s">
        <v>3558</v>
      </c>
      <c r="G845" t="s">
        <v>4457</v>
      </c>
      <c r="J845" t="s">
        <v>228</v>
      </c>
      <c r="N845">
        <v>59252475</v>
      </c>
    </row>
    <row r="846" spans="1:14" x14ac:dyDescent="0.35">
      <c r="A846">
        <v>11844</v>
      </c>
      <c r="C846" s="2" t="s">
        <v>883</v>
      </c>
      <c r="D846" t="s">
        <v>1848</v>
      </c>
      <c r="E846" t="s">
        <v>2848</v>
      </c>
      <c r="F846" t="s">
        <v>3559</v>
      </c>
      <c r="G846" t="s">
        <v>4458</v>
      </c>
      <c r="J846" t="s">
        <v>228</v>
      </c>
      <c r="N846">
        <v>59252476</v>
      </c>
    </row>
    <row r="847" spans="1:14" x14ac:dyDescent="0.35">
      <c r="A847">
        <v>11845</v>
      </c>
      <c r="C847" s="2" t="s">
        <v>883</v>
      </c>
      <c r="D847" t="s">
        <v>1849</v>
      </c>
      <c r="E847" t="s">
        <v>2849</v>
      </c>
      <c r="F847" t="s">
        <v>3560</v>
      </c>
      <c r="G847" t="s">
        <v>4459</v>
      </c>
      <c r="J847" t="s">
        <v>228</v>
      </c>
      <c r="N847">
        <v>59252477</v>
      </c>
    </row>
    <row r="848" spans="1:14" x14ac:dyDescent="0.35">
      <c r="A848">
        <v>11846</v>
      </c>
      <c r="C848" s="2" t="s">
        <v>883</v>
      </c>
      <c r="D848" t="s">
        <v>1850</v>
      </c>
      <c r="E848" t="s">
        <v>2850</v>
      </c>
      <c r="F848" t="s">
        <v>3561</v>
      </c>
      <c r="G848" t="s">
        <v>4460</v>
      </c>
      <c r="J848" t="s">
        <v>228</v>
      </c>
      <c r="N848">
        <v>59252478</v>
      </c>
    </row>
    <row r="849" spans="1:14" x14ac:dyDescent="0.35">
      <c r="A849">
        <v>11847</v>
      </c>
      <c r="C849" s="2" t="s">
        <v>883</v>
      </c>
      <c r="D849" t="s">
        <v>1851</v>
      </c>
      <c r="E849" t="s">
        <v>2851</v>
      </c>
      <c r="F849" t="s">
        <v>3562</v>
      </c>
      <c r="G849" t="s">
        <v>4461</v>
      </c>
      <c r="J849" t="s">
        <v>228</v>
      </c>
      <c r="N849">
        <v>59252479</v>
      </c>
    </row>
    <row r="850" spans="1:14" x14ac:dyDescent="0.35">
      <c r="A850">
        <v>11848</v>
      </c>
      <c r="C850" s="2" t="s">
        <v>883</v>
      </c>
      <c r="D850" t="s">
        <v>1852</v>
      </c>
      <c r="E850" t="s">
        <v>2852</v>
      </c>
      <c r="F850" t="s">
        <v>3563</v>
      </c>
      <c r="G850" t="s">
        <v>4462</v>
      </c>
      <c r="J850" t="s">
        <v>228</v>
      </c>
      <c r="N850">
        <v>59252480</v>
      </c>
    </row>
    <row r="851" spans="1:14" x14ac:dyDescent="0.35">
      <c r="A851">
        <v>11849</v>
      </c>
      <c r="C851" s="2" t="s">
        <v>883</v>
      </c>
      <c r="D851" t="s">
        <v>1853</v>
      </c>
      <c r="E851" t="s">
        <v>2853</v>
      </c>
      <c r="F851" t="s">
        <v>3564</v>
      </c>
      <c r="G851" t="s">
        <v>4463</v>
      </c>
      <c r="J851" t="s">
        <v>228</v>
      </c>
      <c r="N851">
        <v>59252481</v>
      </c>
    </row>
    <row r="852" spans="1:14" x14ac:dyDescent="0.35">
      <c r="A852">
        <v>11850</v>
      </c>
      <c r="C852" s="2" t="s">
        <v>883</v>
      </c>
      <c r="D852" t="s">
        <v>1854</v>
      </c>
      <c r="E852" t="s">
        <v>2854</v>
      </c>
      <c r="F852" t="s">
        <v>3565</v>
      </c>
      <c r="G852" t="s">
        <v>4464</v>
      </c>
      <c r="J852" t="s">
        <v>228</v>
      </c>
      <c r="N852">
        <v>59252482</v>
      </c>
    </row>
    <row r="853" spans="1:14" x14ac:dyDescent="0.35">
      <c r="A853">
        <v>11851</v>
      </c>
      <c r="C853" s="2" t="s">
        <v>883</v>
      </c>
      <c r="D853" t="s">
        <v>1855</v>
      </c>
      <c r="E853" t="s">
        <v>2855</v>
      </c>
      <c r="F853" t="s">
        <v>3566</v>
      </c>
      <c r="G853" t="s">
        <v>4465</v>
      </c>
      <c r="J853" t="s">
        <v>228</v>
      </c>
      <c r="N853">
        <v>59252483</v>
      </c>
    </row>
    <row r="854" spans="1:14" x14ac:dyDescent="0.35">
      <c r="A854">
        <v>11852</v>
      </c>
      <c r="C854" s="2" t="s">
        <v>883</v>
      </c>
      <c r="D854" t="s">
        <v>1856</v>
      </c>
      <c r="E854" t="s">
        <v>2856</v>
      </c>
      <c r="F854" t="s">
        <v>3567</v>
      </c>
      <c r="G854" t="s">
        <v>4466</v>
      </c>
      <c r="J854" t="s">
        <v>228</v>
      </c>
      <c r="N854">
        <v>59252484</v>
      </c>
    </row>
    <row r="855" spans="1:14" x14ac:dyDescent="0.35">
      <c r="A855">
        <v>11853</v>
      </c>
      <c r="C855" s="2" t="s">
        <v>883</v>
      </c>
      <c r="D855" t="s">
        <v>1857</v>
      </c>
      <c r="E855" t="s">
        <v>2857</v>
      </c>
      <c r="F855" t="s">
        <v>3568</v>
      </c>
      <c r="G855" t="s">
        <v>4467</v>
      </c>
      <c r="J855" t="s">
        <v>228</v>
      </c>
      <c r="N855">
        <v>59252485</v>
      </c>
    </row>
    <row r="856" spans="1:14" x14ac:dyDescent="0.35">
      <c r="A856">
        <v>11854</v>
      </c>
      <c r="C856" s="2" t="s">
        <v>883</v>
      </c>
      <c r="D856" t="s">
        <v>1858</v>
      </c>
      <c r="E856" t="s">
        <v>2858</v>
      </c>
      <c r="F856" t="s">
        <v>3569</v>
      </c>
      <c r="G856" t="s">
        <v>4468</v>
      </c>
      <c r="J856" t="s">
        <v>228</v>
      </c>
      <c r="N856">
        <v>59252486</v>
      </c>
    </row>
    <row r="857" spans="1:14" x14ac:dyDescent="0.35">
      <c r="A857">
        <v>11855</v>
      </c>
      <c r="C857" s="2" t="s">
        <v>883</v>
      </c>
      <c r="D857" t="s">
        <v>1859</v>
      </c>
      <c r="E857" t="s">
        <v>2859</v>
      </c>
      <c r="F857" t="s">
        <v>3570</v>
      </c>
      <c r="G857" t="s">
        <v>4469</v>
      </c>
      <c r="J857" t="s">
        <v>228</v>
      </c>
      <c r="N857">
        <v>59252487</v>
      </c>
    </row>
    <row r="858" spans="1:14" x14ac:dyDescent="0.35">
      <c r="A858">
        <v>11856</v>
      </c>
      <c r="C858" s="2" t="s">
        <v>883</v>
      </c>
      <c r="D858" t="s">
        <v>1860</v>
      </c>
      <c r="E858" t="s">
        <v>2860</v>
      </c>
      <c r="F858" t="s">
        <v>3571</v>
      </c>
      <c r="G858" t="s">
        <v>4470</v>
      </c>
      <c r="J858" t="s">
        <v>228</v>
      </c>
      <c r="N858">
        <v>59252488</v>
      </c>
    </row>
    <row r="859" spans="1:14" x14ac:dyDescent="0.35">
      <c r="A859">
        <v>11857</v>
      </c>
      <c r="C859" s="2" t="s">
        <v>883</v>
      </c>
      <c r="D859" t="s">
        <v>1861</v>
      </c>
      <c r="E859" t="s">
        <v>2861</v>
      </c>
      <c r="F859" t="s">
        <v>3572</v>
      </c>
      <c r="G859" t="s">
        <v>4471</v>
      </c>
      <c r="J859" t="s">
        <v>228</v>
      </c>
      <c r="N859">
        <v>59252489</v>
      </c>
    </row>
    <row r="860" spans="1:14" x14ac:dyDescent="0.35">
      <c r="A860">
        <v>11858</v>
      </c>
      <c r="C860" s="2" t="s">
        <v>883</v>
      </c>
      <c r="D860" t="s">
        <v>1862</v>
      </c>
      <c r="E860" t="s">
        <v>2862</v>
      </c>
      <c r="F860" t="s">
        <v>3573</v>
      </c>
      <c r="G860" t="s">
        <v>4472</v>
      </c>
      <c r="J860" t="s">
        <v>228</v>
      </c>
      <c r="N860">
        <v>59252490</v>
      </c>
    </row>
    <row r="861" spans="1:14" x14ac:dyDescent="0.35">
      <c r="A861">
        <v>11859</v>
      </c>
      <c r="C861" s="2" t="s">
        <v>883</v>
      </c>
      <c r="D861" t="s">
        <v>1863</v>
      </c>
      <c r="E861" t="s">
        <v>2863</v>
      </c>
      <c r="F861" t="s">
        <v>3574</v>
      </c>
      <c r="G861" t="s">
        <v>4473</v>
      </c>
      <c r="J861" t="s">
        <v>228</v>
      </c>
      <c r="N861">
        <v>59252491</v>
      </c>
    </row>
    <row r="862" spans="1:14" x14ac:dyDescent="0.35">
      <c r="A862">
        <v>11860</v>
      </c>
      <c r="C862" s="2" t="s">
        <v>883</v>
      </c>
      <c r="D862" t="s">
        <v>1864</v>
      </c>
      <c r="E862" t="s">
        <v>2864</v>
      </c>
      <c r="F862" t="s">
        <v>3575</v>
      </c>
      <c r="G862" t="s">
        <v>4474</v>
      </c>
      <c r="J862" t="s">
        <v>228</v>
      </c>
      <c r="N862">
        <v>59252492</v>
      </c>
    </row>
    <row r="863" spans="1:14" x14ac:dyDescent="0.35">
      <c r="A863">
        <v>11861</v>
      </c>
      <c r="C863" s="2" t="s">
        <v>883</v>
      </c>
      <c r="D863" t="s">
        <v>1865</v>
      </c>
      <c r="E863" t="s">
        <v>2865</v>
      </c>
      <c r="F863" t="s">
        <v>3576</v>
      </c>
      <c r="G863" t="s">
        <v>4475</v>
      </c>
      <c r="J863" t="s">
        <v>228</v>
      </c>
      <c r="N863">
        <v>59252493</v>
      </c>
    </row>
    <row r="864" spans="1:14" x14ac:dyDescent="0.35">
      <c r="A864">
        <v>11862</v>
      </c>
      <c r="C864" s="2" t="s">
        <v>883</v>
      </c>
      <c r="D864" t="s">
        <v>1866</v>
      </c>
      <c r="E864" t="s">
        <v>2866</v>
      </c>
      <c r="F864" t="s">
        <v>3577</v>
      </c>
      <c r="G864" t="s">
        <v>4476</v>
      </c>
      <c r="J864" t="s">
        <v>228</v>
      </c>
      <c r="N864">
        <v>59252494</v>
      </c>
    </row>
    <row r="865" spans="1:14" x14ac:dyDescent="0.35">
      <c r="A865">
        <v>11863</v>
      </c>
      <c r="C865" s="2" t="s">
        <v>883</v>
      </c>
      <c r="D865" t="s">
        <v>1867</v>
      </c>
      <c r="E865" t="s">
        <v>2867</v>
      </c>
      <c r="F865" t="s">
        <v>3578</v>
      </c>
      <c r="G865" t="s">
        <v>4477</v>
      </c>
      <c r="J865" t="s">
        <v>228</v>
      </c>
      <c r="N865">
        <v>59252495</v>
      </c>
    </row>
    <row r="866" spans="1:14" x14ac:dyDescent="0.35">
      <c r="A866">
        <v>11864</v>
      </c>
      <c r="C866" s="2" t="s">
        <v>883</v>
      </c>
      <c r="D866" t="s">
        <v>1868</v>
      </c>
      <c r="E866" t="s">
        <v>2868</v>
      </c>
      <c r="F866" t="s">
        <v>3579</v>
      </c>
      <c r="G866" t="s">
        <v>4478</v>
      </c>
      <c r="J866" t="s">
        <v>228</v>
      </c>
      <c r="N866">
        <v>59252496</v>
      </c>
    </row>
    <row r="867" spans="1:14" x14ac:dyDescent="0.35">
      <c r="A867">
        <v>11865</v>
      </c>
      <c r="C867" s="2" t="s">
        <v>883</v>
      </c>
      <c r="D867" t="s">
        <v>1869</v>
      </c>
      <c r="E867" t="s">
        <v>2869</v>
      </c>
      <c r="F867" t="s">
        <v>3580</v>
      </c>
      <c r="G867" t="s">
        <v>4479</v>
      </c>
      <c r="J867" t="s">
        <v>228</v>
      </c>
      <c r="N867">
        <v>59252497</v>
      </c>
    </row>
    <row r="868" spans="1:14" x14ac:dyDescent="0.35">
      <c r="A868">
        <v>11866</v>
      </c>
      <c r="C868" s="2" t="s">
        <v>883</v>
      </c>
      <c r="D868" t="s">
        <v>1870</v>
      </c>
      <c r="E868" t="s">
        <v>2870</v>
      </c>
      <c r="F868" t="s">
        <v>3581</v>
      </c>
      <c r="G868" t="s">
        <v>4480</v>
      </c>
      <c r="J868" t="s">
        <v>228</v>
      </c>
      <c r="N868">
        <v>59252498</v>
      </c>
    </row>
    <row r="869" spans="1:14" x14ac:dyDescent="0.35">
      <c r="A869">
        <v>11867</v>
      </c>
      <c r="C869" s="2" t="s">
        <v>883</v>
      </c>
      <c r="D869" t="s">
        <v>1871</v>
      </c>
      <c r="E869" t="s">
        <v>2871</v>
      </c>
      <c r="F869" t="s">
        <v>3582</v>
      </c>
      <c r="G869" t="s">
        <v>4481</v>
      </c>
      <c r="J869" t="s">
        <v>228</v>
      </c>
      <c r="N869">
        <v>59252499</v>
      </c>
    </row>
    <row r="870" spans="1:14" x14ac:dyDescent="0.35">
      <c r="A870">
        <v>11868</v>
      </c>
      <c r="C870" s="2" t="s">
        <v>883</v>
      </c>
      <c r="D870" t="s">
        <v>1872</v>
      </c>
      <c r="E870" t="s">
        <v>2872</v>
      </c>
      <c r="F870" t="s">
        <v>3583</v>
      </c>
      <c r="G870" t="s">
        <v>4482</v>
      </c>
      <c r="J870" t="s">
        <v>228</v>
      </c>
      <c r="N870">
        <v>59252500</v>
      </c>
    </row>
    <row r="871" spans="1:14" x14ac:dyDescent="0.35">
      <c r="A871">
        <v>11869</v>
      </c>
      <c r="C871" s="2" t="s">
        <v>883</v>
      </c>
      <c r="D871" t="s">
        <v>1873</v>
      </c>
      <c r="E871" t="s">
        <v>2873</v>
      </c>
      <c r="F871" t="s">
        <v>3584</v>
      </c>
      <c r="G871" t="s">
        <v>4483</v>
      </c>
      <c r="J871" t="s">
        <v>228</v>
      </c>
      <c r="N871">
        <v>59252501</v>
      </c>
    </row>
    <row r="872" spans="1:14" x14ac:dyDescent="0.35">
      <c r="A872">
        <v>11870</v>
      </c>
      <c r="C872" s="2" t="s">
        <v>883</v>
      </c>
      <c r="D872" t="s">
        <v>1874</v>
      </c>
      <c r="E872" t="s">
        <v>2874</v>
      </c>
      <c r="F872" t="s">
        <v>3585</v>
      </c>
      <c r="G872" t="s">
        <v>4484</v>
      </c>
      <c r="J872" t="s">
        <v>228</v>
      </c>
      <c r="N872">
        <v>59252502</v>
      </c>
    </row>
    <row r="873" spans="1:14" x14ac:dyDescent="0.35">
      <c r="A873">
        <v>11871</v>
      </c>
      <c r="C873" s="2" t="s">
        <v>883</v>
      </c>
      <c r="D873" t="s">
        <v>1875</v>
      </c>
      <c r="E873" t="s">
        <v>2875</v>
      </c>
      <c r="F873" t="s">
        <v>3586</v>
      </c>
      <c r="G873" t="s">
        <v>4485</v>
      </c>
      <c r="J873" t="s">
        <v>228</v>
      </c>
      <c r="N873">
        <v>59252503</v>
      </c>
    </row>
    <row r="874" spans="1:14" x14ac:dyDescent="0.35">
      <c r="A874">
        <v>11872</v>
      </c>
      <c r="C874" s="2" t="s">
        <v>883</v>
      </c>
      <c r="D874" t="s">
        <v>1876</v>
      </c>
      <c r="E874" t="s">
        <v>2876</v>
      </c>
      <c r="F874" t="s">
        <v>3587</v>
      </c>
      <c r="G874" t="s">
        <v>4486</v>
      </c>
      <c r="J874" t="s">
        <v>228</v>
      </c>
      <c r="N874">
        <v>59252504</v>
      </c>
    </row>
    <row r="875" spans="1:14" x14ac:dyDescent="0.35">
      <c r="A875">
        <v>11873</v>
      </c>
      <c r="C875" s="2" t="s">
        <v>883</v>
      </c>
      <c r="D875" t="s">
        <v>1877</v>
      </c>
      <c r="E875" t="s">
        <v>2877</v>
      </c>
      <c r="F875" t="s">
        <v>3588</v>
      </c>
      <c r="G875" t="s">
        <v>4487</v>
      </c>
      <c r="J875" t="s">
        <v>228</v>
      </c>
      <c r="N875">
        <v>59252505</v>
      </c>
    </row>
    <row r="876" spans="1:14" x14ac:dyDescent="0.35">
      <c r="A876">
        <v>11874</v>
      </c>
      <c r="C876" s="2" t="s">
        <v>883</v>
      </c>
      <c r="D876" t="s">
        <v>1878</v>
      </c>
      <c r="E876" t="s">
        <v>2878</v>
      </c>
      <c r="F876" t="s">
        <v>3589</v>
      </c>
      <c r="G876" t="s">
        <v>4488</v>
      </c>
      <c r="J876" t="s">
        <v>228</v>
      </c>
      <c r="N876">
        <v>59252506</v>
      </c>
    </row>
    <row r="877" spans="1:14" x14ac:dyDescent="0.35">
      <c r="A877">
        <v>11875</v>
      </c>
      <c r="C877" s="2" t="s">
        <v>883</v>
      </c>
      <c r="D877" t="s">
        <v>1879</v>
      </c>
      <c r="E877" t="s">
        <v>2879</v>
      </c>
      <c r="F877" t="s">
        <v>3590</v>
      </c>
      <c r="G877" t="s">
        <v>4489</v>
      </c>
      <c r="J877" t="s">
        <v>228</v>
      </c>
      <c r="N877">
        <v>59252507</v>
      </c>
    </row>
    <row r="878" spans="1:14" x14ac:dyDescent="0.35">
      <c r="A878">
        <v>11876</v>
      </c>
      <c r="C878" s="2" t="s">
        <v>883</v>
      </c>
      <c r="D878" t="s">
        <v>1880</v>
      </c>
      <c r="E878" t="s">
        <v>2880</v>
      </c>
      <c r="F878" t="s">
        <v>3591</v>
      </c>
      <c r="G878" t="s">
        <v>4490</v>
      </c>
      <c r="J878" t="s">
        <v>228</v>
      </c>
      <c r="N878">
        <v>59252508</v>
      </c>
    </row>
    <row r="879" spans="1:14" x14ac:dyDescent="0.35">
      <c r="A879">
        <v>11877</v>
      </c>
      <c r="C879" s="2" t="s">
        <v>883</v>
      </c>
      <c r="D879" t="s">
        <v>1881</v>
      </c>
      <c r="E879" t="s">
        <v>2881</v>
      </c>
      <c r="F879" t="s">
        <v>3592</v>
      </c>
      <c r="G879" t="s">
        <v>4491</v>
      </c>
      <c r="J879" t="s">
        <v>228</v>
      </c>
      <c r="N879">
        <v>59252509</v>
      </c>
    </row>
    <row r="880" spans="1:14" x14ac:dyDescent="0.35">
      <c r="A880">
        <v>11878</v>
      </c>
      <c r="C880" s="2" t="s">
        <v>883</v>
      </c>
      <c r="D880" t="s">
        <v>1882</v>
      </c>
      <c r="E880" t="s">
        <v>2882</v>
      </c>
      <c r="F880" t="s">
        <v>3593</v>
      </c>
      <c r="G880" t="s">
        <v>4492</v>
      </c>
      <c r="J880" t="s">
        <v>228</v>
      </c>
      <c r="N880">
        <v>59252510</v>
      </c>
    </row>
    <row r="881" spans="1:14" x14ac:dyDescent="0.35">
      <c r="A881">
        <v>11879</v>
      </c>
      <c r="C881" s="2" t="s">
        <v>883</v>
      </c>
      <c r="D881" t="s">
        <v>1883</v>
      </c>
      <c r="E881" t="s">
        <v>2883</v>
      </c>
      <c r="F881" t="s">
        <v>3594</v>
      </c>
      <c r="G881" t="s">
        <v>4493</v>
      </c>
      <c r="J881" t="s">
        <v>228</v>
      </c>
      <c r="N881">
        <v>59252511</v>
      </c>
    </row>
    <row r="882" spans="1:14" x14ac:dyDescent="0.35">
      <c r="A882">
        <v>11880</v>
      </c>
      <c r="C882" s="2" t="s">
        <v>883</v>
      </c>
      <c r="D882" t="s">
        <v>1884</v>
      </c>
      <c r="E882" t="s">
        <v>2884</v>
      </c>
      <c r="F882" t="s">
        <v>3595</v>
      </c>
      <c r="G882" t="s">
        <v>4494</v>
      </c>
      <c r="J882" t="s">
        <v>228</v>
      </c>
      <c r="N882">
        <v>59252512</v>
      </c>
    </row>
    <row r="883" spans="1:14" x14ac:dyDescent="0.35">
      <c r="A883">
        <v>11881</v>
      </c>
      <c r="C883" s="2" t="s">
        <v>883</v>
      </c>
      <c r="D883" t="s">
        <v>1885</v>
      </c>
      <c r="E883" t="s">
        <v>2885</v>
      </c>
      <c r="F883" t="s">
        <v>3596</v>
      </c>
      <c r="G883" t="s">
        <v>4495</v>
      </c>
      <c r="J883" t="s">
        <v>228</v>
      </c>
      <c r="N883">
        <v>59252513</v>
      </c>
    </row>
    <row r="884" spans="1:14" x14ac:dyDescent="0.35">
      <c r="A884">
        <v>11882</v>
      </c>
      <c r="C884" s="2" t="s">
        <v>883</v>
      </c>
      <c r="D884" t="s">
        <v>1886</v>
      </c>
      <c r="E884" t="s">
        <v>2886</v>
      </c>
      <c r="F884" t="s">
        <v>3597</v>
      </c>
      <c r="G884" t="s">
        <v>4496</v>
      </c>
      <c r="J884" t="s">
        <v>228</v>
      </c>
      <c r="N884">
        <v>59252514</v>
      </c>
    </row>
    <row r="885" spans="1:14" x14ac:dyDescent="0.35">
      <c r="A885">
        <v>11883</v>
      </c>
      <c r="C885" s="2" t="s">
        <v>883</v>
      </c>
      <c r="D885" t="s">
        <v>1887</v>
      </c>
      <c r="E885" t="s">
        <v>2887</v>
      </c>
      <c r="F885" t="s">
        <v>3598</v>
      </c>
      <c r="G885" t="s">
        <v>4497</v>
      </c>
      <c r="J885" t="s">
        <v>228</v>
      </c>
      <c r="N885">
        <v>59252515</v>
      </c>
    </row>
    <row r="886" spans="1:14" x14ac:dyDescent="0.35">
      <c r="A886">
        <v>11884</v>
      </c>
      <c r="C886" s="2" t="s">
        <v>883</v>
      </c>
      <c r="D886" t="s">
        <v>1888</v>
      </c>
      <c r="E886" t="s">
        <v>2888</v>
      </c>
      <c r="F886" t="s">
        <v>3599</v>
      </c>
      <c r="G886" t="s">
        <v>4498</v>
      </c>
      <c r="J886" t="s">
        <v>228</v>
      </c>
      <c r="N886">
        <v>59252516</v>
      </c>
    </row>
    <row r="887" spans="1:14" x14ac:dyDescent="0.35">
      <c r="A887">
        <v>11885</v>
      </c>
      <c r="C887" s="2" t="s">
        <v>883</v>
      </c>
      <c r="D887" t="s">
        <v>1889</v>
      </c>
      <c r="E887" t="s">
        <v>2889</v>
      </c>
      <c r="F887" t="s">
        <v>3600</v>
      </c>
      <c r="G887" t="s">
        <v>4499</v>
      </c>
      <c r="J887" t="s">
        <v>228</v>
      </c>
      <c r="N887">
        <v>59252517</v>
      </c>
    </row>
    <row r="888" spans="1:14" x14ac:dyDescent="0.35">
      <c r="A888">
        <v>11886</v>
      </c>
      <c r="C888" s="2" t="s">
        <v>883</v>
      </c>
      <c r="D888" t="s">
        <v>1890</v>
      </c>
      <c r="E888" t="s">
        <v>2890</v>
      </c>
      <c r="F888" t="s">
        <v>3601</v>
      </c>
      <c r="G888" t="s">
        <v>4500</v>
      </c>
      <c r="J888" t="s">
        <v>228</v>
      </c>
      <c r="N888">
        <v>59252518</v>
      </c>
    </row>
    <row r="889" spans="1:14" x14ac:dyDescent="0.35">
      <c r="A889">
        <v>11887</v>
      </c>
      <c r="C889" s="2" t="s">
        <v>883</v>
      </c>
      <c r="D889" t="s">
        <v>1891</v>
      </c>
      <c r="E889" t="s">
        <v>2891</v>
      </c>
      <c r="F889" t="s">
        <v>3602</v>
      </c>
      <c r="G889" t="s">
        <v>4501</v>
      </c>
      <c r="J889" t="s">
        <v>228</v>
      </c>
      <c r="N889">
        <v>59252519</v>
      </c>
    </row>
    <row r="890" spans="1:14" x14ac:dyDescent="0.35">
      <c r="A890">
        <v>11888</v>
      </c>
      <c r="C890" s="2" t="s">
        <v>883</v>
      </c>
      <c r="D890" t="s">
        <v>1892</v>
      </c>
      <c r="E890" t="s">
        <v>2892</v>
      </c>
      <c r="F890" t="s">
        <v>3095</v>
      </c>
      <c r="G890" t="s">
        <v>4502</v>
      </c>
      <c r="J890" t="s">
        <v>228</v>
      </c>
      <c r="N890">
        <v>59252520</v>
      </c>
    </row>
    <row r="891" spans="1:14" x14ac:dyDescent="0.35">
      <c r="A891">
        <v>11889</v>
      </c>
      <c r="C891" s="2" t="s">
        <v>883</v>
      </c>
      <c r="D891" t="s">
        <v>1893</v>
      </c>
      <c r="E891" t="s">
        <v>2893</v>
      </c>
      <c r="F891" t="s">
        <v>3603</v>
      </c>
      <c r="G891" t="s">
        <v>4503</v>
      </c>
      <c r="J891" t="s">
        <v>228</v>
      </c>
      <c r="N891">
        <v>59252521</v>
      </c>
    </row>
    <row r="892" spans="1:14" x14ac:dyDescent="0.35">
      <c r="A892">
        <v>11890</v>
      </c>
      <c r="C892" s="2" t="s">
        <v>883</v>
      </c>
      <c r="D892" t="s">
        <v>1894</v>
      </c>
      <c r="E892" t="s">
        <v>2894</v>
      </c>
      <c r="F892" t="s">
        <v>3604</v>
      </c>
      <c r="G892" t="s">
        <v>4504</v>
      </c>
      <c r="J892" t="s">
        <v>228</v>
      </c>
      <c r="N892">
        <v>59252522</v>
      </c>
    </row>
    <row r="893" spans="1:14" x14ac:dyDescent="0.35">
      <c r="A893">
        <v>11891</v>
      </c>
      <c r="C893" s="2" t="s">
        <v>883</v>
      </c>
      <c r="D893" t="s">
        <v>1895</v>
      </c>
      <c r="E893" t="s">
        <v>2895</v>
      </c>
      <c r="F893" t="s">
        <v>3605</v>
      </c>
      <c r="G893" t="s">
        <v>4505</v>
      </c>
      <c r="J893" t="s">
        <v>228</v>
      </c>
      <c r="N893">
        <v>59252523</v>
      </c>
    </row>
    <row r="894" spans="1:14" x14ac:dyDescent="0.35">
      <c r="A894">
        <v>11892</v>
      </c>
      <c r="C894" s="2" t="s">
        <v>883</v>
      </c>
      <c r="D894" t="s">
        <v>1896</v>
      </c>
      <c r="E894" t="s">
        <v>2896</v>
      </c>
      <c r="F894" t="s">
        <v>3300</v>
      </c>
      <c r="G894" t="s">
        <v>4506</v>
      </c>
      <c r="J894" t="s">
        <v>228</v>
      </c>
      <c r="N894">
        <v>59252524</v>
      </c>
    </row>
    <row r="895" spans="1:14" x14ac:dyDescent="0.35">
      <c r="A895">
        <v>11893</v>
      </c>
      <c r="C895" s="2" t="s">
        <v>883</v>
      </c>
      <c r="D895" t="s">
        <v>1897</v>
      </c>
      <c r="E895" t="s">
        <v>2897</v>
      </c>
      <c r="F895" t="s">
        <v>3068</v>
      </c>
      <c r="G895" t="s">
        <v>4452</v>
      </c>
      <c r="J895" t="s">
        <v>228</v>
      </c>
      <c r="N895">
        <v>59252525</v>
      </c>
    </row>
    <row r="896" spans="1:14" x14ac:dyDescent="0.35">
      <c r="A896">
        <v>11894</v>
      </c>
      <c r="C896" s="2" t="s">
        <v>883</v>
      </c>
      <c r="D896" t="s">
        <v>1898</v>
      </c>
      <c r="E896" t="s">
        <v>2898</v>
      </c>
      <c r="F896" t="s">
        <v>3286</v>
      </c>
      <c r="G896" t="s">
        <v>4507</v>
      </c>
      <c r="J896" t="s">
        <v>228</v>
      </c>
      <c r="N896">
        <v>59252526</v>
      </c>
    </row>
    <row r="897" spans="1:14" x14ac:dyDescent="0.35">
      <c r="A897">
        <v>11895</v>
      </c>
      <c r="C897" s="2" t="s">
        <v>883</v>
      </c>
      <c r="D897" t="s">
        <v>1899</v>
      </c>
      <c r="E897" t="s">
        <v>2899</v>
      </c>
      <c r="F897" t="s">
        <v>3293</v>
      </c>
      <c r="G897" t="s">
        <v>4508</v>
      </c>
      <c r="J897" t="s">
        <v>228</v>
      </c>
      <c r="N897">
        <v>59252527</v>
      </c>
    </row>
    <row r="898" spans="1:14" x14ac:dyDescent="0.35">
      <c r="A898">
        <v>11896</v>
      </c>
      <c r="C898" s="2" t="s">
        <v>883</v>
      </c>
      <c r="D898" t="s">
        <v>1900</v>
      </c>
      <c r="E898" t="s">
        <v>2900</v>
      </c>
      <c r="F898" t="s">
        <v>3305</v>
      </c>
      <c r="G898" t="s">
        <v>4509</v>
      </c>
      <c r="J898" t="s">
        <v>228</v>
      </c>
      <c r="N898">
        <v>59252528</v>
      </c>
    </row>
    <row r="899" spans="1:14" x14ac:dyDescent="0.35">
      <c r="A899">
        <v>11897</v>
      </c>
      <c r="C899" s="2" t="s">
        <v>883</v>
      </c>
      <c r="D899" t="s">
        <v>1901</v>
      </c>
      <c r="E899" t="s">
        <v>2901</v>
      </c>
      <c r="F899" t="s">
        <v>3006</v>
      </c>
      <c r="G899" t="s">
        <v>4510</v>
      </c>
      <c r="J899" t="s">
        <v>228</v>
      </c>
      <c r="N899">
        <v>59252529</v>
      </c>
    </row>
    <row r="900" spans="1:14" x14ac:dyDescent="0.35">
      <c r="A900">
        <v>11898</v>
      </c>
      <c r="C900" s="2" t="s">
        <v>883</v>
      </c>
      <c r="D900" t="s">
        <v>1902</v>
      </c>
      <c r="E900" t="s">
        <v>2902</v>
      </c>
      <c r="F900" t="s">
        <v>3286</v>
      </c>
      <c r="G900" t="s">
        <v>4511</v>
      </c>
      <c r="J900" t="s">
        <v>228</v>
      </c>
      <c r="N900">
        <v>59252530</v>
      </c>
    </row>
    <row r="901" spans="1:14" x14ac:dyDescent="0.35">
      <c r="A901">
        <v>11899</v>
      </c>
      <c r="C901" s="2" t="s">
        <v>883</v>
      </c>
      <c r="D901" t="s">
        <v>1903</v>
      </c>
      <c r="E901" t="s">
        <v>2903</v>
      </c>
      <c r="F901" t="s">
        <v>3049</v>
      </c>
      <c r="G901" t="s">
        <v>4512</v>
      </c>
      <c r="J901" t="s">
        <v>228</v>
      </c>
      <c r="N901">
        <v>59252531</v>
      </c>
    </row>
    <row r="902" spans="1:14" x14ac:dyDescent="0.35">
      <c r="A902">
        <v>11900</v>
      </c>
      <c r="C902" s="2" t="s">
        <v>883</v>
      </c>
      <c r="D902" t="s">
        <v>1904</v>
      </c>
      <c r="E902" t="s">
        <v>2904</v>
      </c>
      <c r="F902" t="s">
        <v>3081</v>
      </c>
      <c r="G902" t="s">
        <v>4513</v>
      </c>
      <c r="J902" t="s">
        <v>228</v>
      </c>
      <c r="N902">
        <v>59252532</v>
      </c>
    </row>
    <row r="903" spans="1:14" x14ac:dyDescent="0.35">
      <c r="A903">
        <v>11901</v>
      </c>
      <c r="C903" s="2" t="s">
        <v>883</v>
      </c>
      <c r="D903" t="s">
        <v>1905</v>
      </c>
      <c r="E903" t="s">
        <v>2905</v>
      </c>
      <c r="F903" t="s">
        <v>3304</v>
      </c>
      <c r="G903" t="s">
        <v>4514</v>
      </c>
      <c r="J903" t="s">
        <v>228</v>
      </c>
      <c r="N903">
        <v>59252533</v>
      </c>
    </row>
    <row r="904" spans="1:14" x14ac:dyDescent="0.35">
      <c r="A904">
        <v>11902</v>
      </c>
      <c r="C904" s="2" t="s">
        <v>883</v>
      </c>
      <c r="D904" t="s">
        <v>1906</v>
      </c>
      <c r="E904" t="s">
        <v>2906</v>
      </c>
      <c r="F904" t="s">
        <v>3008</v>
      </c>
      <c r="G904" t="s">
        <v>4515</v>
      </c>
      <c r="J904" t="s">
        <v>228</v>
      </c>
      <c r="N904">
        <v>59252534</v>
      </c>
    </row>
    <row r="905" spans="1:14" x14ac:dyDescent="0.35">
      <c r="A905">
        <v>11903</v>
      </c>
      <c r="C905" s="2" t="s">
        <v>883</v>
      </c>
      <c r="D905" t="s">
        <v>1907</v>
      </c>
      <c r="E905" t="s">
        <v>2907</v>
      </c>
      <c r="F905" t="s">
        <v>3085</v>
      </c>
      <c r="G905" t="s">
        <v>4516</v>
      </c>
      <c r="J905" t="s">
        <v>228</v>
      </c>
      <c r="N905">
        <v>59252535</v>
      </c>
    </row>
    <row r="906" spans="1:14" x14ac:dyDescent="0.35">
      <c r="A906">
        <v>11904</v>
      </c>
      <c r="C906" s="2" t="s">
        <v>883</v>
      </c>
      <c r="D906" t="s">
        <v>1908</v>
      </c>
      <c r="E906" t="s">
        <v>2908</v>
      </c>
      <c r="F906" t="s">
        <v>3606</v>
      </c>
      <c r="G906" t="s">
        <v>4517</v>
      </c>
      <c r="J906" t="s">
        <v>228</v>
      </c>
      <c r="N906">
        <v>59252536</v>
      </c>
    </row>
    <row r="907" spans="1:14" x14ac:dyDescent="0.35">
      <c r="A907">
        <v>11905</v>
      </c>
      <c r="C907" s="2" t="s">
        <v>883</v>
      </c>
      <c r="D907" t="s">
        <v>1909</v>
      </c>
      <c r="E907" t="s">
        <v>2909</v>
      </c>
      <c r="F907" t="s">
        <v>3031</v>
      </c>
      <c r="G907" t="s">
        <v>4518</v>
      </c>
      <c r="J907" t="s">
        <v>228</v>
      </c>
      <c r="N907">
        <v>59252537</v>
      </c>
    </row>
    <row r="908" spans="1:14" x14ac:dyDescent="0.35">
      <c r="A908">
        <v>11906</v>
      </c>
      <c r="C908" s="2" t="s">
        <v>883</v>
      </c>
      <c r="D908" t="s">
        <v>1910</v>
      </c>
      <c r="E908" t="s">
        <v>2910</v>
      </c>
      <c r="F908" t="s">
        <v>3081</v>
      </c>
      <c r="G908" t="s">
        <v>4519</v>
      </c>
      <c r="J908" t="s">
        <v>228</v>
      </c>
      <c r="N908">
        <v>59252538</v>
      </c>
    </row>
    <row r="909" spans="1:14" x14ac:dyDescent="0.35">
      <c r="A909">
        <v>11907</v>
      </c>
      <c r="C909" s="2" t="s">
        <v>883</v>
      </c>
      <c r="D909" t="s">
        <v>1911</v>
      </c>
      <c r="E909" t="s">
        <v>2911</v>
      </c>
      <c r="F909" t="s">
        <v>3060</v>
      </c>
      <c r="G909" t="s">
        <v>4520</v>
      </c>
      <c r="J909" t="s">
        <v>228</v>
      </c>
      <c r="N909">
        <v>59252539</v>
      </c>
    </row>
    <row r="910" spans="1:14" x14ac:dyDescent="0.35">
      <c r="A910">
        <v>11908</v>
      </c>
      <c r="C910" s="2" t="s">
        <v>883</v>
      </c>
      <c r="D910" t="s">
        <v>1912</v>
      </c>
      <c r="E910" t="s">
        <v>2912</v>
      </c>
      <c r="F910" t="s">
        <v>3082</v>
      </c>
      <c r="G910" t="s">
        <v>4521</v>
      </c>
      <c r="J910" t="s">
        <v>228</v>
      </c>
      <c r="N910">
        <v>59252540</v>
      </c>
    </row>
    <row r="911" spans="1:14" x14ac:dyDescent="0.35">
      <c r="A911">
        <v>11909</v>
      </c>
      <c r="C911" s="2" t="s">
        <v>883</v>
      </c>
      <c r="D911" t="s">
        <v>1913</v>
      </c>
      <c r="E911" t="s">
        <v>2913</v>
      </c>
      <c r="F911" t="s">
        <v>3045</v>
      </c>
      <c r="G911" t="s">
        <v>4522</v>
      </c>
      <c r="J911" t="s">
        <v>228</v>
      </c>
      <c r="N911">
        <v>59252541</v>
      </c>
    </row>
    <row r="912" spans="1:14" x14ac:dyDescent="0.35">
      <c r="A912">
        <v>11910</v>
      </c>
      <c r="C912" s="2" t="s">
        <v>883</v>
      </c>
      <c r="D912" t="s">
        <v>1914</v>
      </c>
      <c r="E912" t="s">
        <v>2914</v>
      </c>
      <c r="F912" t="s">
        <v>3012</v>
      </c>
      <c r="G912" t="s">
        <v>4523</v>
      </c>
      <c r="J912" t="s">
        <v>228</v>
      </c>
      <c r="N912">
        <v>59252542</v>
      </c>
    </row>
    <row r="913" spans="1:14" x14ac:dyDescent="0.35">
      <c r="A913">
        <v>11911</v>
      </c>
      <c r="C913" s="2" t="s">
        <v>883</v>
      </c>
      <c r="D913" t="s">
        <v>1915</v>
      </c>
      <c r="E913" t="s">
        <v>2915</v>
      </c>
      <c r="F913" t="s">
        <v>3050</v>
      </c>
      <c r="G913" t="s">
        <v>4524</v>
      </c>
      <c r="J913" t="s">
        <v>228</v>
      </c>
      <c r="N913">
        <v>59252543</v>
      </c>
    </row>
    <row r="914" spans="1:14" x14ac:dyDescent="0.35">
      <c r="A914">
        <v>11912</v>
      </c>
      <c r="C914" s="2" t="s">
        <v>883</v>
      </c>
      <c r="D914" t="s">
        <v>1916</v>
      </c>
      <c r="E914" t="s">
        <v>2916</v>
      </c>
      <c r="F914" t="s">
        <v>3293</v>
      </c>
      <c r="G914" t="s">
        <v>4525</v>
      </c>
      <c r="J914" t="s">
        <v>228</v>
      </c>
      <c r="N914">
        <v>59252544</v>
      </c>
    </row>
    <row r="915" spans="1:14" x14ac:dyDescent="0.35">
      <c r="A915">
        <v>11913</v>
      </c>
      <c r="C915" s="2" t="s">
        <v>883</v>
      </c>
      <c r="D915" t="s">
        <v>1917</v>
      </c>
      <c r="E915" t="s">
        <v>2917</v>
      </c>
      <c r="F915" t="s">
        <v>3607</v>
      </c>
      <c r="G915" t="s">
        <v>4526</v>
      </c>
      <c r="J915" t="s">
        <v>228</v>
      </c>
      <c r="N915">
        <v>59252545</v>
      </c>
    </row>
    <row r="916" spans="1:14" x14ac:dyDescent="0.35">
      <c r="A916">
        <v>11914</v>
      </c>
      <c r="C916" s="2" t="s">
        <v>883</v>
      </c>
      <c r="D916" t="s">
        <v>1918</v>
      </c>
      <c r="E916" t="s">
        <v>2918</v>
      </c>
      <c r="F916" t="s">
        <v>3286</v>
      </c>
      <c r="G916" t="s">
        <v>4527</v>
      </c>
      <c r="J916" t="s">
        <v>228</v>
      </c>
      <c r="N916">
        <v>59252546</v>
      </c>
    </row>
    <row r="917" spans="1:14" x14ac:dyDescent="0.35">
      <c r="A917">
        <v>11915</v>
      </c>
      <c r="C917" s="2" t="s">
        <v>883</v>
      </c>
      <c r="D917" t="s">
        <v>1919</v>
      </c>
      <c r="E917" t="s">
        <v>2919</v>
      </c>
      <c r="F917" t="s">
        <v>3005</v>
      </c>
      <c r="G917" t="s">
        <v>4528</v>
      </c>
      <c r="J917" t="s">
        <v>228</v>
      </c>
      <c r="N917">
        <v>59252547</v>
      </c>
    </row>
    <row r="918" spans="1:14" x14ac:dyDescent="0.35">
      <c r="A918">
        <v>11916</v>
      </c>
      <c r="C918" s="2" t="s">
        <v>883</v>
      </c>
      <c r="D918" t="s">
        <v>1920</v>
      </c>
      <c r="E918" t="s">
        <v>2920</v>
      </c>
      <c r="F918" t="s">
        <v>3031</v>
      </c>
      <c r="G918" t="s">
        <v>4361</v>
      </c>
      <c r="J918" t="s">
        <v>228</v>
      </c>
      <c r="N918">
        <v>59252548</v>
      </c>
    </row>
    <row r="919" spans="1:14" x14ac:dyDescent="0.35">
      <c r="A919">
        <v>11917</v>
      </c>
      <c r="C919" s="2" t="s">
        <v>883</v>
      </c>
      <c r="D919" t="s">
        <v>1921</v>
      </c>
      <c r="E919" t="s">
        <v>2921</v>
      </c>
      <c r="F919" t="s">
        <v>3301</v>
      </c>
      <c r="G919" t="s">
        <v>4529</v>
      </c>
      <c r="J919" t="s">
        <v>228</v>
      </c>
      <c r="N919">
        <v>59252549</v>
      </c>
    </row>
    <row r="920" spans="1:14" x14ac:dyDescent="0.35">
      <c r="A920">
        <v>11918</v>
      </c>
      <c r="C920" s="2" t="s">
        <v>883</v>
      </c>
      <c r="D920" t="s">
        <v>1922</v>
      </c>
      <c r="E920" t="s">
        <v>2922</v>
      </c>
      <c r="F920" t="s">
        <v>3007</v>
      </c>
      <c r="G920" t="s">
        <v>4530</v>
      </c>
      <c r="J920" t="s">
        <v>228</v>
      </c>
      <c r="N920">
        <v>59252550</v>
      </c>
    </row>
    <row r="921" spans="1:14" x14ac:dyDescent="0.35">
      <c r="A921">
        <v>11919</v>
      </c>
      <c r="C921" s="2" t="s">
        <v>883</v>
      </c>
      <c r="D921" t="s">
        <v>1923</v>
      </c>
      <c r="E921" t="s">
        <v>2923</v>
      </c>
      <c r="F921" t="s">
        <v>3049</v>
      </c>
      <c r="G921" t="s">
        <v>4531</v>
      </c>
      <c r="J921" t="s">
        <v>228</v>
      </c>
      <c r="N921">
        <v>59252551</v>
      </c>
    </row>
    <row r="922" spans="1:14" x14ac:dyDescent="0.35">
      <c r="A922">
        <v>11920</v>
      </c>
      <c r="C922" s="2" t="s">
        <v>883</v>
      </c>
      <c r="D922" t="s">
        <v>1924</v>
      </c>
      <c r="E922" t="s">
        <v>2924</v>
      </c>
      <c r="F922" t="s">
        <v>3050</v>
      </c>
      <c r="G922" t="s">
        <v>4532</v>
      </c>
      <c r="J922" t="s">
        <v>228</v>
      </c>
      <c r="N922">
        <v>59252552</v>
      </c>
    </row>
    <row r="923" spans="1:14" x14ac:dyDescent="0.35">
      <c r="A923">
        <v>11921</v>
      </c>
      <c r="C923" s="2" t="s">
        <v>883</v>
      </c>
      <c r="D923" t="s">
        <v>1925</v>
      </c>
      <c r="E923" t="s">
        <v>2925</v>
      </c>
      <c r="F923" t="s">
        <v>3064</v>
      </c>
      <c r="G923" t="s">
        <v>4533</v>
      </c>
      <c r="J923" t="s">
        <v>228</v>
      </c>
      <c r="N923">
        <v>59252553</v>
      </c>
    </row>
    <row r="924" spans="1:14" x14ac:dyDescent="0.35">
      <c r="A924">
        <v>11922</v>
      </c>
      <c r="C924" s="2" t="s">
        <v>883</v>
      </c>
      <c r="D924" t="s">
        <v>1926</v>
      </c>
      <c r="E924" t="s">
        <v>2926</v>
      </c>
      <c r="F924" t="s">
        <v>3608</v>
      </c>
      <c r="G924" t="s">
        <v>4534</v>
      </c>
      <c r="J924" t="s">
        <v>228</v>
      </c>
      <c r="N924">
        <v>59252554</v>
      </c>
    </row>
    <row r="925" spans="1:14" x14ac:dyDescent="0.35">
      <c r="A925">
        <v>11923</v>
      </c>
      <c r="C925" s="2" t="s">
        <v>883</v>
      </c>
      <c r="D925" t="s">
        <v>1927</v>
      </c>
      <c r="E925" t="s">
        <v>2927</v>
      </c>
      <c r="F925" t="s">
        <v>3185</v>
      </c>
      <c r="G925" t="s">
        <v>4535</v>
      </c>
      <c r="J925" t="s">
        <v>228</v>
      </c>
      <c r="N925">
        <v>59252555</v>
      </c>
    </row>
    <row r="926" spans="1:14" x14ac:dyDescent="0.35">
      <c r="A926">
        <v>11924</v>
      </c>
      <c r="C926" s="2" t="s">
        <v>883</v>
      </c>
      <c r="D926" t="s">
        <v>1928</v>
      </c>
      <c r="E926" t="s">
        <v>2928</v>
      </c>
      <c r="F926" t="s">
        <v>3609</v>
      </c>
      <c r="G926" t="s">
        <v>4536</v>
      </c>
      <c r="J926" t="s">
        <v>228</v>
      </c>
      <c r="N926">
        <v>59252556</v>
      </c>
    </row>
    <row r="927" spans="1:14" x14ac:dyDescent="0.35">
      <c r="A927">
        <v>11925</v>
      </c>
      <c r="C927" s="2" t="s">
        <v>883</v>
      </c>
      <c r="D927" t="s">
        <v>1929</v>
      </c>
      <c r="E927" t="s">
        <v>2929</v>
      </c>
      <c r="F927" t="s">
        <v>3610</v>
      </c>
      <c r="G927" t="s">
        <v>4537</v>
      </c>
      <c r="J927" t="s">
        <v>228</v>
      </c>
      <c r="N927">
        <v>59252557</v>
      </c>
    </row>
    <row r="928" spans="1:14" x14ac:dyDescent="0.35">
      <c r="A928">
        <v>11926</v>
      </c>
      <c r="C928" s="2" t="s">
        <v>883</v>
      </c>
      <c r="D928" t="s">
        <v>1930</v>
      </c>
      <c r="E928" t="s">
        <v>2930</v>
      </c>
      <c r="F928" t="s">
        <v>3611</v>
      </c>
      <c r="G928" t="s">
        <v>4538</v>
      </c>
      <c r="J928" t="s">
        <v>228</v>
      </c>
      <c r="N928">
        <v>59252558</v>
      </c>
    </row>
    <row r="929" spans="1:14" x14ac:dyDescent="0.35">
      <c r="A929">
        <v>11927</v>
      </c>
      <c r="C929" s="2" t="s">
        <v>883</v>
      </c>
      <c r="D929" t="s">
        <v>1931</v>
      </c>
      <c r="E929" t="s">
        <v>2931</v>
      </c>
      <c r="F929" t="s">
        <v>3612</v>
      </c>
      <c r="G929" t="s">
        <v>4539</v>
      </c>
      <c r="J929" t="s">
        <v>228</v>
      </c>
      <c r="N929">
        <v>59252559</v>
      </c>
    </row>
    <row r="930" spans="1:14" x14ac:dyDescent="0.35">
      <c r="A930">
        <v>11928</v>
      </c>
      <c r="C930" s="2" t="s">
        <v>883</v>
      </c>
      <c r="D930" t="s">
        <v>1932</v>
      </c>
      <c r="E930" t="s">
        <v>2932</v>
      </c>
      <c r="F930" t="s">
        <v>3613</v>
      </c>
      <c r="G930" t="s">
        <v>4540</v>
      </c>
      <c r="J930" t="s">
        <v>228</v>
      </c>
      <c r="N930">
        <v>59252560</v>
      </c>
    </row>
    <row r="931" spans="1:14" x14ac:dyDescent="0.35">
      <c r="A931">
        <v>11929</v>
      </c>
      <c r="C931" s="2" t="s">
        <v>883</v>
      </c>
      <c r="D931" t="s">
        <v>1933</v>
      </c>
      <c r="E931" t="s">
        <v>2933</v>
      </c>
      <c r="F931" t="s">
        <v>3606</v>
      </c>
      <c r="G931" t="s">
        <v>4541</v>
      </c>
      <c r="J931" t="s">
        <v>228</v>
      </c>
      <c r="N931">
        <v>59252561</v>
      </c>
    </row>
    <row r="932" spans="1:14" x14ac:dyDescent="0.35">
      <c r="A932">
        <v>11930</v>
      </c>
      <c r="C932" s="2" t="s">
        <v>883</v>
      </c>
      <c r="D932" t="s">
        <v>1934</v>
      </c>
      <c r="E932" t="s">
        <v>2934</v>
      </c>
      <c r="F932" t="s">
        <v>3031</v>
      </c>
      <c r="G932" t="s">
        <v>4542</v>
      </c>
      <c r="J932" t="s">
        <v>228</v>
      </c>
      <c r="N932">
        <v>59252562</v>
      </c>
    </row>
    <row r="933" spans="1:14" x14ac:dyDescent="0.35">
      <c r="A933">
        <v>11931</v>
      </c>
      <c r="C933" s="2" t="s">
        <v>883</v>
      </c>
      <c r="D933" t="s">
        <v>1935</v>
      </c>
      <c r="E933" t="s">
        <v>2935</v>
      </c>
      <c r="F933" t="s">
        <v>3614</v>
      </c>
      <c r="G933" t="s">
        <v>4543</v>
      </c>
      <c r="J933" t="s">
        <v>228</v>
      </c>
      <c r="N933">
        <v>59252563</v>
      </c>
    </row>
    <row r="934" spans="1:14" x14ac:dyDescent="0.35">
      <c r="A934">
        <v>11932</v>
      </c>
      <c r="C934" s="2" t="s">
        <v>883</v>
      </c>
      <c r="D934" t="s">
        <v>1936</v>
      </c>
      <c r="E934" t="s">
        <v>2936</v>
      </c>
      <c r="F934" t="s">
        <v>3615</v>
      </c>
      <c r="G934" t="s">
        <v>4544</v>
      </c>
      <c r="J934" t="s">
        <v>228</v>
      </c>
      <c r="N934">
        <v>59252564</v>
      </c>
    </row>
    <row r="935" spans="1:14" x14ac:dyDescent="0.35">
      <c r="A935">
        <v>11933</v>
      </c>
      <c r="C935" s="2" t="s">
        <v>883</v>
      </c>
      <c r="D935" t="s">
        <v>1937</v>
      </c>
      <c r="E935" t="s">
        <v>2937</v>
      </c>
      <c r="F935" t="s">
        <v>3616</v>
      </c>
      <c r="G935" t="s">
        <v>4545</v>
      </c>
      <c r="J935" t="s">
        <v>228</v>
      </c>
      <c r="N935">
        <v>59252565</v>
      </c>
    </row>
    <row r="936" spans="1:14" x14ac:dyDescent="0.35">
      <c r="A936">
        <v>11934</v>
      </c>
      <c r="C936" s="2" t="s">
        <v>883</v>
      </c>
      <c r="D936" t="s">
        <v>1938</v>
      </c>
      <c r="E936" t="s">
        <v>2938</v>
      </c>
      <c r="F936" t="s">
        <v>3617</v>
      </c>
      <c r="G936" t="s">
        <v>4546</v>
      </c>
      <c r="J936" t="s">
        <v>228</v>
      </c>
      <c r="N936">
        <v>59252566</v>
      </c>
    </row>
    <row r="937" spans="1:14" x14ac:dyDescent="0.35">
      <c r="A937">
        <v>11935</v>
      </c>
      <c r="C937" s="2" t="s">
        <v>883</v>
      </c>
      <c r="D937" t="s">
        <v>1939</v>
      </c>
      <c r="E937" t="s">
        <v>2939</v>
      </c>
      <c r="F937" t="s">
        <v>3618</v>
      </c>
      <c r="G937" t="s">
        <v>4547</v>
      </c>
      <c r="J937" t="s">
        <v>228</v>
      </c>
      <c r="N937">
        <v>59252567</v>
      </c>
    </row>
    <row r="938" spans="1:14" x14ac:dyDescent="0.35">
      <c r="A938">
        <v>11936</v>
      </c>
      <c r="C938" s="2" t="s">
        <v>883</v>
      </c>
      <c r="D938" t="s">
        <v>1940</v>
      </c>
      <c r="E938" t="s">
        <v>2940</v>
      </c>
      <c r="F938" t="s">
        <v>3619</v>
      </c>
      <c r="G938" t="s">
        <v>4548</v>
      </c>
      <c r="J938" t="s">
        <v>228</v>
      </c>
      <c r="N938">
        <v>59252568</v>
      </c>
    </row>
    <row r="939" spans="1:14" x14ac:dyDescent="0.35">
      <c r="A939">
        <v>11937</v>
      </c>
      <c r="C939" s="2" t="s">
        <v>883</v>
      </c>
      <c r="D939" t="s">
        <v>1941</v>
      </c>
      <c r="E939" t="s">
        <v>2941</v>
      </c>
      <c r="F939" t="s">
        <v>3620</v>
      </c>
      <c r="G939" t="s">
        <v>4549</v>
      </c>
      <c r="J939" t="s">
        <v>228</v>
      </c>
      <c r="N939">
        <v>59252569</v>
      </c>
    </row>
    <row r="940" spans="1:14" x14ac:dyDescent="0.35">
      <c r="A940">
        <v>11938</v>
      </c>
      <c r="C940" s="2" t="s">
        <v>883</v>
      </c>
      <c r="D940" t="s">
        <v>1942</v>
      </c>
      <c r="E940" t="s">
        <v>2942</v>
      </c>
      <c r="F940" t="s">
        <v>3621</v>
      </c>
      <c r="G940" t="s">
        <v>4550</v>
      </c>
      <c r="J940" t="s">
        <v>228</v>
      </c>
      <c r="N940">
        <v>59252570</v>
      </c>
    </row>
    <row r="941" spans="1:14" x14ac:dyDescent="0.35">
      <c r="A941">
        <v>11939</v>
      </c>
      <c r="C941" s="2" t="s">
        <v>883</v>
      </c>
      <c r="D941" t="s">
        <v>1943</v>
      </c>
      <c r="E941" t="s">
        <v>2943</v>
      </c>
      <c r="F941" t="s">
        <v>3622</v>
      </c>
      <c r="G941" t="s">
        <v>4551</v>
      </c>
      <c r="J941" t="s">
        <v>228</v>
      </c>
      <c r="N941">
        <v>59252571</v>
      </c>
    </row>
    <row r="942" spans="1:14" x14ac:dyDescent="0.35">
      <c r="A942">
        <v>11940</v>
      </c>
      <c r="C942" s="2" t="s">
        <v>883</v>
      </c>
      <c r="D942" t="s">
        <v>1944</v>
      </c>
      <c r="E942" t="s">
        <v>2944</v>
      </c>
      <c r="F942" t="s">
        <v>3623</v>
      </c>
      <c r="G942" t="s">
        <v>4552</v>
      </c>
      <c r="J942" t="s">
        <v>228</v>
      </c>
      <c r="N942">
        <v>59252572</v>
      </c>
    </row>
    <row r="943" spans="1:14" x14ac:dyDescent="0.35">
      <c r="A943">
        <v>11941</v>
      </c>
      <c r="C943" s="2" t="s">
        <v>883</v>
      </c>
      <c r="D943" t="s">
        <v>1945</v>
      </c>
      <c r="E943" t="s">
        <v>2945</v>
      </c>
      <c r="F943" t="s">
        <v>3624</v>
      </c>
      <c r="G943" t="s">
        <v>4553</v>
      </c>
      <c r="J943" t="s">
        <v>228</v>
      </c>
      <c r="N943">
        <v>59252573</v>
      </c>
    </row>
    <row r="944" spans="1:14" x14ac:dyDescent="0.35">
      <c r="A944">
        <v>11942</v>
      </c>
      <c r="C944" s="2" t="s">
        <v>883</v>
      </c>
      <c r="D944" t="s">
        <v>1946</v>
      </c>
      <c r="E944" t="s">
        <v>2946</v>
      </c>
      <c r="F944" t="s">
        <v>3049</v>
      </c>
      <c r="G944" t="s">
        <v>4554</v>
      </c>
      <c r="J944" t="s">
        <v>228</v>
      </c>
      <c r="N944">
        <v>59252574</v>
      </c>
    </row>
    <row r="945" spans="1:14" x14ac:dyDescent="0.35">
      <c r="A945">
        <v>11943</v>
      </c>
      <c r="C945" s="2" t="s">
        <v>883</v>
      </c>
      <c r="D945" t="s">
        <v>1947</v>
      </c>
      <c r="E945" t="s">
        <v>2947</v>
      </c>
      <c r="F945" t="s">
        <v>3066</v>
      </c>
      <c r="G945" t="s">
        <v>4555</v>
      </c>
      <c r="J945" t="s">
        <v>228</v>
      </c>
      <c r="N945">
        <v>59252575</v>
      </c>
    </row>
    <row r="946" spans="1:14" x14ac:dyDescent="0.35">
      <c r="A946">
        <v>11944</v>
      </c>
      <c r="C946" s="2" t="s">
        <v>883</v>
      </c>
      <c r="D946" t="s">
        <v>1948</v>
      </c>
      <c r="E946" t="s">
        <v>2948</v>
      </c>
      <c r="F946" t="s">
        <v>3090</v>
      </c>
      <c r="G946" t="s">
        <v>4556</v>
      </c>
      <c r="J946" t="s">
        <v>228</v>
      </c>
      <c r="N946">
        <v>59252576</v>
      </c>
    </row>
    <row r="947" spans="1:14" x14ac:dyDescent="0.35">
      <c r="A947">
        <v>11945</v>
      </c>
      <c r="C947" s="2" t="s">
        <v>883</v>
      </c>
      <c r="D947" t="s">
        <v>1949</v>
      </c>
      <c r="E947" t="s">
        <v>2949</v>
      </c>
      <c r="F947" t="s">
        <v>3625</v>
      </c>
      <c r="G947" t="s">
        <v>4557</v>
      </c>
      <c r="J947" t="s">
        <v>228</v>
      </c>
      <c r="N947">
        <v>59252577</v>
      </c>
    </row>
    <row r="948" spans="1:14" x14ac:dyDescent="0.35">
      <c r="A948">
        <v>11946</v>
      </c>
      <c r="C948" s="2" t="s">
        <v>883</v>
      </c>
      <c r="D948" t="s">
        <v>1950</v>
      </c>
      <c r="E948" t="s">
        <v>2950</v>
      </c>
      <c r="F948" t="s">
        <v>3289</v>
      </c>
      <c r="G948" t="s">
        <v>4558</v>
      </c>
      <c r="J948" t="s">
        <v>228</v>
      </c>
      <c r="N948">
        <v>59252578</v>
      </c>
    </row>
    <row r="949" spans="1:14" x14ac:dyDescent="0.35">
      <c r="A949">
        <v>11947</v>
      </c>
      <c r="C949" s="2" t="s">
        <v>883</v>
      </c>
      <c r="D949" t="s">
        <v>1951</v>
      </c>
      <c r="E949" t="s">
        <v>2951</v>
      </c>
      <c r="F949" t="s">
        <v>3004</v>
      </c>
      <c r="G949" t="s">
        <v>4559</v>
      </c>
      <c r="J949" t="s">
        <v>228</v>
      </c>
      <c r="N949">
        <v>59252579</v>
      </c>
    </row>
    <row r="950" spans="1:14" x14ac:dyDescent="0.35">
      <c r="A950">
        <v>11948</v>
      </c>
      <c r="C950" s="2" t="s">
        <v>883</v>
      </c>
      <c r="D950" t="s">
        <v>1952</v>
      </c>
      <c r="E950" t="s">
        <v>2952</v>
      </c>
      <c r="F950" t="s">
        <v>3112</v>
      </c>
      <c r="G950" t="s">
        <v>4560</v>
      </c>
      <c r="J950" t="s">
        <v>228</v>
      </c>
      <c r="N950">
        <v>59252580</v>
      </c>
    </row>
    <row r="951" spans="1:14" x14ac:dyDescent="0.35">
      <c r="A951">
        <v>11949</v>
      </c>
      <c r="C951" s="2" t="s">
        <v>883</v>
      </c>
      <c r="D951" t="s">
        <v>1953</v>
      </c>
      <c r="E951" t="s">
        <v>2953</v>
      </c>
      <c r="F951" t="s">
        <v>3626</v>
      </c>
      <c r="G951" t="s">
        <v>4561</v>
      </c>
      <c r="J951" t="s">
        <v>228</v>
      </c>
      <c r="N951">
        <v>59252581</v>
      </c>
    </row>
    <row r="952" spans="1:14" x14ac:dyDescent="0.35">
      <c r="A952">
        <v>11950</v>
      </c>
      <c r="C952" s="2" t="s">
        <v>883</v>
      </c>
      <c r="D952" t="s">
        <v>1954</v>
      </c>
      <c r="E952" t="s">
        <v>2954</v>
      </c>
      <c r="F952" t="s">
        <v>3627</v>
      </c>
      <c r="G952" t="s">
        <v>4562</v>
      </c>
      <c r="J952" t="s">
        <v>228</v>
      </c>
      <c r="N952">
        <v>59252582</v>
      </c>
    </row>
    <row r="953" spans="1:14" x14ac:dyDescent="0.35">
      <c r="A953">
        <v>11951</v>
      </c>
      <c r="C953" s="2" t="s">
        <v>883</v>
      </c>
      <c r="D953" t="s">
        <v>1955</v>
      </c>
      <c r="E953" t="s">
        <v>2955</v>
      </c>
      <c r="F953" t="s">
        <v>3087</v>
      </c>
      <c r="G953" t="s">
        <v>4563</v>
      </c>
      <c r="J953" t="s">
        <v>228</v>
      </c>
      <c r="N953">
        <v>59252583</v>
      </c>
    </row>
    <row r="954" spans="1:14" x14ac:dyDescent="0.35">
      <c r="A954">
        <v>11952</v>
      </c>
      <c r="C954" s="2" t="s">
        <v>883</v>
      </c>
      <c r="D954" t="s">
        <v>1956</v>
      </c>
      <c r="E954" t="s">
        <v>2956</v>
      </c>
      <c r="F954" t="s">
        <v>3628</v>
      </c>
      <c r="G954" t="s">
        <v>4564</v>
      </c>
      <c r="J954" t="s">
        <v>228</v>
      </c>
      <c r="N954">
        <v>59252584</v>
      </c>
    </row>
    <row r="955" spans="1:14" x14ac:dyDescent="0.35">
      <c r="A955">
        <v>11953</v>
      </c>
      <c r="C955" s="2" t="s">
        <v>883</v>
      </c>
      <c r="D955" t="s">
        <v>1957</v>
      </c>
      <c r="E955" t="s">
        <v>2957</v>
      </c>
      <c r="F955" t="s">
        <v>3629</v>
      </c>
      <c r="G955" t="s">
        <v>4565</v>
      </c>
      <c r="J955" t="s">
        <v>228</v>
      </c>
      <c r="N955">
        <v>59252585</v>
      </c>
    </row>
    <row r="956" spans="1:14" x14ac:dyDescent="0.35">
      <c r="A956">
        <v>11954</v>
      </c>
      <c r="C956" s="2" t="s">
        <v>883</v>
      </c>
      <c r="D956" t="s">
        <v>1958</v>
      </c>
      <c r="E956" t="s">
        <v>2958</v>
      </c>
      <c r="F956" t="s">
        <v>3630</v>
      </c>
      <c r="G956" t="s">
        <v>4566</v>
      </c>
      <c r="J956" t="s">
        <v>228</v>
      </c>
      <c r="N956">
        <v>59252586</v>
      </c>
    </row>
    <row r="957" spans="1:14" x14ac:dyDescent="0.35">
      <c r="A957">
        <v>11955</v>
      </c>
      <c r="C957" s="2" t="s">
        <v>883</v>
      </c>
      <c r="D957" t="s">
        <v>1959</v>
      </c>
      <c r="E957" t="s">
        <v>2959</v>
      </c>
      <c r="F957" t="s">
        <v>3631</v>
      </c>
      <c r="G957" t="s">
        <v>4567</v>
      </c>
      <c r="J957" t="s">
        <v>228</v>
      </c>
      <c r="N957">
        <v>59252587</v>
      </c>
    </row>
    <row r="958" spans="1:14" x14ac:dyDescent="0.35">
      <c r="A958">
        <v>11956</v>
      </c>
      <c r="C958" s="2" t="s">
        <v>883</v>
      </c>
      <c r="D958" t="s">
        <v>1960</v>
      </c>
      <c r="E958" t="s">
        <v>2960</v>
      </c>
      <c r="F958" t="s">
        <v>3632</v>
      </c>
      <c r="G958" t="s">
        <v>4568</v>
      </c>
      <c r="J958" t="s">
        <v>228</v>
      </c>
      <c r="N958">
        <v>59252588</v>
      </c>
    </row>
    <row r="959" spans="1:14" x14ac:dyDescent="0.35">
      <c r="A959">
        <v>11957</v>
      </c>
      <c r="C959" s="2" t="s">
        <v>883</v>
      </c>
      <c r="D959" t="s">
        <v>1961</v>
      </c>
      <c r="E959" t="s">
        <v>2961</v>
      </c>
      <c r="F959" t="s">
        <v>3633</v>
      </c>
      <c r="G959" t="s">
        <v>4569</v>
      </c>
      <c r="J959" t="s">
        <v>228</v>
      </c>
      <c r="N959">
        <v>59252589</v>
      </c>
    </row>
    <row r="960" spans="1:14" x14ac:dyDescent="0.35">
      <c r="A960">
        <v>11958</v>
      </c>
      <c r="C960" s="2" t="s">
        <v>883</v>
      </c>
      <c r="D960" t="s">
        <v>1962</v>
      </c>
      <c r="E960" t="s">
        <v>2962</v>
      </c>
      <c r="F960" t="s">
        <v>3634</v>
      </c>
      <c r="G960" t="s">
        <v>4570</v>
      </c>
      <c r="J960" t="s">
        <v>228</v>
      </c>
      <c r="N960">
        <v>59252590</v>
      </c>
    </row>
    <row r="961" spans="1:14" x14ac:dyDescent="0.35">
      <c r="A961">
        <v>11959</v>
      </c>
      <c r="C961" s="2" t="s">
        <v>883</v>
      </c>
      <c r="D961" t="s">
        <v>1963</v>
      </c>
      <c r="E961" t="s">
        <v>2963</v>
      </c>
      <c r="F961" t="s">
        <v>3635</v>
      </c>
      <c r="G961" t="s">
        <v>4571</v>
      </c>
      <c r="J961" t="s">
        <v>228</v>
      </c>
      <c r="N961">
        <v>59252591</v>
      </c>
    </row>
    <row r="962" spans="1:14" x14ac:dyDescent="0.35">
      <c r="A962">
        <v>11960</v>
      </c>
      <c r="C962" s="2" t="s">
        <v>883</v>
      </c>
      <c r="D962" t="s">
        <v>1964</v>
      </c>
      <c r="E962" t="s">
        <v>2964</v>
      </c>
      <c r="F962" t="s">
        <v>3636</v>
      </c>
      <c r="G962" t="s">
        <v>4572</v>
      </c>
      <c r="J962" t="s">
        <v>228</v>
      </c>
      <c r="N962">
        <v>59252592</v>
      </c>
    </row>
    <row r="963" spans="1:14" x14ac:dyDescent="0.35">
      <c r="A963">
        <v>11961</v>
      </c>
      <c r="C963" s="2" t="s">
        <v>883</v>
      </c>
      <c r="D963" t="s">
        <v>1965</v>
      </c>
      <c r="E963" t="s">
        <v>2965</v>
      </c>
      <c r="F963" t="s">
        <v>3637</v>
      </c>
      <c r="G963" t="s">
        <v>4573</v>
      </c>
      <c r="J963" t="s">
        <v>228</v>
      </c>
      <c r="N963">
        <v>59252593</v>
      </c>
    </row>
    <row r="964" spans="1:14" x14ac:dyDescent="0.35">
      <c r="A964">
        <v>11962</v>
      </c>
      <c r="C964" s="2" t="s">
        <v>883</v>
      </c>
      <c r="D964" t="s">
        <v>1966</v>
      </c>
      <c r="E964" t="s">
        <v>2966</v>
      </c>
      <c r="F964" t="s">
        <v>3638</v>
      </c>
      <c r="G964" t="s">
        <v>4574</v>
      </c>
      <c r="J964" t="s">
        <v>228</v>
      </c>
      <c r="N964">
        <v>59252594</v>
      </c>
    </row>
    <row r="965" spans="1:14" x14ac:dyDescent="0.35">
      <c r="A965">
        <v>11963</v>
      </c>
      <c r="C965" s="2" t="s">
        <v>883</v>
      </c>
      <c r="D965" t="s">
        <v>1967</v>
      </c>
      <c r="E965" t="s">
        <v>2967</v>
      </c>
      <c r="F965" t="s">
        <v>3306</v>
      </c>
      <c r="G965" t="s">
        <v>4575</v>
      </c>
      <c r="J965" t="s">
        <v>228</v>
      </c>
      <c r="N965">
        <v>59252595</v>
      </c>
    </row>
    <row r="966" spans="1:14" x14ac:dyDescent="0.35">
      <c r="A966">
        <v>11964</v>
      </c>
      <c r="C966" s="2" t="s">
        <v>883</v>
      </c>
      <c r="D966" t="s">
        <v>1968</v>
      </c>
      <c r="E966" t="s">
        <v>2968</v>
      </c>
      <c r="F966" t="s">
        <v>3639</v>
      </c>
      <c r="G966" t="s">
        <v>4576</v>
      </c>
      <c r="J966" t="s">
        <v>228</v>
      </c>
      <c r="N966">
        <v>59252596</v>
      </c>
    </row>
    <row r="967" spans="1:14" x14ac:dyDescent="0.35">
      <c r="A967">
        <v>11965</v>
      </c>
      <c r="C967" s="2" t="s">
        <v>883</v>
      </c>
      <c r="D967" t="s">
        <v>1969</v>
      </c>
      <c r="E967" t="s">
        <v>2969</v>
      </c>
      <c r="F967" t="s">
        <v>3299</v>
      </c>
      <c r="G967" t="s">
        <v>4577</v>
      </c>
      <c r="J967" t="s">
        <v>228</v>
      </c>
      <c r="N967">
        <v>59252597</v>
      </c>
    </row>
    <row r="968" spans="1:14" x14ac:dyDescent="0.35">
      <c r="A968">
        <v>11966</v>
      </c>
      <c r="C968" s="2" t="s">
        <v>883</v>
      </c>
      <c r="D968" t="s">
        <v>1970</v>
      </c>
      <c r="E968" t="s">
        <v>2970</v>
      </c>
      <c r="F968" t="s">
        <v>3200</v>
      </c>
      <c r="G968" t="s">
        <v>4578</v>
      </c>
      <c r="J968" t="s">
        <v>228</v>
      </c>
      <c r="N968">
        <v>59252598</v>
      </c>
    </row>
    <row r="969" spans="1:14" x14ac:dyDescent="0.35">
      <c r="A969">
        <v>11967</v>
      </c>
      <c r="C969" s="2" t="s">
        <v>883</v>
      </c>
      <c r="D969" t="s">
        <v>1971</v>
      </c>
      <c r="E969" t="s">
        <v>2971</v>
      </c>
      <c r="F969" t="s">
        <v>3286</v>
      </c>
      <c r="G969" t="s">
        <v>4579</v>
      </c>
      <c r="J969" t="s">
        <v>228</v>
      </c>
      <c r="N969">
        <v>59252599</v>
      </c>
    </row>
    <row r="970" spans="1:14" x14ac:dyDescent="0.35">
      <c r="A970">
        <v>11968</v>
      </c>
      <c r="C970" s="2" t="s">
        <v>883</v>
      </c>
      <c r="D970" t="s">
        <v>1972</v>
      </c>
      <c r="E970" t="s">
        <v>2972</v>
      </c>
      <c r="F970" t="s">
        <v>3043</v>
      </c>
      <c r="G970" t="s">
        <v>4580</v>
      </c>
      <c r="J970" t="s">
        <v>228</v>
      </c>
      <c r="N970">
        <v>59252600</v>
      </c>
    </row>
    <row r="971" spans="1:14" x14ac:dyDescent="0.35">
      <c r="A971">
        <v>11969</v>
      </c>
      <c r="C971" s="2" t="s">
        <v>883</v>
      </c>
      <c r="D971" t="s">
        <v>1973</v>
      </c>
      <c r="E971" t="s">
        <v>2973</v>
      </c>
      <c r="F971" t="s">
        <v>3606</v>
      </c>
      <c r="G971" t="s">
        <v>4581</v>
      </c>
      <c r="J971" t="s">
        <v>228</v>
      </c>
      <c r="N971">
        <v>59252601</v>
      </c>
    </row>
    <row r="972" spans="1:14" x14ac:dyDescent="0.35">
      <c r="A972">
        <v>11970</v>
      </c>
      <c r="C972" s="2" t="s">
        <v>883</v>
      </c>
      <c r="D972" t="s">
        <v>1974</v>
      </c>
      <c r="E972" t="s">
        <v>2974</v>
      </c>
      <c r="F972" t="s">
        <v>3640</v>
      </c>
      <c r="G972" t="s">
        <v>4582</v>
      </c>
      <c r="J972" t="s">
        <v>228</v>
      </c>
      <c r="N972">
        <v>59252602</v>
      </c>
    </row>
    <row r="973" spans="1:14" x14ac:dyDescent="0.35">
      <c r="A973">
        <v>11971</v>
      </c>
      <c r="C973" s="2" t="s">
        <v>883</v>
      </c>
      <c r="D973" t="s">
        <v>1975</v>
      </c>
      <c r="E973" t="s">
        <v>2975</v>
      </c>
      <c r="F973" t="s">
        <v>3641</v>
      </c>
      <c r="G973" t="s">
        <v>4583</v>
      </c>
      <c r="J973" t="s">
        <v>228</v>
      </c>
      <c r="N973">
        <v>59252603</v>
      </c>
    </row>
    <row r="974" spans="1:14" x14ac:dyDescent="0.35">
      <c r="A974">
        <v>11972</v>
      </c>
      <c r="C974" s="2" t="s">
        <v>883</v>
      </c>
      <c r="D974" t="s">
        <v>1976</v>
      </c>
      <c r="E974" t="s">
        <v>2976</v>
      </c>
      <c r="F974" t="s">
        <v>3642</v>
      </c>
      <c r="G974" t="s">
        <v>4584</v>
      </c>
      <c r="J974" t="s">
        <v>228</v>
      </c>
      <c r="N974">
        <v>59252604</v>
      </c>
    </row>
    <row r="975" spans="1:14" x14ac:dyDescent="0.35">
      <c r="A975">
        <v>11973</v>
      </c>
      <c r="C975" s="2" t="s">
        <v>883</v>
      </c>
      <c r="D975" t="s">
        <v>1977</v>
      </c>
      <c r="E975" t="s">
        <v>2977</v>
      </c>
      <c r="F975" t="s">
        <v>3643</v>
      </c>
      <c r="G975" t="s">
        <v>4585</v>
      </c>
      <c r="J975" t="s">
        <v>228</v>
      </c>
      <c r="N975">
        <v>59252605</v>
      </c>
    </row>
    <row r="976" spans="1:14" x14ac:dyDescent="0.35">
      <c r="A976">
        <v>11974</v>
      </c>
      <c r="C976" s="2" t="s">
        <v>883</v>
      </c>
      <c r="D976" t="s">
        <v>1978</v>
      </c>
      <c r="E976" t="s">
        <v>2978</v>
      </c>
      <c r="F976" t="s">
        <v>3644</v>
      </c>
      <c r="G976" t="s">
        <v>4586</v>
      </c>
      <c r="J976" t="s">
        <v>228</v>
      </c>
      <c r="N976">
        <v>59252606</v>
      </c>
    </row>
    <row r="977" spans="1:14" x14ac:dyDescent="0.35">
      <c r="A977">
        <v>11975</v>
      </c>
      <c r="C977" s="2" t="s">
        <v>883</v>
      </c>
      <c r="D977" t="s">
        <v>1979</v>
      </c>
      <c r="E977" t="s">
        <v>2979</v>
      </c>
      <c r="F977" t="s">
        <v>3645</v>
      </c>
      <c r="G977" t="s">
        <v>4587</v>
      </c>
      <c r="J977" t="s">
        <v>228</v>
      </c>
      <c r="N977">
        <v>59252607</v>
      </c>
    </row>
    <row r="978" spans="1:14" x14ac:dyDescent="0.35">
      <c r="A978">
        <v>11976</v>
      </c>
      <c r="C978" s="2" t="s">
        <v>883</v>
      </c>
      <c r="D978" t="s">
        <v>1980</v>
      </c>
      <c r="E978" t="s">
        <v>2980</v>
      </c>
      <c r="F978" t="s">
        <v>3290</v>
      </c>
      <c r="G978" t="s">
        <v>4588</v>
      </c>
      <c r="J978" t="s">
        <v>228</v>
      </c>
      <c r="N978">
        <v>59252608</v>
      </c>
    </row>
    <row r="979" spans="1:14" x14ac:dyDescent="0.35">
      <c r="A979">
        <v>11977</v>
      </c>
      <c r="C979" s="2" t="s">
        <v>883</v>
      </c>
      <c r="D979" t="s">
        <v>1981</v>
      </c>
      <c r="E979" t="s">
        <v>2981</v>
      </c>
      <c r="F979" t="s">
        <v>3063</v>
      </c>
      <c r="G979" t="s">
        <v>4589</v>
      </c>
      <c r="J979" t="s">
        <v>228</v>
      </c>
      <c r="N979">
        <v>59252609</v>
      </c>
    </row>
    <row r="980" spans="1:14" x14ac:dyDescent="0.35">
      <c r="A980">
        <v>11978</v>
      </c>
      <c r="C980" s="2" t="s">
        <v>883</v>
      </c>
      <c r="D980" t="s">
        <v>1982</v>
      </c>
      <c r="E980" t="s">
        <v>2982</v>
      </c>
      <c r="F980" t="s">
        <v>3646</v>
      </c>
      <c r="G980" t="s">
        <v>4590</v>
      </c>
      <c r="J980" t="s">
        <v>228</v>
      </c>
      <c r="N980">
        <v>59252610</v>
      </c>
    </row>
    <row r="981" spans="1:14" x14ac:dyDescent="0.35">
      <c r="A981">
        <v>11979</v>
      </c>
      <c r="C981" s="2" t="s">
        <v>883</v>
      </c>
      <c r="D981" t="s">
        <v>1983</v>
      </c>
      <c r="E981" t="s">
        <v>2983</v>
      </c>
      <c r="F981" t="s">
        <v>3647</v>
      </c>
      <c r="G981" t="s">
        <v>4591</v>
      </c>
      <c r="J981" t="s">
        <v>228</v>
      </c>
      <c r="N981">
        <v>59252611</v>
      </c>
    </row>
    <row r="982" spans="1:14" x14ac:dyDescent="0.35">
      <c r="A982">
        <v>11980</v>
      </c>
      <c r="C982" s="2" t="s">
        <v>883</v>
      </c>
      <c r="D982" t="s">
        <v>1984</v>
      </c>
      <c r="E982" t="s">
        <v>2984</v>
      </c>
      <c r="F982" t="s">
        <v>3648</v>
      </c>
      <c r="G982" t="s">
        <v>4592</v>
      </c>
      <c r="J982" t="s">
        <v>228</v>
      </c>
      <c r="N982">
        <v>59252612</v>
      </c>
    </row>
    <row r="983" spans="1:14" x14ac:dyDescent="0.35">
      <c r="A983">
        <v>11981</v>
      </c>
      <c r="C983" s="2" t="s">
        <v>883</v>
      </c>
      <c r="D983" t="s">
        <v>1985</v>
      </c>
      <c r="E983" t="s">
        <v>2985</v>
      </c>
      <c r="F983" t="s">
        <v>3649</v>
      </c>
      <c r="G983" t="s">
        <v>4593</v>
      </c>
      <c r="J983" t="s">
        <v>228</v>
      </c>
      <c r="N983">
        <v>59252613</v>
      </c>
    </row>
    <row r="984" spans="1:14" x14ac:dyDescent="0.35">
      <c r="A984">
        <v>11982</v>
      </c>
      <c r="C984" s="2" t="s">
        <v>883</v>
      </c>
      <c r="D984" t="s">
        <v>1986</v>
      </c>
      <c r="E984" t="s">
        <v>2986</v>
      </c>
      <c r="F984" t="s">
        <v>3650</v>
      </c>
      <c r="G984" t="s">
        <v>4594</v>
      </c>
      <c r="J984" t="s">
        <v>228</v>
      </c>
      <c r="N984">
        <v>59252614</v>
      </c>
    </row>
    <row r="985" spans="1:14" x14ac:dyDescent="0.35">
      <c r="A985">
        <v>11983</v>
      </c>
      <c r="C985" s="2" t="s">
        <v>883</v>
      </c>
      <c r="D985" t="s">
        <v>1987</v>
      </c>
      <c r="E985" t="s">
        <v>2987</v>
      </c>
      <c r="F985" t="s">
        <v>3651</v>
      </c>
      <c r="G985" t="s">
        <v>4595</v>
      </c>
      <c r="J985" t="s">
        <v>228</v>
      </c>
      <c r="N985">
        <v>59252615</v>
      </c>
    </row>
    <row r="986" spans="1:14" x14ac:dyDescent="0.35">
      <c r="A986">
        <v>11984</v>
      </c>
      <c r="C986" s="2" t="s">
        <v>883</v>
      </c>
      <c r="D986" t="s">
        <v>1988</v>
      </c>
      <c r="E986" t="s">
        <v>2988</v>
      </c>
      <c r="F986" t="s">
        <v>3652</v>
      </c>
      <c r="G986" t="s">
        <v>4596</v>
      </c>
      <c r="J986" t="s">
        <v>228</v>
      </c>
      <c r="N986">
        <v>59252616</v>
      </c>
    </row>
    <row r="987" spans="1:14" x14ac:dyDescent="0.35">
      <c r="A987">
        <v>11985</v>
      </c>
      <c r="C987" s="2" t="s">
        <v>883</v>
      </c>
      <c r="D987" t="s">
        <v>1989</v>
      </c>
      <c r="E987" t="s">
        <v>2989</v>
      </c>
      <c r="F987" t="s">
        <v>3653</v>
      </c>
      <c r="G987" t="s">
        <v>4597</v>
      </c>
      <c r="J987" t="s">
        <v>228</v>
      </c>
      <c r="N987">
        <v>59252617</v>
      </c>
    </row>
    <row r="988" spans="1:14" x14ac:dyDescent="0.35">
      <c r="A988">
        <v>11986</v>
      </c>
      <c r="C988" s="2" t="s">
        <v>883</v>
      </c>
      <c r="D988" t="s">
        <v>1990</v>
      </c>
      <c r="E988" t="s">
        <v>2990</v>
      </c>
      <c r="F988" t="s">
        <v>3085</v>
      </c>
      <c r="G988" t="s">
        <v>4598</v>
      </c>
      <c r="J988" t="s">
        <v>228</v>
      </c>
      <c r="N988">
        <v>59252618</v>
      </c>
    </row>
    <row r="989" spans="1:14" x14ac:dyDescent="0.35">
      <c r="A989">
        <v>11987</v>
      </c>
      <c r="C989" s="2" t="s">
        <v>883</v>
      </c>
      <c r="D989" t="s">
        <v>1991</v>
      </c>
      <c r="E989" t="s">
        <v>2991</v>
      </c>
      <c r="F989" t="s">
        <v>3296</v>
      </c>
      <c r="G989" t="s">
        <v>4599</v>
      </c>
      <c r="J989" t="s">
        <v>228</v>
      </c>
      <c r="N989">
        <v>59252619</v>
      </c>
    </row>
    <row r="990" spans="1:14" x14ac:dyDescent="0.35">
      <c r="A990">
        <v>11988</v>
      </c>
      <c r="C990" s="2" t="s">
        <v>883</v>
      </c>
      <c r="D990" t="s">
        <v>1992</v>
      </c>
      <c r="E990" t="s">
        <v>2992</v>
      </c>
      <c r="F990" t="s">
        <v>3064</v>
      </c>
      <c r="G990" t="s">
        <v>4600</v>
      </c>
      <c r="J990" t="s">
        <v>228</v>
      </c>
      <c r="N990">
        <v>59252620</v>
      </c>
    </row>
    <row r="991" spans="1:14" x14ac:dyDescent="0.35">
      <c r="A991">
        <v>11989</v>
      </c>
      <c r="C991" s="2" t="s">
        <v>883</v>
      </c>
      <c r="D991" t="s">
        <v>1993</v>
      </c>
      <c r="E991" t="s">
        <v>2993</v>
      </c>
      <c r="F991" t="s">
        <v>3061</v>
      </c>
      <c r="G991" t="s">
        <v>4601</v>
      </c>
      <c r="J991" t="s">
        <v>228</v>
      </c>
      <c r="N991">
        <v>59252621</v>
      </c>
    </row>
    <row r="992" spans="1:14" x14ac:dyDescent="0.35">
      <c r="A992">
        <v>11990</v>
      </c>
      <c r="C992" s="2" t="s">
        <v>883</v>
      </c>
      <c r="D992" t="s">
        <v>1994</v>
      </c>
      <c r="E992" t="s">
        <v>2994</v>
      </c>
      <c r="F992" t="s">
        <v>3029</v>
      </c>
      <c r="G992" t="s">
        <v>4602</v>
      </c>
      <c r="J992" t="s">
        <v>228</v>
      </c>
      <c r="N992">
        <v>59252622</v>
      </c>
    </row>
    <row r="993" spans="1:14" x14ac:dyDescent="0.35">
      <c r="A993">
        <v>11991</v>
      </c>
      <c r="C993" s="2" t="s">
        <v>883</v>
      </c>
      <c r="D993" t="s">
        <v>1995</v>
      </c>
      <c r="E993" t="s">
        <v>2995</v>
      </c>
      <c r="F993" t="s">
        <v>3292</v>
      </c>
      <c r="G993" t="s">
        <v>4603</v>
      </c>
      <c r="J993" t="s">
        <v>228</v>
      </c>
      <c r="N993">
        <v>59252623</v>
      </c>
    </row>
    <row r="994" spans="1:14" x14ac:dyDescent="0.35">
      <c r="A994">
        <v>11992</v>
      </c>
      <c r="C994" s="2" t="s">
        <v>883</v>
      </c>
      <c r="D994" t="s">
        <v>1996</v>
      </c>
      <c r="E994" t="s">
        <v>2996</v>
      </c>
      <c r="F994" t="s">
        <v>3031</v>
      </c>
      <c r="G994" t="s">
        <v>4604</v>
      </c>
      <c r="J994" t="s">
        <v>228</v>
      </c>
      <c r="N994">
        <v>59252624</v>
      </c>
    </row>
    <row r="995" spans="1:14" x14ac:dyDescent="0.35">
      <c r="A995">
        <v>11993</v>
      </c>
      <c r="C995" s="2" t="s">
        <v>883</v>
      </c>
      <c r="D995" t="s">
        <v>1997</v>
      </c>
      <c r="E995" t="s">
        <v>2997</v>
      </c>
      <c r="F995" t="s">
        <v>3026</v>
      </c>
      <c r="G995" t="s">
        <v>4605</v>
      </c>
      <c r="J995" t="s">
        <v>228</v>
      </c>
      <c r="N995">
        <v>59252625</v>
      </c>
    </row>
    <row r="996" spans="1:14" x14ac:dyDescent="0.35">
      <c r="A996">
        <v>11994</v>
      </c>
      <c r="C996" s="2" t="s">
        <v>883</v>
      </c>
      <c r="D996" t="s">
        <v>1998</v>
      </c>
      <c r="E996" t="s">
        <v>2998</v>
      </c>
      <c r="F996" t="s">
        <v>3053</v>
      </c>
      <c r="G996" t="s">
        <v>4590</v>
      </c>
      <c r="J996" t="s">
        <v>228</v>
      </c>
      <c r="N996">
        <v>59252626</v>
      </c>
    </row>
    <row r="997" spans="1:14" x14ac:dyDescent="0.35">
      <c r="A997">
        <v>11995</v>
      </c>
      <c r="C997" s="2" t="s">
        <v>883</v>
      </c>
      <c r="D997" t="s">
        <v>1999</v>
      </c>
      <c r="E997" t="s">
        <v>2999</v>
      </c>
      <c r="F997" t="s">
        <v>3050</v>
      </c>
      <c r="G997" t="s">
        <v>4606</v>
      </c>
      <c r="J997" t="s">
        <v>228</v>
      </c>
      <c r="N997">
        <v>59252627</v>
      </c>
    </row>
    <row r="998" spans="1:14" x14ac:dyDescent="0.35">
      <c r="A998">
        <v>11996</v>
      </c>
      <c r="C998" s="2" t="s">
        <v>883</v>
      </c>
      <c r="D998" t="s">
        <v>2000</v>
      </c>
      <c r="E998" t="s">
        <v>3000</v>
      </c>
      <c r="F998" t="s">
        <v>3291</v>
      </c>
      <c r="G998" t="s">
        <v>4607</v>
      </c>
      <c r="J998" t="s">
        <v>228</v>
      </c>
      <c r="N998">
        <v>59252628</v>
      </c>
    </row>
    <row r="999" spans="1:14" x14ac:dyDescent="0.35">
      <c r="A999">
        <v>11997</v>
      </c>
      <c r="C999" s="2" t="s">
        <v>883</v>
      </c>
      <c r="D999" t="s">
        <v>2001</v>
      </c>
      <c r="E999" t="s">
        <v>3001</v>
      </c>
      <c r="F999" t="s">
        <v>3354</v>
      </c>
      <c r="G999" t="s">
        <v>4608</v>
      </c>
      <c r="J999" t="s">
        <v>228</v>
      </c>
      <c r="N999">
        <v>59252629</v>
      </c>
    </row>
    <row r="1000" spans="1:14" x14ac:dyDescent="0.35">
      <c r="A1000">
        <v>11998</v>
      </c>
      <c r="C1000" s="2" t="s">
        <v>883</v>
      </c>
      <c r="D1000" t="s">
        <v>2002</v>
      </c>
      <c r="E1000" t="s">
        <v>3002</v>
      </c>
      <c r="F1000" t="s">
        <v>3286</v>
      </c>
      <c r="G1000" t="s">
        <v>4609</v>
      </c>
      <c r="J1000" t="s">
        <v>228</v>
      </c>
      <c r="N1000">
        <v>59252630</v>
      </c>
    </row>
    <row r="1001" spans="1:14" x14ac:dyDescent="0.35">
      <c r="A1001">
        <v>11999</v>
      </c>
      <c r="C1001" s="2" t="s">
        <v>883</v>
      </c>
      <c r="D1001" t="s">
        <v>2003</v>
      </c>
      <c r="E1001" t="s">
        <v>3003</v>
      </c>
      <c r="F1001" t="s">
        <v>3060</v>
      </c>
      <c r="G1001" t="s">
        <v>4610</v>
      </c>
      <c r="J1001" t="s">
        <v>228</v>
      </c>
      <c r="N1001">
        <v>59252631</v>
      </c>
    </row>
  </sheetData>
  <hyperlinks>
    <hyperlink ref="E2" r:id="rId1" display="jon24@adventure-works.com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zoomScale="85" zoomScaleNormal="85" workbookViewId="0">
      <selection activeCell="D21" sqref="A2:D21"/>
    </sheetView>
  </sheetViews>
  <sheetFormatPr defaultRowHeight="14.5" x14ac:dyDescent="0.35"/>
  <cols>
    <col min="1" max="1" width="14.6328125" bestFit="1" customWidth="1"/>
    <col min="2" max="2" width="42.453125" bestFit="1" customWidth="1"/>
    <col min="3" max="3" width="12.453125" bestFit="1" customWidth="1"/>
    <col min="4" max="4" width="19.453125" bestFit="1" customWidth="1"/>
  </cols>
  <sheetData>
    <row r="1" spans="1:4" x14ac:dyDescent="0.35">
      <c r="C1" s="1"/>
    </row>
    <row r="2" spans="1:4" x14ac:dyDescent="0.35">
      <c r="A2" s="1" t="s">
        <v>885</v>
      </c>
      <c r="B2" t="s">
        <v>4614</v>
      </c>
    </row>
    <row r="5" spans="1:4" x14ac:dyDescent="0.35">
      <c r="A5" s="1" t="s">
        <v>894</v>
      </c>
      <c r="B5" s="6" t="s">
        <v>893</v>
      </c>
    </row>
    <row r="7" spans="1:4" x14ac:dyDescent="0.35">
      <c r="A7" s="7" t="s">
        <v>889</v>
      </c>
      <c r="B7" s="7" t="s">
        <v>890</v>
      </c>
      <c r="C7" s="7" t="s">
        <v>891</v>
      </c>
      <c r="D7" s="7" t="s">
        <v>892</v>
      </c>
    </row>
    <row r="8" spans="1:4" x14ac:dyDescent="0.35">
      <c r="A8" s="8" t="s">
        <v>4614</v>
      </c>
      <c r="B8" s="8" t="s">
        <v>71</v>
      </c>
      <c r="C8" s="8"/>
      <c r="D8" s="8"/>
    </row>
    <row r="9" spans="1:4" x14ac:dyDescent="0.35">
      <c r="A9" s="8" t="s">
        <v>4614</v>
      </c>
      <c r="B9" s="8" t="s">
        <v>96</v>
      </c>
      <c r="C9" s="8"/>
      <c r="D9" s="8"/>
    </row>
    <row r="10" spans="1:4" x14ac:dyDescent="0.35">
      <c r="A10" s="8" t="s">
        <v>4614</v>
      </c>
      <c r="B10" s="8" t="s">
        <v>97</v>
      </c>
      <c r="C10" s="9" t="s">
        <v>896</v>
      </c>
      <c r="D10" s="8"/>
    </row>
    <row r="11" spans="1:4" x14ac:dyDescent="0.35">
      <c r="A11" s="8" t="s">
        <v>4614</v>
      </c>
      <c r="B11" s="8" t="s">
        <v>72</v>
      </c>
      <c r="C11" s="8"/>
      <c r="D11" s="8"/>
    </row>
    <row r="12" spans="1:4" x14ac:dyDescent="0.35">
      <c r="A12" s="8" t="s">
        <v>4614</v>
      </c>
      <c r="B12" s="8" t="s">
        <v>73</v>
      </c>
      <c r="C12" s="8"/>
      <c r="D12" s="8"/>
    </row>
    <row r="13" spans="1:4" x14ac:dyDescent="0.35">
      <c r="A13" s="8" t="s">
        <v>4614</v>
      </c>
      <c r="B13" s="8" t="s">
        <v>74</v>
      </c>
      <c r="C13" s="8"/>
      <c r="D13" s="8"/>
    </row>
    <row r="14" spans="1:4" x14ac:dyDescent="0.35">
      <c r="A14" s="8" t="s">
        <v>4614</v>
      </c>
      <c r="B14" s="8" t="s">
        <v>19</v>
      </c>
      <c r="C14" s="8"/>
      <c r="D14" s="8"/>
    </row>
    <row r="15" spans="1:4" x14ac:dyDescent="0.35">
      <c r="A15" s="8" t="s">
        <v>4614</v>
      </c>
      <c r="B15" s="8" t="s">
        <v>20</v>
      </c>
      <c r="C15" s="8"/>
      <c r="D15" s="8"/>
    </row>
    <row r="16" spans="1:4" x14ac:dyDescent="0.35">
      <c r="A16" s="8" t="s">
        <v>4614</v>
      </c>
      <c r="B16" s="8" t="s">
        <v>21</v>
      </c>
      <c r="C16" s="8"/>
      <c r="D16" s="8"/>
    </row>
    <row r="17" spans="1:4" x14ac:dyDescent="0.35">
      <c r="A17" s="8" t="s">
        <v>4614</v>
      </c>
      <c r="B17" s="8" t="s">
        <v>22</v>
      </c>
      <c r="C17" s="8"/>
      <c r="D17" s="8"/>
    </row>
    <row r="18" spans="1:4" x14ac:dyDescent="0.35">
      <c r="A18" s="8" t="s">
        <v>4614</v>
      </c>
      <c r="B18" s="8" t="s">
        <v>24</v>
      </c>
      <c r="C18" s="8"/>
      <c r="D18" s="8"/>
    </row>
    <row r="19" spans="1:4" x14ac:dyDescent="0.35">
      <c r="A19" s="8" t="s">
        <v>4614</v>
      </c>
      <c r="B19" s="8" t="s">
        <v>23</v>
      </c>
      <c r="C19" s="8"/>
      <c r="D19" s="8"/>
    </row>
    <row r="20" spans="1:4" x14ac:dyDescent="0.35">
      <c r="A20" s="8" t="s">
        <v>4614</v>
      </c>
      <c r="B20" s="8" t="s">
        <v>75</v>
      </c>
      <c r="C20" s="8"/>
      <c r="D20" s="8"/>
    </row>
    <row r="21" spans="1:4" x14ac:dyDescent="0.35">
      <c r="A21" s="8" t="s">
        <v>4614</v>
      </c>
      <c r="B21" s="8" t="s">
        <v>16</v>
      </c>
      <c r="C21" s="8"/>
      <c r="D21" s="8" t="s">
        <v>4615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K24"/>
  <sheetViews>
    <sheetView workbookViewId="0">
      <selection activeCell="C10" sqref="C10"/>
    </sheetView>
  </sheetViews>
  <sheetFormatPr defaultRowHeight="14.5" x14ac:dyDescent="0.35"/>
  <cols>
    <col min="1" max="1" width="11.26953125" bestFit="1" customWidth="1"/>
    <col min="2" max="2" width="28" bestFit="1" customWidth="1"/>
    <col min="3" max="3" width="27" bestFit="1" customWidth="1"/>
    <col min="4" max="4" width="22.26953125" bestFit="1" customWidth="1"/>
    <col min="5" max="5" width="10.6328125" bestFit="1" customWidth="1"/>
    <col min="6" max="6" width="10.36328125" bestFit="1" customWidth="1"/>
    <col min="7" max="7" width="15.6328125" bestFit="1" customWidth="1"/>
    <col min="8" max="9" width="27" bestFit="1" customWidth="1"/>
  </cols>
  <sheetData>
    <row r="1" spans="1:11" x14ac:dyDescent="0.35">
      <c r="A1" t="s">
        <v>76</v>
      </c>
      <c r="B1" t="s">
        <v>96</v>
      </c>
      <c r="C1" t="s">
        <v>97</v>
      </c>
      <c r="D1" t="s">
        <v>77</v>
      </c>
      <c r="E1" t="s">
        <v>78</v>
      </c>
      <c r="F1" t="s">
        <v>79</v>
      </c>
      <c r="G1" t="s">
        <v>80</v>
      </c>
      <c r="H1" t="s">
        <v>25</v>
      </c>
      <c r="I1" t="s">
        <v>26</v>
      </c>
      <c r="J1" t="s">
        <v>31</v>
      </c>
      <c r="K1" t="s">
        <v>16</v>
      </c>
    </row>
    <row r="2" spans="1:11" x14ac:dyDescent="0.35">
      <c r="A2">
        <v>1</v>
      </c>
      <c r="C2" s="2" t="s">
        <v>883</v>
      </c>
      <c r="D2" t="s">
        <v>978</v>
      </c>
      <c r="E2" t="s">
        <v>980</v>
      </c>
      <c r="F2" t="s">
        <v>979</v>
      </c>
      <c r="G2">
        <v>0.02</v>
      </c>
      <c r="H2" s="2" t="s">
        <v>984</v>
      </c>
      <c r="I2" s="2" t="s">
        <v>988</v>
      </c>
      <c r="J2">
        <v>0</v>
      </c>
      <c r="K2">
        <v>56218723</v>
      </c>
    </row>
    <row r="3" spans="1:11" x14ac:dyDescent="0.35">
      <c r="A3">
        <v>2</v>
      </c>
      <c r="C3" s="2" t="s">
        <v>883</v>
      </c>
      <c r="D3" t="s">
        <v>978</v>
      </c>
      <c r="E3" t="s">
        <v>981</v>
      </c>
      <c r="F3" t="s">
        <v>979</v>
      </c>
      <c r="G3">
        <v>0.02</v>
      </c>
      <c r="H3" s="2" t="s">
        <v>985</v>
      </c>
      <c r="I3" s="2" t="s">
        <v>989</v>
      </c>
      <c r="J3">
        <v>0</v>
      </c>
      <c r="K3">
        <v>56218724</v>
      </c>
    </row>
    <row r="4" spans="1:11" x14ac:dyDescent="0.35">
      <c r="A4">
        <v>3</v>
      </c>
      <c r="C4" s="2" t="s">
        <v>883</v>
      </c>
      <c r="D4" t="s">
        <v>978</v>
      </c>
      <c r="E4" t="s">
        <v>982</v>
      </c>
      <c r="F4" t="s">
        <v>979</v>
      </c>
      <c r="G4">
        <v>0.02</v>
      </c>
      <c r="H4" s="2" t="s">
        <v>986</v>
      </c>
      <c r="I4" s="2" t="s">
        <v>990</v>
      </c>
      <c r="J4">
        <v>0</v>
      </c>
      <c r="K4">
        <v>56218725</v>
      </c>
    </row>
    <row r="5" spans="1:11" x14ac:dyDescent="0.35">
      <c r="A5">
        <v>4</v>
      </c>
      <c r="C5" s="2" t="s">
        <v>883</v>
      </c>
      <c r="D5" t="s">
        <v>978</v>
      </c>
      <c r="E5" t="s">
        <v>983</v>
      </c>
      <c r="F5" t="s">
        <v>979</v>
      </c>
      <c r="G5">
        <v>0.02</v>
      </c>
      <c r="H5" s="2" t="s">
        <v>987</v>
      </c>
      <c r="I5" s="2" t="s">
        <v>991</v>
      </c>
      <c r="J5">
        <v>1</v>
      </c>
      <c r="K5">
        <v>56218726</v>
      </c>
    </row>
    <row r="6" spans="1:11" x14ac:dyDescent="0.35">
      <c r="A6">
        <v>5</v>
      </c>
      <c r="C6" s="2" t="s">
        <v>883</v>
      </c>
      <c r="D6" t="s">
        <v>993</v>
      </c>
      <c r="E6" t="s">
        <v>997</v>
      </c>
      <c r="F6" t="s">
        <v>992</v>
      </c>
      <c r="G6">
        <v>5.0000000000000001E-3</v>
      </c>
      <c r="J6">
        <v>1</v>
      </c>
      <c r="K6">
        <v>56218727</v>
      </c>
    </row>
    <row r="7" spans="1:11" x14ac:dyDescent="0.35">
      <c r="A7">
        <v>6</v>
      </c>
      <c r="C7" s="2" t="s">
        <v>883</v>
      </c>
      <c r="D7" t="s">
        <v>994</v>
      </c>
      <c r="E7" t="s">
        <v>998</v>
      </c>
      <c r="F7" t="s">
        <v>992</v>
      </c>
      <c r="G7">
        <v>0.01</v>
      </c>
      <c r="J7">
        <v>1</v>
      </c>
      <c r="K7">
        <v>56218728</v>
      </c>
    </row>
    <row r="8" spans="1:11" x14ac:dyDescent="0.35">
      <c r="A8">
        <v>7</v>
      </c>
      <c r="C8" s="2" t="s">
        <v>883</v>
      </c>
      <c r="D8" t="s">
        <v>995</v>
      </c>
      <c r="E8" t="s">
        <v>999</v>
      </c>
      <c r="F8" t="s">
        <v>992</v>
      </c>
      <c r="G8">
        <v>1.4999999999999999E-2</v>
      </c>
      <c r="J8">
        <v>1</v>
      </c>
      <c r="K8">
        <v>56218729</v>
      </c>
    </row>
    <row r="9" spans="1:11" x14ac:dyDescent="0.35">
      <c r="A9">
        <v>8</v>
      </c>
      <c r="C9" s="2" t="s">
        <v>883</v>
      </c>
      <c r="D9" t="s">
        <v>996</v>
      </c>
      <c r="E9" t="s">
        <v>1000</v>
      </c>
      <c r="F9" t="s">
        <v>992</v>
      </c>
      <c r="G9">
        <v>0.02</v>
      </c>
      <c r="J9">
        <v>1</v>
      </c>
      <c r="K9">
        <v>56218730</v>
      </c>
    </row>
    <row r="10" spans="1:11" x14ac:dyDescent="0.35">
      <c r="C10" s="2"/>
    </row>
    <row r="11" spans="1:11" x14ac:dyDescent="0.35">
      <c r="C11" s="2"/>
    </row>
    <row r="12" spans="1:11" x14ac:dyDescent="0.35">
      <c r="C12" s="2"/>
    </row>
    <row r="13" spans="1:11" x14ac:dyDescent="0.35">
      <c r="C13" s="2"/>
    </row>
    <row r="14" spans="1:11" x14ac:dyDescent="0.35">
      <c r="C14" s="2"/>
    </row>
    <row r="15" spans="1:11" x14ac:dyDescent="0.35">
      <c r="C15" s="2"/>
    </row>
    <row r="16" spans="1:11" x14ac:dyDescent="0.35">
      <c r="C16" s="2"/>
    </row>
    <row r="17" spans="3:3" x14ac:dyDescent="0.35">
      <c r="C17" s="2"/>
    </row>
    <row r="18" spans="3:3" x14ac:dyDescent="0.35">
      <c r="C18" s="2"/>
    </row>
    <row r="19" spans="3:3" x14ac:dyDescent="0.35">
      <c r="C19" s="2"/>
    </row>
    <row r="20" spans="3:3" x14ac:dyDescent="0.35">
      <c r="C20" s="2"/>
    </row>
    <row r="21" spans="3:3" x14ac:dyDescent="0.35">
      <c r="C21" s="2"/>
    </row>
    <row r="22" spans="3:3" x14ac:dyDescent="0.35">
      <c r="C22" s="2"/>
    </row>
    <row r="23" spans="3:3" x14ac:dyDescent="0.35">
      <c r="C23" s="2"/>
    </row>
    <row r="24" spans="3:3" x14ac:dyDescent="0.35">
      <c r="C24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showGridLines="0" workbookViewId="0">
      <selection sqref="A1:D17"/>
    </sheetView>
  </sheetViews>
  <sheetFormatPr defaultRowHeight="14.5" x14ac:dyDescent="0.35"/>
  <cols>
    <col min="1" max="1" width="14.6328125" bestFit="1" customWidth="1"/>
    <col min="2" max="2" width="42.453125" bestFit="1" customWidth="1"/>
    <col min="3" max="3" width="12.453125" bestFit="1" customWidth="1"/>
    <col min="4" max="4" width="13.90625" bestFit="1" customWidth="1"/>
  </cols>
  <sheetData>
    <row r="1" spans="1:4" x14ac:dyDescent="0.35">
      <c r="A1" s="1" t="s">
        <v>885</v>
      </c>
      <c r="B1" t="s">
        <v>4617</v>
      </c>
    </row>
    <row r="4" spans="1:4" x14ac:dyDescent="0.35">
      <c r="A4" s="1" t="s">
        <v>894</v>
      </c>
      <c r="B4" s="6" t="s">
        <v>893</v>
      </c>
    </row>
    <row r="6" spans="1:4" x14ac:dyDescent="0.35">
      <c r="A6" s="7" t="s">
        <v>889</v>
      </c>
      <c r="B6" s="7" t="s">
        <v>890</v>
      </c>
      <c r="C6" s="7" t="s">
        <v>891</v>
      </c>
      <c r="D6" s="7" t="s">
        <v>892</v>
      </c>
    </row>
    <row r="7" spans="1:4" x14ac:dyDescent="0.35">
      <c r="A7" s="8" t="s">
        <v>4617</v>
      </c>
      <c r="B7" s="8" t="s">
        <v>76</v>
      </c>
      <c r="C7" s="8"/>
      <c r="D7" s="8"/>
    </row>
    <row r="8" spans="1:4" x14ac:dyDescent="0.35">
      <c r="A8" s="8" t="s">
        <v>4617</v>
      </c>
      <c r="B8" s="8" t="s">
        <v>96</v>
      </c>
      <c r="C8" s="8"/>
      <c r="D8" s="8"/>
    </row>
    <row r="9" spans="1:4" x14ac:dyDescent="0.35">
      <c r="A9" s="8" t="s">
        <v>4617</v>
      </c>
      <c r="B9" s="8" t="s">
        <v>97</v>
      </c>
      <c r="C9" s="9" t="s">
        <v>896</v>
      </c>
      <c r="D9" s="8"/>
    </row>
    <row r="10" spans="1:4" x14ac:dyDescent="0.35">
      <c r="A10" s="8" t="s">
        <v>4617</v>
      </c>
      <c r="B10" s="8" t="s">
        <v>77</v>
      </c>
      <c r="C10" s="8"/>
      <c r="D10" s="8"/>
    </row>
    <row r="11" spans="1:4" x14ac:dyDescent="0.35">
      <c r="A11" s="8" t="s">
        <v>4617</v>
      </c>
      <c r="B11" s="8" t="s">
        <v>78</v>
      </c>
      <c r="C11" s="8"/>
      <c r="D11" s="8"/>
    </row>
    <row r="12" spans="1:4" x14ac:dyDescent="0.35">
      <c r="A12" s="8" t="s">
        <v>4617</v>
      </c>
      <c r="B12" s="8" t="s">
        <v>79</v>
      </c>
      <c r="C12" s="8"/>
      <c r="D12" s="8"/>
    </row>
    <row r="13" spans="1:4" x14ac:dyDescent="0.35">
      <c r="A13" s="8" t="s">
        <v>4617</v>
      </c>
      <c r="B13" s="8" t="s">
        <v>80</v>
      </c>
      <c r="C13" s="8"/>
      <c r="D13" s="8"/>
    </row>
    <row r="14" spans="1:4" x14ac:dyDescent="0.35">
      <c r="A14" s="8" t="s">
        <v>4617</v>
      </c>
      <c r="B14" s="8" t="s">
        <v>25</v>
      </c>
      <c r="C14" s="8"/>
      <c r="D14" s="8"/>
    </row>
    <row r="15" spans="1:4" x14ac:dyDescent="0.35">
      <c r="A15" s="8" t="s">
        <v>4617</v>
      </c>
      <c r="B15" s="8" t="s">
        <v>26</v>
      </c>
      <c r="C15" s="8"/>
      <c r="D15" s="8"/>
    </row>
    <row r="16" spans="1:4" x14ac:dyDescent="0.35">
      <c r="A16" s="8" t="s">
        <v>4617</v>
      </c>
      <c r="B16" s="8" t="s">
        <v>31</v>
      </c>
      <c r="C16" s="8"/>
      <c r="D16" s="8"/>
    </row>
    <row r="17" spans="1:4" x14ac:dyDescent="0.35">
      <c r="A17" s="8" t="s">
        <v>4617</v>
      </c>
      <c r="B17" s="8" t="s">
        <v>16</v>
      </c>
      <c r="C17" s="8"/>
      <c r="D17" s="8" t="s">
        <v>4616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E7"/>
  <sheetViews>
    <sheetView workbookViewId="0">
      <selection activeCell="B1" sqref="B1:C4"/>
    </sheetView>
  </sheetViews>
  <sheetFormatPr defaultRowHeight="14.5" x14ac:dyDescent="0.35"/>
  <cols>
    <col min="1" max="1" width="13.81640625" bestFit="1" customWidth="1"/>
    <col min="2" max="2" width="28" bestFit="1" customWidth="1"/>
    <col min="3" max="3" width="27" bestFit="1" customWidth="1"/>
    <col min="4" max="4" width="17.1796875" bestFit="1" customWidth="1"/>
  </cols>
  <sheetData>
    <row r="1" spans="1:5" x14ac:dyDescent="0.35">
      <c r="A1" t="s">
        <v>81</v>
      </c>
      <c r="B1" t="s">
        <v>96</v>
      </c>
      <c r="C1" t="s">
        <v>97</v>
      </c>
      <c r="D1" t="s">
        <v>82</v>
      </c>
      <c r="E1" t="s">
        <v>16</v>
      </c>
    </row>
    <row r="2" spans="1:5" x14ac:dyDescent="0.35">
      <c r="A2">
        <v>1</v>
      </c>
      <c r="C2" s="2" t="s">
        <v>883</v>
      </c>
      <c r="D2" t="s">
        <v>1003</v>
      </c>
      <c r="E2">
        <v>23581297</v>
      </c>
    </row>
    <row r="3" spans="1:5" x14ac:dyDescent="0.35">
      <c r="A3">
        <v>2</v>
      </c>
      <c r="C3" s="2" t="s">
        <v>883</v>
      </c>
      <c r="D3" t="s">
        <v>1001</v>
      </c>
      <c r="E3">
        <v>23581298</v>
      </c>
    </row>
    <row r="4" spans="1:5" x14ac:dyDescent="0.35">
      <c r="A4">
        <v>3</v>
      </c>
      <c r="C4" s="2" t="s">
        <v>883</v>
      </c>
      <c r="D4" t="s">
        <v>1002</v>
      </c>
      <c r="E4">
        <v>23581299</v>
      </c>
    </row>
    <row r="5" spans="1:5" x14ac:dyDescent="0.35">
      <c r="C5" s="2"/>
    </row>
    <row r="6" spans="1:5" x14ac:dyDescent="0.35">
      <c r="C6" s="2"/>
    </row>
    <row r="7" spans="1:5" x14ac:dyDescent="0.35">
      <c r="C7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9" tint="0.39997558519241921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Z377"/>
  <sheetViews>
    <sheetView topLeftCell="C1" workbookViewId="0">
      <selection activeCell="J1" sqref="J1"/>
    </sheetView>
  </sheetViews>
  <sheetFormatPr defaultRowHeight="14.5" x14ac:dyDescent="0.35"/>
  <cols>
    <col min="1" max="1" width="8.90625" bestFit="1" customWidth="1"/>
    <col min="2" max="2" width="28" bestFit="1" customWidth="1"/>
    <col min="3" max="3" width="27" bestFit="1" customWidth="1"/>
    <col min="4" max="4" width="11.26953125" customWidth="1"/>
    <col min="5" max="5" width="23.54296875" bestFit="1" customWidth="1"/>
    <col min="6" max="6" width="21.81640625" customWidth="1"/>
    <col min="7" max="7" width="12.08984375" customWidth="1"/>
    <col min="8" max="10" width="10.08984375" bestFit="1" customWidth="1"/>
    <col min="11" max="11" width="7.90625" customWidth="1"/>
    <col min="12" max="12" width="12.54296875" bestFit="1" customWidth="1"/>
    <col min="13" max="13" width="4.54296875" customWidth="1"/>
    <col min="14" max="14" width="8.81640625" customWidth="1"/>
    <col min="15" max="15" width="12.54296875" customWidth="1"/>
  </cols>
  <sheetData>
    <row r="1" spans="1:25" x14ac:dyDescent="0.35">
      <c r="A1" t="s">
        <v>84</v>
      </c>
      <c r="B1" t="s">
        <v>96</v>
      </c>
      <c r="C1" t="s">
        <v>97</v>
      </c>
      <c r="D1" t="s">
        <v>5481</v>
      </c>
      <c r="E1" t="s">
        <v>85</v>
      </c>
      <c r="F1" t="s">
        <v>86</v>
      </c>
      <c r="G1" t="s">
        <v>74</v>
      </c>
      <c r="H1" t="s">
        <v>87</v>
      </c>
      <c r="I1" t="s">
        <v>88</v>
      </c>
      <c r="J1" t="s">
        <v>5485</v>
      </c>
      <c r="K1" t="s">
        <v>90</v>
      </c>
      <c r="L1" t="s">
        <v>91</v>
      </c>
      <c r="M1" t="s">
        <v>92</v>
      </c>
      <c r="N1" t="s">
        <v>16</v>
      </c>
    </row>
    <row r="2" spans="1:25" x14ac:dyDescent="0.35">
      <c r="A2">
        <v>1</v>
      </c>
      <c r="C2" s="2" t="s">
        <v>883</v>
      </c>
      <c r="D2">
        <v>18</v>
      </c>
      <c r="E2" t="s">
        <v>4635</v>
      </c>
      <c r="F2" t="s">
        <v>5195</v>
      </c>
      <c r="G2" t="s">
        <v>4634</v>
      </c>
      <c r="H2" s="2">
        <v>43858</v>
      </c>
      <c r="I2" s="2" t="s">
        <v>5478</v>
      </c>
      <c r="J2" s="34" t="s">
        <v>4638</v>
      </c>
      <c r="K2" t="s">
        <v>5480</v>
      </c>
      <c r="L2">
        <v>950884</v>
      </c>
      <c r="N2">
        <v>39184501</v>
      </c>
    </row>
    <row r="3" spans="1:25" x14ac:dyDescent="0.35">
      <c r="A3">
        <v>2</v>
      </c>
      <c r="C3" s="2" t="s">
        <v>883</v>
      </c>
      <c r="D3">
        <v>7</v>
      </c>
      <c r="E3" t="s">
        <v>4637</v>
      </c>
      <c r="F3" t="s">
        <v>5196</v>
      </c>
      <c r="G3" t="s">
        <v>4636</v>
      </c>
      <c r="H3" s="2">
        <v>44069</v>
      </c>
      <c r="I3" s="2" t="s">
        <v>5478</v>
      </c>
      <c r="J3" s="34" t="s">
        <v>1</v>
      </c>
      <c r="K3" t="s">
        <v>5480</v>
      </c>
      <c r="L3">
        <v>298253</v>
      </c>
      <c r="N3">
        <v>39184502</v>
      </c>
      <c r="X3" s="2"/>
    </row>
    <row r="4" spans="1:25" x14ac:dyDescent="0.35">
      <c r="A4">
        <v>3</v>
      </c>
      <c r="C4" s="2" t="s">
        <v>883</v>
      </c>
      <c r="D4">
        <v>14</v>
      </c>
      <c r="E4" t="s">
        <v>4640</v>
      </c>
      <c r="F4" t="s">
        <v>5197</v>
      </c>
      <c r="G4" t="s">
        <v>4639</v>
      </c>
      <c r="H4" s="2">
        <v>44358</v>
      </c>
      <c r="I4" s="2" t="s">
        <v>5478</v>
      </c>
      <c r="J4" s="34" t="s">
        <v>5483</v>
      </c>
      <c r="K4" t="s">
        <v>5479</v>
      </c>
      <c r="L4">
        <v>977624</v>
      </c>
      <c r="N4">
        <v>39184503</v>
      </c>
      <c r="X4" s="2"/>
    </row>
    <row r="5" spans="1:25" x14ac:dyDescent="0.35">
      <c r="A5">
        <v>4</v>
      </c>
      <c r="C5" s="2" t="s">
        <v>883</v>
      </c>
      <c r="D5">
        <v>3</v>
      </c>
      <c r="E5" t="s">
        <v>4642</v>
      </c>
      <c r="F5" t="s">
        <v>5198</v>
      </c>
      <c r="G5" t="s">
        <v>4641</v>
      </c>
      <c r="H5" s="2">
        <v>44382</v>
      </c>
      <c r="I5" s="2">
        <v>44778</v>
      </c>
      <c r="J5" s="34" t="s">
        <v>2</v>
      </c>
      <c r="K5" t="s">
        <v>5479</v>
      </c>
      <c r="L5">
        <v>116722</v>
      </c>
      <c r="N5">
        <v>39184504</v>
      </c>
      <c r="X5" s="2"/>
    </row>
    <row r="6" spans="1:25" x14ac:dyDescent="0.35">
      <c r="A6">
        <v>5</v>
      </c>
      <c r="C6" s="2" t="s">
        <v>883</v>
      </c>
      <c r="D6">
        <v>3</v>
      </c>
      <c r="E6" t="s">
        <v>4642</v>
      </c>
      <c r="F6" t="s">
        <v>5198</v>
      </c>
      <c r="G6" t="s">
        <v>4641</v>
      </c>
      <c r="H6" s="2">
        <v>45288</v>
      </c>
      <c r="I6" s="2" t="s">
        <v>5478</v>
      </c>
      <c r="J6" s="34" t="s">
        <v>0</v>
      </c>
      <c r="K6" t="s">
        <v>5480</v>
      </c>
      <c r="L6">
        <v>920802</v>
      </c>
      <c r="N6">
        <v>39184505</v>
      </c>
      <c r="X6" s="2"/>
    </row>
    <row r="7" spans="1:25" x14ac:dyDescent="0.35">
      <c r="A7">
        <v>6</v>
      </c>
      <c r="C7" s="2" t="s">
        <v>883</v>
      </c>
      <c r="D7">
        <v>267</v>
      </c>
      <c r="E7" t="s">
        <v>4644</v>
      </c>
      <c r="F7" t="s">
        <v>5199</v>
      </c>
      <c r="G7" t="s">
        <v>4643</v>
      </c>
      <c r="H7" s="2">
        <v>44388</v>
      </c>
      <c r="I7" s="2" t="s">
        <v>5478</v>
      </c>
      <c r="J7" s="34" t="s">
        <v>4638</v>
      </c>
      <c r="K7" t="s">
        <v>5480</v>
      </c>
      <c r="L7">
        <v>846918</v>
      </c>
      <c r="N7">
        <v>39184506</v>
      </c>
      <c r="X7" s="2"/>
      <c r="Y7" s="2"/>
    </row>
    <row r="8" spans="1:25" x14ac:dyDescent="0.35">
      <c r="A8">
        <v>7</v>
      </c>
      <c r="C8" s="2" t="s">
        <v>883</v>
      </c>
      <c r="D8">
        <v>112</v>
      </c>
      <c r="E8" t="s">
        <v>4646</v>
      </c>
      <c r="F8" t="s">
        <v>5200</v>
      </c>
      <c r="G8" t="s">
        <v>4645</v>
      </c>
      <c r="H8" s="2">
        <v>44397</v>
      </c>
      <c r="I8" s="2">
        <v>45402</v>
      </c>
      <c r="J8" s="34" t="s">
        <v>5484</v>
      </c>
      <c r="K8" t="s">
        <v>5479</v>
      </c>
      <c r="L8">
        <v>41642</v>
      </c>
      <c r="N8">
        <v>39184507</v>
      </c>
      <c r="X8" s="2"/>
    </row>
    <row r="9" spans="1:25" x14ac:dyDescent="0.35">
      <c r="A9">
        <v>8</v>
      </c>
      <c r="C9" s="2" t="s">
        <v>883</v>
      </c>
      <c r="D9">
        <v>112</v>
      </c>
      <c r="E9" t="s">
        <v>4646</v>
      </c>
      <c r="F9" t="s">
        <v>5200</v>
      </c>
      <c r="G9" t="s">
        <v>4645</v>
      </c>
      <c r="H9" s="2">
        <v>44969</v>
      </c>
      <c r="I9" s="2" t="s">
        <v>5478</v>
      </c>
      <c r="J9" s="34" t="s">
        <v>2</v>
      </c>
      <c r="K9" t="s">
        <v>5479</v>
      </c>
      <c r="L9">
        <v>356119</v>
      </c>
      <c r="N9">
        <v>39184508</v>
      </c>
      <c r="X9" s="2"/>
      <c r="Y9" s="2"/>
    </row>
    <row r="10" spans="1:25" x14ac:dyDescent="0.35">
      <c r="A10">
        <v>9</v>
      </c>
      <c r="C10" s="2" t="s">
        <v>883</v>
      </c>
      <c r="D10">
        <v>23</v>
      </c>
      <c r="E10" t="s">
        <v>4648</v>
      </c>
      <c r="F10" t="s">
        <v>5201</v>
      </c>
      <c r="G10" t="s">
        <v>4647</v>
      </c>
      <c r="H10" s="2">
        <v>44403</v>
      </c>
      <c r="I10" s="2" t="s">
        <v>5478</v>
      </c>
      <c r="J10" s="34" t="s">
        <v>5482</v>
      </c>
      <c r="K10" t="s">
        <v>5479</v>
      </c>
      <c r="L10">
        <v>498392</v>
      </c>
      <c r="N10">
        <v>39184509</v>
      </c>
    </row>
    <row r="11" spans="1:25" x14ac:dyDescent="0.35">
      <c r="A11">
        <v>10</v>
      </c>
      <c r="C11" s="2" t="s">
        <v>883</v>
      </c>
      <c r="D11">
        <v>189</v>
      </c>
      <c r="E11" t="s">
        <v>4650</v>
      </c>
      <c r="F11" t="s">
        <v>5202</v>
      </c>
      <c r="G11" t="s">
        <v>4649</v>
      </c>
      <c r="H11" s="2">
        <v>44414</v>
      </c>
      <c r="I11" s="2" t="s">
        <v>5478</v>
      </c>
      <c r="J11" s="34" t="s">
        <v>4638</v>
      </c>
      <c r="K11" t="s">
        <v>5479</v>
      </c>
      <c r="L11">
        <v>540306</v>
      </c>
      <c r="N11">
        <v>39184510</v>
      </c>
      <c r="X11" s="2"/>
    </row>
    <row r="12" spans="1:25" x14ac:dyDescent="0.35">
      <c r="A12">
        <v>11</v>
      </c>
      <c r="C12" s="2" t="s">
        <v>883</v>
      </c>
      <c r="D12">
        <v>3</v>
      </c>
      <c r="E12" t="s">
        <v>4652</v>
      </c>
      <c r="F12" t="s">
        <v>5203</v>
      </c>
      <c r="G12" t="s">
        <v>4651</v>
      </c>
      <c r="H12" s="2">
        <v>44414</v>
      </c>
      <c r="I12" s="2" t="s">
        <v>5478</v>
      </c>
      <c r="J12" s="34" t="s">
        <v>2</v>
      </c>
      <c r="K12" t="s">
        <v>5480</v>
      </c>
      <c r="L12">
        <v>425151</v>
      </c>
      <c r="N12">
        <v>39184511</v>
      </c>
      <c r="X12" s="2"/>
      <c r="Y12" s="2"/>
    </row>
    <row r="13" spans="1:25" x14ac:dyDescent="0.35">
      <c r="A13">
        <v>12</v>
      </c>
      <c r="C13" s="2" t="s">
        <v>883</v>
      </c>
      <c r="D13">
        <v>189</v>
      </c>
      <c r="E13" t="s">
        <v>4654</v>
      </c>
      <c r="F13" t="s">
        <v>5204</v>
      </c>
      <c r="G13" t="s">
        <v>4653</v>
      </c>
      <c r="H13" s="2">
        <v>44415</v>
      </c>
      <c r="I13" s="2" t="s">
        <v>5478</v>
      </c>
      <c r="J13" s="34" t="s">
        <v>1</v>
      </c>
      <c r="K13" t="s">
        <v>5480</v>
      </c>
      <c r="L13">
        <v>992399</v>
      </c>
      <c r="N13">
        <v>39184512</v>
      </c>
      <c r="X13" s="2"/>
    </row>
    <row r="14" spans="1:25" x14ac:dyDescent="0.35">
      <c r="A14">
        <v>13</v>
      </c>
      <c r="C14" s="2" t="s">
        <v>883</v>
      </c>
      <c r="D14">
        <v>3</v>
      </c>
      <c r="E14" t="s">
        <v>4656</v>
      </c>
      <c r="F14" t="s">
        <v>5205</v>
      </c>
      <c r="G14" t="s">
        <v>4655</v>
      </c>
      <c r="H14" s="2">
        <v>44432</v>
      </c>
      <c r="I14" s="2" t="s">
        <v>5478</v>
      </c>
      <c r="J14" s="34" t="s">
        <v>1</v>
      </c>
      <c r="K14" t="s">
        <v>5479</v>
      </c>
      <c r="L14">
        <v>781055</v>
      </c>
      <c r="N14">
        <v>39184513</v>
      </c>
      <c r="X14" s="2"/>
      <c r="Y14" s="2"/>
    </row>
    <row r="15" spans="1:25" x14ac:dyDescent="0.35">
      <c r="A15">
        <v>14</v>
      </c>
      <c r="C15" s="2" t="s">
        <v>883</v>
      </c>
      <c r="D15">
        <v>112</v>
      </c>
      <c r="E15" t="s">
        <v>4658</v>
      </c>
      <c r="F15" t="s">
        <v>5206</v>
      </c>
      <c r="G15" t="s">
        <v>4657</v>
      </c>
      <c r="H15" s="2">
        <v>44439</v>
      </c>
      <c r="I15" s="2" t="s">
        <v>5478</v>
      </c>
      <c r="J15" s="34" t="s">
        <v>0</v>
      </c>
      <c r="K15" t="s">
        <v>5479</v>
      </c>
      <c r="L15">
        <v>48455</v>
      </c>
      <c r="N15">
        <v>39184514</v>
      </c>
      <c r="X15" s="2"/>
    </row>
    <row r="16" spans="1:25" x14ac:dyDescent="0.35">
      <c r="A16">
        <v>15</v>
      </c>
      <c r="C16" s="2" t="s">
        <v>883</v>
      </c>
      <c r="D16">
        <v>189</v>
      </c>
      <c r="E16" t="s">
        <v>4660</v>
      </c>
      <c r="F16" t="s">
        <v>5207</v>
      </c>
      <c r="G16" t="s">
        <v>4659</v>
      </c>
      <c r="H16" s="2">
        <v>44441</v>
      </c>
      <c r="I16" s="2" t="s">
        <v>5478</v>
      </c>
      <c r="J16" s="34" t="s">
        <v>4638</v>
      </c>
      <c r="K16" t="s">
        <v>5480</v>
      </c>
      <c r="L16">
        <v>105486</v>
      </c>
      <c r="N16">
        <v>39184515</v>
      </c>
      <c r="X16" s="2"/>
    </row>
    <row r="17" spans="1:24" x14ac:dyDescent="0.35">
      <c r="A17">
        <v>16</v>
      </c>
      <c r="C17" s="2" t="s">
        <v>883</v>
      </c>
      <c r="D17">
        <v>23</v>
      </c>
      <c r="E17" t="s">
        <v>4662</v>
      </c>
      <c r="F17" t="s">
        <v>5208</v>
      </c>
      <c r="G17" t="s">
        <v>4661</v>
      </c>
      <c r="H17" s="2">
        <v>44447</v>
      </c>
      <c r="I17" s="2" t="s">
        <v>5478</v>
      </c>
      <c r="J17" s="34" t="s">
        <v>0</v>
      </c>
      <c r="K17" t="s">
        <v>5480</v>
      </c>
      <c r="L17">
        <v>503859</v>
      </c>
      <c r="N17">
        <v>39184516</v>
      </c>
      <c r="X17" s="2"/>
    </row>
    <row r="18" spans="1:24" x14ac:dyDescent="0.35">
      <c r="A18">
        <v>17</v>
      </c>
      <c r="C18" s="2" t="s">
        <v>883</v>
      </c>
      <c r="D18">
        <v>189</v>
      </c>
      <c r="E18" t="s">
        <v>4664</v>
      </c>
      <c r="F18" t="s">
        <v>5209</v>
      </c>
      <c r="G18" t="s">
        <v>4663</v>
      </c>
      <c r="H18" s="2">
        <v>44459</v>
      </c>
      <c r="I18" s="2" t="s">
        <v>5478</v>
      </c>
      <c r="J18" s="34" t="s">
        <v>5482</v>
      </c>
      <c r="K18" t="s">
        <v>5480</v>
      </c>
      <c r="L18">
        <v>171564</v>
      </c>
      <c r="N18">
        <v>39184517</v>
      </c>
      <c r="X18" s="2"/>
    </row>
    <row r="19" spans="1:24" x14ac:dyDescent="0.35">
      <c r="A19">
        <v>18</v>
      </c>
      <c r="C19" s="2" t="s">
        <v>883</v>
      </c>
      <c r="D19">
        <v>23</v>
      </c>
      <c r="E19" t="s">
        <v>4666</v>
      </c>
      <c r="F19" t="s">
        <v>5210</v>
      </c>
      <c r="G19" t="s">
        <v>4665</v>
      </c>
      <c r="H19" s="2">
        <v>44466</v>
      </c>
      <c r="I19" s="2" t="s">
        <v>5478</v>
      </c>
      <c r="J19" s="34" t="s">
        <v>0</v>
      </c>
      <c r="K19" t="s">
        <v>5480</v>
      </c>
      <c r="L19">
        <v>650735</v>
      </c>
      <c r="N19">
        <v>39184518</v>
      </c>
      <c r="X19" s="2"/>
    </row>
    <row r="20" spans="1:24" x14ac:dyDescent="0.35">
      <c r="A20">
        <v>19</v>
      </c>
      <c r="C20" s="2" t="s">
        <v>883</v>
      </c>
      <c r="D20">
        <v>189</v>
      </c>
      <c r="E20" t="s">
        <v>4668</v>
      </c>
      <c r="F20" t="s">
        <v>5211</v>
      </c>
      <c r="G20" t="s">
        <v>4667</v>
      </c>
      <c r="H20" s="2">
        <v>44478</v>
      </c>
      <c r="I20" s="2" t="s">
        <v>5478</v>
      </c>
      <c r="J20" s="34" t="s">
        <v>5482</v>
      </c>
      <c r="K20" t="s">
        <v>5480</v>
      </c>
      <c r="L20">
        <v>423496</v>
      </c>
      <c r="N20">
        <v>39184519</v>
      </c>
      <c r="X20" s="2"/>
    </row>
    <row r="21" spans="1:24" x14ac:dyDescent="0.35">
      <c r="A21">
        <v>20</v>
      </c>
      <c r="C21" s="2" t="s">
        <v>883</v>
      </c>
      <c r="D21">
        <v>23</v>
      </c>
      <c r="E21" t="s">
        <v>4670</v>
      </c>
      <c r="F21" t="s">
        <v>5212</v>
      </c>
      <c r="G21" t="s">
        <v>4669</v>
      </c>
      <c r="H21" s="2">
        <v>44485</v>
      </c>
      <c r="I21" s="2" t="s">
        <v>5478</v>
      </c>
      <c r="J21" s="34" t="s">
        <v>1</v>
      </c>
      <c r="K21" t="s">
        <v>5480</v>
      </c>
      <c r="L21">
        <v>340567</v>
      </c>
      <c r="N21">
        <v>39184520</v>
      </c>
      <c r="X21" s="2"/>
    </row>
    <row r="22" spans="1:24" x14ac:dyDescent="0.35">
      <c r="A22">
        <v>21</v>
      </c>
      <c r="C22" s="2" t="s">
        <v>883</v>
      </c>
      <c r="D22">
        <v>189</v>
      </c>
      <c r="E22" t="s">
        <v>4672</v>
      </c>
      <c r="F22" t="s">
        <v>5213</v>
      </c>
      <c r="G22" t="s">
        <v>4671</v>
      </c>
      <c r="H22" s="2">
        <v>44496</v>
      </c>
      <c r="I22" s="2" t="s">
        <v>5478</v>
      </c>
      <c r="J22" s="34" t="s">
        <v>4638</v>
      </c>
      <c r="K22" t="s">
        <v>5479</v>
      </c>
      <c r="L22">
        <v>648961</v>
      </c>
      <c r="N22">
        <v>39184521</v>
      </c>
      <c r="X22" s="2"/>
    </row>
    <row r="23" spans="1:24" x14ac:dyDescent="0.35">
      <c r="A23">
        <v>22</v>
      </c>
      <c r="C23" s="2" t="s">
        <v>883</v>
      </c>
      <c r="D23">
        <v>177</v>
      </c>
      <c r="E23" t="s">
        <v>4674</v>
      </c>
      <c r="F23" t="s">
        <v>5214</v>
      </c>
      <c r="G23" t="s">
        <v>4673</v>
      </c>
      <c r="H23" s="2">
        <v>44743</v>
      </c>
      <c r="I23" s="2" t="s">
        <v>5478</v>
      </c>
      <c r="J23" s="34" t="s">
        <v>1</v>
      </c>
      <c r="K23" t="s">
        <v>5479</v>
      </c>
      <c r="L23">
        <v>954875</v>
      </c>
      <c r="N23">
        <v>39184522</v>
      </c>
      <c r="X23" s="2"/>
    </row>
    <row r="24" spans="1:24" x14ac:dyDescent="0.35">
      <c r="A24">
        <v>23</v>
      </c>
      <c r="C24" s="2" t="s">
        <v>883</v>
      </c>
      <c r="D24">
        <v>112</v>
      </c>
      <c r="E24" t="s">
        <v>4676</v>
      </c>
      <c r="F24" t="s">
        <v>5215</v>
      </c>
      <c r="G24" t="s">
        <v>4675</v>
      </c>
      <c r="H24" s="2">
        <v>44743</v>
      </c>
      <c r="I24" s="2" t="s">
        <v>5478</v>
      </c>
      <c r="J24" s="34" t="s">
        <v>0</v>
      </c>
      <c r="K24" t="s">
        <v>5479</v>
      </c>
      <c r="L24">
        <v>536362</v>
      </c>
      <c r="N24">
        <v>39184523</v>
      </c>
      <c r="X24" s="2"/>
    </row>
    <row r="25" spans="1:24" x14ac:dyDescent="0.35">
      <c r="A25">
        <v>24</v>
      </c>
      <c r="C25" s="2" t="s">
        <v>883</v>
      </c>
      <c r="D25">
        <v>201</v>
      </c>
      <c r="E25" t="s">
        <v>4678</v>
      </c>
      <c r="F25" t="s">
        <v>5216</v>
      </c>
      <c r="G25" t="s">
        <v>4677</v>
      </c>
      <c r="H25" s="2">
        <v>44744</v>
      </c>
      <c r="I25" s="2" t="s">
        <v>5478</v>
      </c>
      <c r="J25" s="34" t="s">
        <v>4638</v>
      </c>
      <c r="K25" t="s">
        <v>5480</v>
      </c>
      <c r="L25">
        <v>622860</v>
      </c>
      <c r="N25">
        <v>39184524</v>
      </c>
      <c r="X25" s="2"/>
    </row>
    <row r="26" spans="1:24" x14ac:dyDescent="0.35">
      <c r="A26">
        <v>25</v>
      </c>
      <c r="C26" s="2" t="s">
        <v>883</v>
      </c>
      <c r="D26">
        <v>201</v>
      </c>
      <c r="E26" t="s">
        <v>4680</v>
      </c>
      <c r="F26" t="s">
        <v>5217</v>
      </c>
      <c r="G26" t="s">
        <v>4679</v>
      </c>
      <c r="H26" s="2">
        <v>44744</v>
      </c>
      <c r="I26" s="2" t="s">
        <v>5478</v>
      </c>
      <c r="J26" s="34" t="s">
        <v>2</v>
      </c>
      <c r="K26" t="s">
        <v>5479</v>
      </c>
      <c r="L26">
        <v>424881</v>
      </c>
      <c r="N26">
        <v>39184525</v>
      </c>
      <c r="X26" s="2"/>
    </row>
    <row r="27" spans="1:24" x14ac:dyDescent="0.35">
      <c r="A27">
        <v>26</v>
      </c>
      <c r="C27" s="2" t="s">
        <v>883</v>
      </c>
      <c r="D27">
        <v>188</v>
      </c>
      <c r="E27" t="s">
        <v>4682</v>
      </c>
      <c r="F27" t="s">
        <v>5218</v>
      </c>
      <c r="G27" t="s">
        <v>4681</v>
      </c>
      <c r="H27" s="2">
        <v>44744</v>
      </c>
      <c r="I27" s="2" t="s">
        <v>5478</v>
      </c>
      <c r="J27" s="34" t="s">
        <v>4638</v>
      </c>
      <c r="K27" t="s">
        <v>5480</v>
      </c>
      <c r="L27">
        <v>600261</v>
      </c>
      <c r="N27">
        <v>39184526</v>
      </c>
      <c r="X27" s="2"/>
    </row>
    <row r="28" spans="1:24" x14ac:dyDescent="0.35">
      <c r="A28">
        <v>27</v>
      </c>
      <c r="C28" s="2" t="s">
        <v>883</v>
      </c>
      <c r="D28">
        <v>23</v>
      </c>
      <c r="E28" t="s">
        <v>4684</v>
      </c>
      <c r="F28" t="s">
        <v>5219</v>
      </c>
      <c r="G28" t="s">
        <v>4683</v>
      </c>
      <c r="H28" s="2">
        <v>44745</v>
      </c>
      <c r="I28" s="2" t="s">
        <v>5478</v>
      </c>
      <c r="J28" s="34" t="s">
        <v>5484</v>
      </c>
      <c r="K28" t="s">
        <v>5479</v>
      </c>
      <c r="L28">
        <v>626335</v>
      </c>
      <c r="N28">
        <v>39184527</v>
      </c>
      <c r="X28" s="2"/>
    </row>
    <row r="29" spans="1:24" x14ac:dyDescent="0.35">
      <c r="A29">
        <v>28</v>
      </c>
      <c r="C29" s="2" t="s">
        <v>883</v>
      </c>
      <c r="D29">
        <v>111</v>
      </c>
      <c r="E29" t="s">
        <v>4686</v>
      </c>
      <c r="F29" t="s">
        <v>5220</v>
      </c>
      <c r="G29" t="s">
        <v>4685</v>
      </c>
      <c r="H29" s="2">
        <v>44746</v>
      </c>
      <c r="I29" s="2" t="s">
        <v>5478</v>
      </c>
      <c r="J29" s="34" t="s">
        <v>5483</v>
      </c>
      <c r="K29" t="s">
        <v>5479</v>
      </c>
      <c r="L29">
        <v>682249</v>
      </c>
      <c r="N29">
        <v>39184528</v>
      </c>
      <c r="X29" s="2"/>
    </row>
    <row r="30" spans="1:24" x14ac:dyDescent="0.35">
      <c r="A30">
        <v>29</v>
      </c>
      <c r="C30" s="2" t="s">
        <v>883</v>
      </c>
      <c r="D30">
        <v>89</v>
      </c>
      <c r="E30" t="s">
        <v>4688</v>
      </c>
      <c r="F30" t="s">
        <v>5221</v>
      </c>
      <c r="G30" t="s">
        <v>4687</v>
      </c>
      <c r="H30" s="2">
        <v>44746</v>
      </c>
      <c r="I30" s="2" t="s">
        <v>5478</v>
      </c>
      <c r="J30" s="34" t="s">
        <v>5483</v>
      </c>
      <c r="K30" t="s">
        <v>5479</v>
      </c>
      <c r="L30">
        <v>733518</v>
      </c>
      <c r="N30">
        <v>39184529</v>
      </c>
      <c r="X30" s="2"/>
    </row>
    <row r="31" spans="1:24" x14ac:dyDescent="0.35">
      <c r="A31">
        <v>30</v>
      </c>
      <c r="C31" s="2" t="s">
        <v>883</v>
      </c>
      <c r="D31">
        <v>154</v>
      </c>
      <c r="E31" t="s">
        <v>4690</v>
      </c>
      <c r="F31" t="s">
        <v>5222</v>
      </c>
      <c r="G31" t="s">
        <v>4689</v>
      </c>
      <c r="H31" s="2">
        <v>44746</v>
      </c>
      <c r="I31" s="2" t="s">
        <v>5478</v>
      </c>
      <c r="J31" s="34" t="s">
        <v>0</v>
      </c>
      <c r="K31" t="s">
        <v>5480</v>
      </c>
      <c r="L31">
        <v>351907</v>
      </c>
      <c r="N31">
        <v>39184530</v>
      </c>
      <c r="X31" s="2"/>
    </row>
    <row r="32" spans="1:24" x14ac:dyDescent="0.35">
      <c r="A32">
        <v>31</v>
      </c>
      <c r="C32" s="2" t="s">
        <v>883</v>
      </c>
      <c r="D32">
        <v>16</v>
      </c>
      <c r="E32" t="s">
        <v>4692</v>
      </c>
      <c r="F32" t="s">
        <v>5223</v>
      </c>
      <c r="G32" t="s">
        <v>4691</v>
      </c>
      <c r="H32" s="2">
        <v>44747</v>
      </c>
      <c r="I32" s="2" t="s">
        <v>5478</v>
      </c>
      <c r="J32" s="34" t="s">
        <v>5482</v>
      </c>
      <c r="K32" t="s">
        <v>5480</v>
      </c>
      <c r="L32">
        <v>882926</v>
      </c>
      <c r="N32">
        <v>39184531</v>
      </c>
      <c r="X32" s="2"/>
    </row>
    <row r="33" spans="1:24" x14ac:dyDescent="0.35">
      <c r="A33">
        <v>32</v>
      </c>
      <c r="C33" s="2" t="s">
        <v>883</v>
      </c>
      <c r="D33">
        <v>143</v>
      </c>
      <c r="E33" t="s">
        <v>4694</v>
      </c>
      <c r="F33" t="s">
        <v>5224</v>
      </c>
      <c r="G33" t="s">
        <v>4693</v>
      </c>
      <c r="H33" s="2">
        <v>44748</v>
      </c>
      <c r="I33" s="2" t="s">
        <v>5478</v>
      </c>
      <c r="J33" s="34" t="s">
        <v>1</v>
      </c>
      <c r="K33" t="s">
        <v>5479</v>
      </c>
      <c r="L33">
        <v>376969</v>
      </c>
      <c r="N33">
        <v>39184532</v>
      </c>
      <c r="X33" s="2"/>
    </row>
    <row r="34" spans="1:24" x14ac:dyDescent="0.35">
      <c r="A34">
        <v>33</v>
      </c>
      <c r="C34" s="2" t="s">
        <v>883</v>
      </c>
      <c r="D34">
        <v>214</v>
      </c>
      <c r="E34" t="s">
        <v>4696</v>
      </c>
      <c r="F34" t="s">
        <v>5225</v>
      </c>
      <c r="G34" t="s">
        <v>4695</v>
      </c>
      <c r="H34" s="2">
        <v>44748</v>
      </c>
      <c r="I34" s="2" t="s">
        <v>5478</v>
      </c>
      <c r="J34" s="34" t="s">
        <v>5484</v>
      </c>
      <c r="K34" t="s">
        <v>5480</v>
      </c>
      <c r="L34">
        <v>784078</v>
      </c>
      <c r="N34">
        <v>39184533</v>
      </c>
      <c r="X34" s="2"/>
    </row>
    <row r="35" spans="1:24" x14ac:dyDescent="0.35">
      <c r="A35">
        <v>34</v>
      </c>
      <c r="C35" s="2" t="s">
        <v>883</v>
      </c>
      <c r="D35">
        <v>188</v>
      </c>
      <c r="E35" t="s">
        <v>4697</v>
      </c>
      <c r="F35" t="s">
        <v>5226</v>
      </c>
      <c r="G35" t="s">
        <v>3439</v>
      </c>
      <c r="H35" s="2">
        <v>44749</v>
      </c>
      <c r="I35" s="2" t="s">
        <v>5478</v>
      </c>
      <c r="J35" s="34" t="s">
        <v>0</v>
      </c>
      <c r="K35" t="s">
        <v>5479</v>
      </c>
      <c r="L35">
        <v>55283</v>
      </c>
      <c r="N35">
        <v>39184534</v>
      </c>
    </row>
    <row r="36" spans="1:24" x14ac:dyDescent="0.35">
      <c r="A36">
        <v>35</v>
      </c>
      <c r="C36" s="2" t="s">
        <v>883</v>
      </c>
      <c r="D36">
        <v>138</v>
      </c>
      <c r="E36" t="s">
        <v>4699</v>
      </c>
      <c r="F36" t="s">
        <v>5227</v>
      </c>
      <c r="G36" t="s">
        <v>4698</v>
      </c>
      <c r="H36" s="2">
        <v>44749</v>
      </c>
      <c r="I36" s="2" t="s">
        <v>5478</v>
      </c>
      <c r="J36" s="34" t="s">
        <v>4638</v>
      </c>
      <c r="K36" t="s">
        <v>5479</v>
      </c>
      <c r="L36">
        <v>921037</v>
      </c>
      <c r="N36">
        <v>39184535</v>
      </c>
      <c r="X36" s="2"/>
    </row>
    <row r="37" spans="1:24" x14ac:dyDescent="0.35">
      <c r="A37">
        <v>36</v>
      </c>
      <c r="C37" s="2" t="s">
        <v>883</v>
      </c>
      <c r="D37">
        <v>87</v>
      </c>
      <c r="E37" t="s">
        <v>4701</v>
      </c>
      <c r="F37" t="s">
        <v>5228</v>
      </c>
      <c r="G37" t="s">
        <v>4700</v>
      </c>
      <c r="H37" s="2">
        <v>44749</v>
      </c>
      <c r="I37" s="2" t="s">
        <v>5478</v>
      </c>
      <c r="J37" s="34" t="s">
        <v>5483</v>
      </c>
      <c r="K37" t="s">
        <v>5479</v>
      </c>
      <c r="L37">
        <v>587339</v>
      </c>
      <c r="N37">
        <v>39184536</v>
      </c>
      <c r="X37" s="2"/>
    </row>
    <row r="38" spans="1:24" x14ac:dyDescent="0.35">
      <c r="A38">
        <v>37</v>
      </c>
      <c r="C38" s="2" t="s">
        <v>883</v>
      </c>
      <c r="D38">
        <v>87</v>
      </c>
      <c r="E38" t="s">
        <v>4703</v>
      </c>
      <c r="F38" t="s">
        <v>5229</v>
      </c>
      <c r="G38" t="s">
        <v>4702</v>
      </c>
      <c r="H38" s="2">
        <v>44749</v>
      </c>
      <c r="I38" s="2" t="s">
        <v>5478</v>
      </c>
      <c r="J38" s="34" t="s">
        <v>5482</v>
      </c>
      <c r="K38" t="s">
        <v>5479</v>
      </c>
      <c r="L38">
        <v>450313</v>
      </c>
      <c r="N38">
        <v>39184537</v>
      </c>
      <c r="X38" s="2"/>
    </row>
    <row r="39" spans="1:24" x14ac:dyDescent="0.35">
      <c r="A39">
        <v>38</v>
      </c>
      <c r="C39" s="2" t="s">
        <v>883</v>
      </c>
      <c r="D39">
        <v>40</v>
      </c>
      <c r="E39" t="s">
        <v>4705</v>
      </c>
      <c r="F39" t="s">
        <v>5230</v>
      </c>
      <c r="G39" t="s">
        <v>4704</v>
      </c>
      <c r="H39" s="2">
        <v>44749</v>
      </c>
      <c r="I39" s="2" t="s">
        <v>5478</v>
      </c>
      <c r="J39" s="34" t="s">
        <v>0</v>
      </c>
      <c r="K39" t="s">
        <v>5479</v>
      </c>
      <c r="L39">
        <v>845018</v>
      </c>
      <c r="N39">
        <v>39184538</v>
      </c>
      <c r="X39" s="2"/>
    </row>
    <row r="40" spans="1:24" x14ac:dyDescent="0.35">
      <c r="A40">
        <v>39</v>
      </c>
      <c r="C40" s="2" t="s">
        <v>883</v>
      </c>
      <c r="D40">
        <v>9</v>
      </c>
      <c r="E40" t="s">
        <v>4707</v>
      </c>
      <c r="F40" t="s">
        <v>5231</v>
      </c>
      <c r="G40" t="s">
        <v>4706</v>
      </c>
      <c r="H40" s="2">
        <v>44750</v>
      </c>
      <c r="I40" s="2" t="s">
        <v>5478</v>
      </c>
      <c r="J40" s="34" t="s">
        <v>1</v>
      </c>
      <c r="K40" t="s">
        <v>5479</v>
      </c>
      <c r="L40">
        <v>999151</v>
      </c>
      <c r="N40">
        <v>39184539</v>
      </c>
      <c r="X40" s="2"/>
    </row>
    <row r="41" spans="1:24" x14ac:dyDescent="0.35">
      <c r="A41">
        <v>40</v>
      </c>
      <c r="C41" s="2" t="s">
        <v>883</v>
      </c>
      <c r="D41">
        <v>23</v>
      </c>
      <c r="E41" t="s">
        <v>4709</v>
      </c>
      <c r="F41" t="s">
        <v>5232</v>
      </c>
      <c r="G41" t="s">
        <v>4708</v>
      </c>
      <c r="H41" s="2">
        <v>44750</v>
      </c>
      <c r="I41" s="2" t="s">
        <v>5478</v>
      </c>
      <c r="J41" s="34" t="s">
        <v>2</v>
      </c>
      <c r="K41" t="s">
        <v>5479</v>
      </c>
      <c r="L41">
        <v>980223</v>
      </c>
      <c r="N41">
        <v>39184540</v>
      </c>
      <c r="X41" s="2"/>
    </row>
    <row r="42" spans="1:24" x14ac:dyDescent="0.35">
      <c r="A42">
        <v>41</v>
      </c>
      <c r="C42" s="2" t="s">
        <v>883</v>
      </c>
      <c r="D42">
        <v>186</v>
      </c>
      <c r="E42" t="s">
        <v>4711</v>
      </c>
      <c r="F42" t="s">
        <v>5233</v>
      </c>
      <c r="G42" t="s">
        <v>4710</v>
      </c>
      <c r="H42" s="2">
        <v>44751</v>
      </c>
      <c r="I42" s="2" t="s">
        <v>5478</v>
      </c>
      <c r="J42" s="34" t="s">
        <v>5484</v>
      </c>
      <c r="K42" t="s">
        <v>5480</v>
      </c>
      <c r="L42">
        <v>486425</v>
      </c>
      <c r="N42">
        <v>39184541</v>
      </c>
      <c r="X42" s="2"/>
    </row>
    <row r="43" spans="1:24" x14ac:dyDescent="0.35">
      <c r="A43">
        <v>42</v>
      </c>
      <c r="C43" s="2" t="s">
        <v>883</v>
      </c>
      <c r="D43">
        <v>163</v>
      </c>
      <c r="E43" t="s">
        <v>4713</v>
      </c>
      <c r="F43" t="s">
        <v>5234</v>
      </c>
      <c r="G43" t="s">
        <v>4712</v>
      </c>
      <c r="H43" s="2">
        <v>44751</v>
      </c>
      <c r="I43" s="2" t="s">
        <v>5478</v>
      </c>
      <c r="J43" s="34" t="s">
        <v>5483</v>
      </c>
      <c r="K43" t="s">
        <v>5479</v>
      </c>
      <c r="L43">
        <v>76756</v>
      </c>
      <c r="N43">
        <v>39184542</v>
      </c>
      <c r="X43" s="2"/>
    </row>
    <row r="44" spans="1:24" x14ac:dyDescent="0.35">
      <c r="A44">
        <v>43</v>
      </c>
      <c r="C44" s="2" t="s">
        <v>883</v>
      </c>
      <c r="D44">
        <v>204</v>
      </c>
      <c r="E44" t="s">
        <v>4715</v>
      </c>
      <c r="F44" t="s">
        <v>5235</v>
      </c>
      <c r="G44" t="s">
        <v>4714</v>
      </c>
      <c r="H44" s="2">
        <v>44751</v>
      </c>
      <c r="I44" s="2" t="s">
        <v>5478</v>
      </c>
      <c r="J44" s="34" t="s">
        <v>0</v>
      </c>
      <c r="K44" t="s">
        <v>5479</v>
      </c>
      <c r="L44">
        <v>722099</v>
      </c>
      <c r="N44">
        <v>39184543</v>
      </c>
      <c r="X44" s="2"/>
    </row>
    <row r="45" spans="1:24" x14ac:dyDescent="0.35">
      <c r="A45">
        <v>44</v>
      </c>
      <c r="C45" s="2" t="s">
        <v>883</v>
      </c>
      <c r="D45">
        <v>112</v>
      </c>
      <c r="E45" t="s">
        <v>4717</v>
      </c>
      <c r="F45" t="s">
        <v>5236</v>
      </c>
      <c r="G45" t="s">
        <v>4716</v>
      </c>
      <c r="H45" s="2">
        <v>44753</v>
      </c>
      <c r="I45" s="2" t="s">
        <v>5478</v>
      </c>
      <c r="J45" s="34" t="s">
        <v>2</v>
      </c>
      <c r="K45" t="s">
        <v>5480</v>
      </c>
      <c r="L45">
        <v>924185</v>
      </c>
      <c r="N45">
        <v>39184544</v>
      </c>
      <c r="X45" s="2"/>
    </row>
    <row r="46" spans="1:24" x14ac:dyDescent="0.35">
      <c r="A46">
        <v>45</v>
      </c>
      <c r="C46" s="2" t="s">
        <v>883</v>
      </c>
      <c r="D46">
        <v>76</v>
      </c>
      <c r="E46" t="s">
        <v>4719</v>
      </c>
      <c r="F46" t="s">
        <v>5237</v>
      </c>
      <c r="G46" t="s">
        <v>4718</v>
      </c>
      <c r="H46" s="2">
        <v>44754</v>
      </c>
      <c r="I46" s="2" t="s">
        <v>5478</v>
      </c>
      <c r="J46" s="34" t="s">
        <v>1</v>
      </c>
      <c r="K46" t="s">
        <v>5479</v>
      </c>
      <c r="L46">
        <v>358931</v>
      </c>
      <c r="N46">
        <v>39184545</v>
      </c>
      <c r="X46" s="2"/>
    </row>
    <row r="47" spans="1:24" x14ac:dyDescent="0.35">
      <c r="A47">
        <v>46</v>
      </c>
      <c r="C47" s="2" t="s">
        <v>883</v>
      </c>
      <c r="D47">
        <v>23</v>
      </c>
      <c r="E47" t="s">
        <v>4721</v>
      </c>
      <c r="F47" t="s">
        <v>5238</v>
      </c>
      <c r="G47" t="s">
        <v>4720</v>
      </c>
      <c r="H47" s="2">
        <v>44754</v>
      </c>
      <c r="I47" s="2" t="s">
        <v>5478</v>
      </c>
      <c r="J47" s="34" t="s">
        <v>5483</v>
      </c>
      <c r="K47" t="s">
        <v>5479</v>
      </c>
      <c r="L47">
        <v>863762</v>
      </c>
      <c r="N47">
        <v>39184546</v>
      </c>
      <c r="X47" s="2"/>
    </row>
    <row r="48" spans="1:24" x14ac:dyDescent="0.35">
      <c r="A48">
        <v>47</v>
      </c>
      <c r="C48" s="2" t="s">
        <v>883</v>
      </c>
      <c r="D48">
        <v>214</v>
      </c>
      <c r="E48" t="s">
        <v>4723</v>
      </c>
      <c r="F48" t="s">
        <v>5239</v>
      </c>
      <c r="G48" t="s">
        <v>4722</v>
      </c>
      <c r="H48" s="2">
        <v>44754</v>
      </c>
      <c r="I48" s="2" t="s">
        <v>5478</v>
      </c>
      <c r="J48" s="34" t="s">
        <v>1</v>
      </c>
      <c r="K48" t="s">
        <v>5480</v>
      </c>
      <c r="L48">
        <v>403034</v>
      </c>
      <c r="N48">
        <v>39184547</v>
      </c>
      <c r="X48" s="2"/>
    </row>
    <row r="49" spans="1:24" x14ac:dyDescent="0.35">
      <c r="A49">
        <v>48</v>
      </c>
      <c r="C49" s="2" t="s">
        <v>883</v>
      </c>
      <c r="D49">
        <v>7</v>
      </c>
      <c r="E49" t="s">
        <v>4725</v>
      </c>
      <c r="F49" t="s">
        <v>5240</v>
      </c>
      <c r="G49" t="s">
        <v>4724</v>
      </c>
      <c r="H49" s="2">
        <v>44754</v>
      </c>
      <c r="I49" s="2" t="s">
        <v>5478</v>
      </c>
      <c r="J49" s="34" t="s">
        <v>4638</v>
      </c>
      <c r="K49" t="s">
        <v>5480</v>
      </c>
      <c r="L49">
        <v>103169</v>
      </c>
      <c r="N49">
        <v>39184548</v>
      </c>
      <c r="X49" s="2"/>
    </row>
    <row r="50" spans="1:24" x14ac:dyDescent="0.35">
      <c r="A50">
        <v>49</v>
      </c>
      <c r="C50" s="2" t="s">
        <v>883</v>
      </c>
      <c r="D50">
        <v>32</v>
      </c>
      <c r="E50" t="s">
        <v>4727</v>
      </c>
      <c r="F50" t="s">
        <v>5241</v>
      </c>
      <c r="G50" t="s">
        <v>4726</v>
      </c>
      <c r="H50" s="2">
        <v>44755</v>
      </c>
      <c r="I50" s="2" t="s">
        <v>5478</v>
      </c>
      <c r="J50" s="34" t="s">
        <v>4638</v>
      </c>
      <c r="K50" t="s">
        <v>5480</v>
      </c>
      <c r="L50">
        <v>570014</v>
      </c>
      <c r="N50">
        <v>39184549</v>
      </c>
      <c r="X50" s="2"/>
    </row>
    <row r="51" spans="1:24" x14ac:dyDescent="0.35">
      <c r="A51">
        <v>50</v>
      </c>
      <c r="C51" s="2" t="s">
        <v>883</v>
      </c>
      <c r="D51">
        <v>40</v>
      </c>
      <c r="E51" t="s">
        <v>4729</v>
      </c>
      <c r="F51" t="s">
        <v>5242</v>
      </c>
      <c r="G51" t="s">
        <v>4728</v>
      </c>
      <c r="H51" s="2">
        <v>44756</v>
      </c>
      <c r="I51" s="2" t="s">
        <v>5478</v>
      </c>
      <c r="J51" s="34" t="s">
        <v>5484</v>
      </c>
      <c r="K51" t="s">
        <v>5479</v>
      </c>
      <c r="L51">
        <v>492038</v>
      </c>
      <c r="N51">
        <v>39184550</v>
      </c>
      <c r="X51" s="2"/>
    </row>
    <row r="52" spans="1:24" x14ac:dyDescent="0.35">
      <c r="A52">
        <v>51</v>
      </c>
      <c r="C52" s="2" t="s">
        <v>883</v>
      </c>
      <c r="D52">
        <v>222</v>
      </c>
      <c r="E52" t="s">
        <v>4731</v>
      </c>
      <c r="F52" t="s">
        <v>5243</v>
      </c>
      <c r="G52" t="s">
        <v>4730</v>
      </c>
      <c r="H52" s="2">
        <v>44756</v>
      </c>
      <c r="I52" s="2" t="s">
        <v>5478</v>
      </c>
      <c r="J52" s="34" t="s">
        <v>0</v>
      </c>
      <c r="K52" t="s">
        <v>5479</v>
      </c>
      <c r="L52">
        <v>784234</v>
      </c>
      <c r="N52">
        <v>39184551</v>
      </c>
      <c r="X52" s="2"/>
    </row>
    <row r="53" spans="1:24" x14ac:dyDescent="0.35">
      <c r="A53">
        <v>52</v>
      </c>
      <c r="C53" s="2" t="s">
        <v>883</v>
      </c>
      <c r="D53">
        <v>188</v>
      </c>
      <c r="E53" t="s">
        <v>4733</v>
      </c>
      <c r="F53" t="s">
        <v>5244</v>
      </c>
      <c r="G53" t="s">
        <v>4732</v>
      </c>
      <c r="H53" s="2">
        <v>44756</v>
      </c>
      <c r="I53" s="2" t="s">
        <v>5478</v>
      </c>
      <c r="J53" s="34" t="s">
        <v>5483</v>
      </c>
      <c r="K53" t="s">
        <v>5480</v>
      </c>
      <c r="L53">
        <v>686680</v>
      </c>
      <c r="N53">
        <v>39184552</v>
      </c>
      <c r="X53" s="2"/>
    </row>
    <row r="54" spans="1:24" x14ac:dyDescent="0.35">
      <c r="A54">
        <v>53</v>
      </c>
      <c r="C54" s="2" t="s">
        <v>883</v>
      </c>
      <c r="D54">
        <v>23</v>
      </c>
      <c r="E54" t="s">
        <v>4735</v>
      </c>
      <c r="F54" t="s">
        <v>5245</v>
      </c>
      <c r="G54" t="s">
        <v>4734</v>
      </c>
      <c r="H54" s="2">
        <v>44757</v>
      </c>
      <c r="I54" s="2" t="s">
        <v>5478</v>
      </c>
      <c r="J54" s="34" t="s">
        <v>0</v>
      </c>
      <c r="K54" t="s">
        <v>5479</v>
      </c>
      <c r="L54">
        <v>137415</v>
      </c>
      <c r="N54">
        <v>39184553</v>
      </c>
      <c r="X54" s="2"/>
    </row>
    <row r="55" spans="1:24" x14ac:dyDescent="0.35">
      <c r="A55">
        <v>54</v>
      </c>
      <c r="C55" s="2" t="s">
        <v>883</v>
      </c>
      <c r="D55">
        <v>126</v>
      </c>
      <c r="E55" t="s">
        <v>4737</v>
      </c>
      <c r="F55" t="s">
        <v>5246</v>
      </c>
      <c r="G55" t="s">
        <v>4736</v>
      </c>
      <c r="H55" s="2">
        <v>44757</v>
      </c>
      <c r="I55" s="2" t="s">
        <v>5478</v>
      </c>
      <c r="J55" s="34" t="s">
        <v>2</v>
      </c>
      <c r="K55" t="s">
        <v>5479</v>
      </c>
      <c r="L55">
        <v>524481</v>
      </c>
      <c r="N55">
        <v>39184554</v>
      </c>
      <c r="X55" s="2"/>
    </row>
    <row r="56" spans="1:24" x14ac:dyDescent="0.35">
      <c r="A56">
        <v>55</v>
      </c>
      <c r="C56" s="2" t="s">
        <v>883</v>
      </c>
      <c r="D56">
        <v>20</v>
      </c>
      <c r="E56" t="s">
        <v>4739</v>
      </c>
      <c r="F56" t="s">
        <v>5247</v>
      </c>
      <c r="G56" t="s">
        <v>4738</v>
      </c>
      <c r="H56" s="2">
        <v>44757</v>
      </c>
      <c r="I56" s="2" t="s">
        <v>5478</v>
      </c>
      <c r="J56" s="34" t="s">
        <v>1</v>
      </c>
      <c r="K56" t="s">
        <v>5479</v>
      </c>
      <c r="L56">
        <v>201917</v>
      </c>
      <c r="N56">
        <v>39184555</v>
      </c>
      <c r="X56" s="2"/>
    </row>
    <row r="57" spans="1:24" x14ac:dyDescent="0.35">
      <c r="A57">
        <v>56</v>
      </c>
      <c r="C57" s="2" t="s">
        <v>883</v>
      </c>
      <c r="D57">
        <v>92</v>
      </c>
      <c r="E57" t="s">
        <v>4741</v>
      </c>
      <c r="F57" t="s">
        <v>5248</v>
      </c>
      <c r="G57" t="s">
        <v>4740</v>
      </c>
      <c r="H57" s="2">
        <v>44758</v>
      </c>
      <c r="I57" s="2" t="s">
        <v>5478</v>
      </c>
      <c r="J57" s="34" t="s">
        <v>5484</v>
      </c>
      <c r="K57" t="s">
        <v>5479</v>
      </c>
      <c r="L57">
        <v>644724</v>
      </c>
      <c r="N57">
        <v>39184556</v>
      </c>
      <c r="X57" s="2"/>
    </row>
    <row r="58" spans="1:24" x14ac:dyDescent="0.35">
      <c r="A58">
        <v>57</v>
      </c>
      <c r="C58" s="2" t="s">
        <v>883</v>
      </c>
      <c r="D58">
        <v>147</v>
      </c>
      <c r="E58" t="s">
        <v>4743</v>
      </c>
      <c r="F58" t="s">
        <v>5249</v>
      </c>
      <c r="G58" t="s">
        <v>4742</v>
      </c>
      <c r="H58" s="2">
        <v>44758</v>
      </c>
      <c r="I58" s="2" t="s">
        <v>5478</v>
      </c>
      <c r="J58" s="34" t="s">
        <v>4638</v>
      </c>
      <c r="K58" t="s">
        <v>5480</v>
      </c>
      <c r="L58">
        <v>790900</v>
      </c>
      <c r="N58">
        <v>39184557</v>
      </c>
      <c r="X58" s="2"/>
    </row>
    <row r="59" spans="1:24" x14ac:dyDescent="0.35">
      <c r="A59">
        <v>58</v>
      </c>
      <c r="C59" s="2" t="s">
        <v>883</v>
      </c>
      <c r="D59">
        <v>214</v>
      </c>
      <c r="E59" t="s">
        <v>4745</v>
      </c>
      <c r="F59" t="s">
        <v>5250</v>
      </c>
      <c r="G59" t="s">
        <v>4744</v>
      </c>
      <c r="H59" s="2">
        <v>44759</v>
      </c>
      <c r="I59" s="2" t="s">
        <v>5478</v>
      </c>
      <c r="J59" s="34" t="s">
        <v>1</v>
      </c>
      <c r="K59" t="s">
        <v>5479</v>
      </c>
      <c r="L59">
        <v>448414</v>
      </c>
      <c r="N59">
        <v>39184558</v>
      </c>
      <c r="X59" s="2"/>
    </row>
    <row r="60" spans="1:24" x14ac:dyDescent="0.35">
      <c r="A60">
        <v>59</v>
      </c>
      <c r="C60" s="2" t="s">
        <v>883</v>
      </c>
      <c r="D60">
        <v>18</v>
      </c>
      <c r="E60" t="s">
        <v>4747</v>
      </c>
      <c r="F60" t="s">
        <v>5251</v>
      </c>
      <c r="G60" t="s">
        <v>4746</v>
      </c>
      <c r="H60" s="2">
        <v>44759</v>
      </c>
      <c r="I60" s="2" t="s">
        <v>5478</v>
      </c>
      <c r="J60" s="34" t="s">
        <v>0</v>
      </c>
      <c r="K60" t="s">
        <v>5479</v>
      </c>
      <c r="L60">
        <v>298493</v>
      </c>
      <c r="N60">
        <v>39184559</v>
      </c>
      <c r="X60" s="2"/>
    </row>
    <row r="61" spans="1:24" x14ac:dyDescent="0.35">
      <c r="A61">
        <v>60</v>
      </c>
      <c r="C61" s="2" t="s">
        <v>883</v>
      </c>
      <c r="D61">
        <v>40</v>
      </c>
      <c r="E61" t="s">
        <v>4749</v>
      </c>
      <c r="F61" t="s">
        <v>5252</v>
      </c>
      <c r="G61" t="s">
        <v>4748</v>
      </c>
      <c r="H61" s="2">
        <v>44759</v>
      </c>
      <c r="I61" s="2" t="s">
        <v>5478</v>
      </c>
      <c r="J61" s="34" t="s">
        <v>1</v>
      </c>
      <c r="K61" t="s">
        <v>5480</v>
      </c>
      <c r="L61">
        <v>276894</v>
      </c>
      <c r="N61">
        <v>39184560</v>
      </c>
      <c r="X61" s="2"/>
    </row>
    <row r="62" spans="1:24" x14ac:dyDescent="0.35">
      <c r="A62">
        <v>61</v>
      </c>
      <c r="C62" s="2" t="s">
        <v>883</v>
      </c>
      <c r="D62">
        <v>142</v>
      </c>
      <c r="E62" t="s">
        <v>4751</v>
      </c>
      <c r="F62" t="s">
        <v>5253</v>
      </c>
      <c r="G62" t="s">
        <v>4750</v>
      </c>
      <c r="H62" s="2">
        <v>44760</v>
      </c>
      <c r="I62" s="2" t="s">
        <v>5478</v>
      </c>
      <c r="J62" s="34" t="s">
        <v>5483</v>
      </c>
      <c r="K62" t="s">
        <v>5479</v>
      </c>
      <c r="L62">
        <v>842433</v>
      </c>
      <c r="N62">
        <v>39184561</v>
      </c>
      <c r="X62" s="2"/>
    </row>
    <row r="63" spans="1:24" x14ac:dyDescent="0.35">
      <c r="A63">
        <v>62</v>
      </c>
      <c r="C63" s="2" t="s">
        <v>883</v>
      </c>
      <c r="D63">
        <v>76</v>
      </c>
      <c r="E63" t="s">
        <v>4753</v>
      </c>
      <c r="F63" t="s">
        <v>5254</v>
      </c>
      <c r="G63" t="s">
        <v>4752</v>
      </c>
      <c r="H63" s="2">
        <v>44761</v>
      </c>
      <c r="I63" s="2" t="s">
        <v>5478</v>
      </c>
      <c r="J63" s="34" t="s">
        <v>0</v>
      </c>
      <c r="K63" t="s">
        <v>5479</v>
      </c>
      <c r="L63">
        <v>493162</v>
      </c>
      <c r="N63">
        <v>39184562</v>
      </c>
      <c r="X63" s="2"/>
    </row>
    <row r="64" spans="1:24" x14ac:dyDescent="0.35">
      <c r="A64">
        <v>63</v>
      </c>
      <c r="C64" s="2" t="s">
        <v>883</v>
      </c>
      <c r="D64">
        <v>177</v>
      </c>
      <c r="E64" t="s">
        <v>4755</v>
      </c>
      <c r="F64" t="s">
        <v>5255</v>
      </c>
      <c r="G64" t="s">
        <v>4754</v>
      </c>
      <c r="H64" s="2">
        <v>44761</v>
      </c>
      <c r="I64" s="2" t="s">
        <v>5478</v>
      </c>
      <c r="J64" s="34" t="s">
        <v>4638</v>
      </c>
      <c r="K64" t="s">
        <v>5479</v>
      </c>
      <c r="L64">
        <v>119735</v>
      </c>
      <c r="N64">
        <v>39184563</v>
      </c>
      <c r="X64" s="2"/>
    </row>
    <row r="65" spans="1:24" x14ac:dyDescent="0.35">
      <c r="A65">
        <v>64</v>
      </c>
      <c r="C65" s="2" t="s">
        <v>883</v>
      </c>
      <c r="D65">
        <v>188</v>
      </c>
      <c r="E65" t="s">
        <v>4757</v>
      </c>
      <c r="F65" t="s">
        <v>5256</v>
      </c>
      <c r="G65" t="s">
        <v>4756</v>
      </c>
      <c r="H65" s="2">
        <v>44763</v>
      </c>
      <c r="I65" s="2" t="s">
        <v>5478</v>
      </c>
      <c r="J65" s="34" t="s">
        <v>2</v>
      </c>
      <c r="K65" t="s">
        <v>5480</v>
      </c>
      <c r="L65">
        <v>317518</v>
      </c>
      <c r="N65">
        <v>39184564</v>
      </c>
      <c r="X65" s="2"/>
    </row>
    <row r="66" spans="1:24" x14ac:dyDescent="0.35">
      <c r="A66">
        <v>65</v>
      </c>
      <c r="C66" s="2" t="s">
        <v>883</v>
      </c>
      <c r="D66">
        <v>89</v>
      </c>
      <c r="E66" t="s">
        <v>4759</v>
      </c>
      <c r="F66" t="s">
        <v>5257</v>
      </c>
      <c r="G66" t="s">
        <v>4758</v>
      </c>
      <c r="H66" s="2">
        <v>44764</v>
      </c>
      <c r="I66" s="2" t="s">
        <v>5478</v>
      </c>
      <c r="J66" s="34" t="s">
        <v>2</v>
      </c>
      <c r="K66" t="s">
        <v>5480</v>
      </c>
      <c r="L66">
        <v>909377</v>
      </c>
      <c r="N66">
        <v>39184565</v>
      </c>
      <c r="X66" s="2"/>
    </row>
    <row r="67" spans="1:24" x14ac:dyDescent="0.35">
      <c r="A67">
        <v>66</v>
      </c>
      <c r="C67" s="2" t="s">
        <v>883</v>
      </c>
      <c r="D67">
        <v>23</v>
      </c>
      <c r="E67" t="s">
        <v>4761</v>
      </c>
      <c r="F67" t="s">
        <v>5258</v>
      </c>
      <c r="G67" t="s">
        <v>4760</v>
      </c>
      <c r="H67" s="2">
        <v>44764</v>
      </c>
      <c r="I67" s="2" t="s">
        <v>5478</v>
      </c>
      <c r="J67" s="34" t="s">
        <v>2</v>
      </c>
      <c r="K67" t="s">
        <v>5480</v>
      </c>
      <c r="L67">
        <v>660363</v>
      </c>
      <c r="N67">
        <v>39184566</v>
      </c>
      <c r="X67" s="2"/>
    </row>
    <row r="68" spans="1:24" x14ac:dyDescent="0.35">
      <c r="A68">
        <v>67</v>
      </c>
      <c r="C68" s="2" t="s">
        <v>883</v>
      </c>
      <c r="D68">
        <v>147</v>
      </c>
      <c r="E68" t="s">
        <v>4763</v>
      </c>
      <c r="F68" t="s">
        <v>5259</v>
      </c>
      <c r="G68" t="s">
        <v>4762</v>
      </c>
      <c r="H68" s="2">
        <v>44765</v>
      </c>
      <c r="I68" s="2" t="s">
        <v>5478</v>
      </c>
      <c r="J68" s="34" t="s">
        <v>2</v>
      </c>
      <c r="K68" t="s">
        <v>5480</v>
      </c>
      <c r="L68">
        <v>269067</v>
      </c>
      <c r="N68">
        <v>39184567</v>
      </c>
      <c r="X68" s="2"/>
    </row>
    <row r="69" spans="1:24" x14ac:dyDescent="0.35">
      <c r="A69">
        <v>68</v>
      </c>
      <c r="C69" s="2" t="s">
        <v>883</v>
      </c>
      <c r="D69">
        <v>44</v>
      </c>
      <c r="E69" t="s">
        <v>4765</v>
      </c>
      <c r="F69" t="s">
        <v>5260</v>
      </c>
      <c r="G69" t="s">
        <v>4764</v>
      </c>
      <c r="H69" s="2">
        <v>44765</v>
      </c>
      <c r="I69" s="2" t="s">
        <v>5478</v>
      </c>
      <c r="J69" s="34" t="s">
        <v>5483</v>
      </c>
      <c r="K69" t="s">
        <v>5480</v>
      </c>
      <c r="L69">
        <v>94818</v>
      </c>
      <c r="N69">
        <v>39184568</v>
      </c>
      <c r="X69" s="2"/>
    </row>
    <row r="70" spans="1:24" x14ac:dyDescent="0.35">
      <c r="A70">
        <v>69</v>
      </c>
      <c r="C70" s="2" t="s">
        <v>883</v>
      </c>
      <c r="D70">
        <v>16</v>
      </c>
      <c r="E70" t="s">
        <v>4767</v>
      </c>
      <c r="F70" t="s">
        <v>5261</v>
      </c>
      <c r="G70" t="s">
        <v>4766</v>
      </c>
      <c r="H70" s="2">
        <v>44766</v>
      </c>
      <c r="I70" s="2" t="s">
        <v>5478</v>
      </c>
      <c r="J70" s="34" t="s">
        <v>5483</v>
      </c>
      <c r="K70" t="s">
        <v>5479</v>
      </c>
      <c r="L70">
        <v>80501</v>
      </c>
      <c r="N70">
        <v>39184569</v>
      </c>
      <c r="X70" s="2"/>
    </row>
    <row r="71" spans="1:24" x14ac:dyDescent="0.35">
      <c r="A71">
        <v>70</v>
      </c>
      <c r="C71" s="2" t="s">
        <v>883</v>
      </c>
      <c r="D71">
        <v>214</v>
      </c>
      <c r="E71" t="s">
        <v>4769</v>
      </c>
      <c r="F71" t="s">
        <v>5262</v>
      </c>
      <c r="G71" t="s">
        <v>4768</v>
      </c>
      <c r="H71" s="2">
        <v>44766</v>
      </c>
      <c r="I71" s="2" t="s">
        <v>5478</v>
      </c>
      <c r="J71" s="34" t="s">
        <v>5482</v>
      </c>
      <c r="K71" t="s">
        <v>5479</v>
      </c>
      <c r="L71">
        <v>629902</v>
      </c>
      <c r="N71">
        <v>39184570</v>
      </c>
      <c r="X71" s="2"/>
    </row>
    <row r="72" spans="1:24" x14ac:dyDescent="0.35">
      <c r="A72">
        <v>71</v>
      </c>
      <c r="C72" s="2" t="s">
        <v>883</v>
      </c>
      <c r="D72">
        <v>40</v>
      </c>
      <c r="E72" t="s">
        <v>4770</v>
      </c>
      <c r="F72" t="s">
        <v>5263</v>
      </c>
      <c r="G72" t="s">
        <v>3473</v>
      </c>
      <c r="H72" s="2">
        <v>44767</v>
      </c>
      <c r="I72" s="2" t="s">
        <v>5478</v>
      </c>
      <c r="J72" s="34" t="s">
        <v>5482</v>
      </c>
      <c r="K72" t="s">
        <v>5479</v>
      </c>
      <c r="L72">
        <v>658977</v>
      </c>
      <c r="N72">
        <v>39184571</v>
      </c>
      <c r="X72" s="2"/>
    </row>
    <row r="73" spans="1:24" x14ac:dyDescent="0.35">
      <c r="A73">
        <v>72</v>
      </c>
      <c r="C73" s="2" t="s">
        <v>883</v>
      </c>
      <c r="D73">
        <v>32</v>
      </c>
      <c r="E73" t="s">
        <v>4772</v>
      </c>
      <c r="F73" t="s">
        <v>5264</v>
      </c>
      <c r="G73" t="s">
        <v>4771</v>
      </c>
      <c r="H73" s="2">
        <v>44767</v>
      </c>
      <c r="I73" s="2" t="s">
        <v>5478</v>
      </c>
      <c r="J73" s="34" t="s">
        <v>1</v>
      </c>
      <c r="K73" t="s">
        <v>5480</v>
      </c>
      <c r="L73">
        <v>692434</v>
      </c>
      <c r="N73">
        <v>39184572</v>
      </c>
      <c r="X73" s="2"/>
    </row>
    <row r="74" spans="1:24" x14ac:dyDescent="0.35">
      <c r="A74">
        <v>73</v>
      </c>
      <c r="C74" s="2" t="s">
        <v>883</v>
      </c>
      <c r="D74">
        <v>143</v>
      </c>
      <c r="E74" t="s">
        <v>4774</v>
      </c>
      <c r="F74" t="s">
        <v>5265</v>
      </c>
      <c r="G74" t="s">
        <v>4773</v>
      </c>
      <c r="H74" s="2">
        <v>44767</v>
      </c>
      <c r="I74" s="2" t="s">
        <v>5478</v>
      </c>
      <c r="J74" s="34" t="s">
        <v>4638</v>
      </c>
      <c r="K74" t="s">
        <v>5480</v>
      </c>
      <c r="L74">
        <v>477885</v>
      </c>
      <c r="N74">
        <v>39184573</v>
      </c>
      <c r="X74" s="2"/>
    </row>
    <row r="75" spans="1:24" x14ac:dyDescent="0.35">
      <c r="A75">
        <v>74</v>
      </c>
      <c r="C75" s="2" t="s">
        <v>883</v>
      </c>
      <c r="D75">
        <v>87</v>
      </c>
      <c r="E75" t="s">
        <v>4776</v>
      </c>
      <c r="F75" t="s">
        <v>5266</v>
      </c>
      <c r="G75" t="s">
        <v>4775</v>
      </c>
      <c r="H75" s="2">
        <v>44768</v>
      </c>
      <c r="I75" s="2" t="s">
        <v>5478</v>
      </c>
      <c r="J75" s="34" t="s">
        <v>5483</v>
      </c>
      <c r="K75" t="s">
        <v>5479</v>
      </c>
      <c r="L75">
        <v>854191</v>
      </c>
      <c r="N75">
        <v>39184574</v>
      </c>
    </row>
    <row r="76" spans="1:24" x14ac:dyDescent="0.35">
      <c r="A76">
        <v>75</v>
      </c>
      <c r="C76" s="2" t="s">
        <v>883</v>
      </c>
      <c r="D76">
        <v>138</v>
      </c>
      <c r="E76" t="s">
        <v>4778</v>
      </c>
      <c r="F76" t="s">
        <v>5267</v>
      </c>
      <c r="G76" t="s">
        <v>4777</v>
      </c>
      <c r="H76" s="2">
        <v>44768</v>
      </c>
      <c r="I76" s="2" t="s">
        <v>5478</v>
      </c>
      <c r="J76" s="34" t="s">
        <v>5482</v>
      </c>
      <c r="K76" t="s">
        <v>5480</v>
      </c>
      <c r="L76">
        <v>491344</v>
      </c>
      <c r="N76">
        <v>39184575</v>
      </c>
      <c r="X76" s="2"/>
    </row>
    <row r="77" spans="1:24" x14ac:dyDescent="0.35">
      <c r="A77">
        <v>76</v>
      </c>
      <c r="C77" s="2" t="s">
        <v>883</v>
      </c>
      <c r="D77">
        <v>23</v>
      </c>
      <c r="E77" t="s">
        <v>4780</v>
      </c>
      <c r="F77" t="s">
        <v>5268</v>
      </c>
      <c r="G77" t="s">
        <v>4779</v>
      </c>
      <c r="H77" s="2">
        <v>44769</v>
      </c>
      <c r="I77" s="2" t="s">
        <v>5478</v>
      </c>
      <c r="J77" s="34" t="s">
        <v>5484</v>
      </c>
      <c r="K77" t="s">
        <v>5479</v>
      </c>
      <c r="L77">
        <v>203454</v>
      </c>
      <c r="N77">
        <v>39184576</v>
      </c>
      <c r="X77" s="2"/>
    </row>
    <row r="78" spans="1:24" x14ac:dyDescent="0.35">
      <c r="A78">
        <v>77</v>
      </c>
      <c r="C78" s="2" t="s">
        <v>883</v>
      </c>
      <c r="D78">
        <v>163</v>
      </c>
      <c r="E78" t="s">
        <v>4782</v>
      </c>
      <c r="F78" t="s">
        <v>5269</v>
      </c>
      <c r="G78" t="s">
        <v>4781</v>
      </c>
      <c r="H78" s="2">
        <v>44769</v>
      </c>
      <c r="I78" s="2" t="s">
        <v>5478</v>
      </c>
      <c r="J78" s="34" t="s">
        <v>0</v>
      </c>
      <c r="K78" t="s">
        <v>5480</v>
      </c>
      <c r="L78">
        <v>437710</v>
      </c>
      <c r="N78">
        <v>39184577</v>
      </c>
      <c r="X78" s="2"/>
    </row>
    <row r="79" spans="1:24" x14ac:dyDescent="0.35">
      <c r="A79">
        <v>78</v>
      </c>
      <c r="C79" s="2" t="s">
        <v>883</v>
      </c>
      <c r="D79">
        <v>9</v>
      </c>
      <c r="E79" t="s">
        <v>4784</v>
      </c>
      <c r="F79" t="s">
        <v>5270</v>
      </c>
      <c r="G79" t="s">
        <v>4783</v>
      </c>
      <c r="H79" s="2">
        <v>44769</v>
      </c>
      <c r="I79" s="2" t="s">
        <v>5478</v>
      </c>
      <c r="J79" s="34" t="s">
        <v>5482</v>
      </c>
      <c r="K79" t="s">
        <v>5479</v>
      </c>
      <c r="L79">
        <v>323679</v>
      </c>
      <c r="N79">
        <v>39184578</v>
      </c>
      <c r="X79" s="2"/>
    </row>
    <row r="80" spans="1:24" x14ac:dyDescent="0.35">
      <c r="A80">
        <v>79</v>
      </c>
      <c r="C80" s="2" t="s">
        <v>883</v>
      </c>
      <c r="D80">
        <v>43</v>
      </c>
      <c r="E80" t="s">
        <v>4786</v>
      </c>
      <c r="F80" t="s">
        <v>5271</v>
      </c>
      <c r="G80" t="s">
        <v>4785</v>
      </c>
      <c r="H80" s="2">
        <v>44770</v>
      </c>
      <c r="I80" s="2" t="s">
        <v>5478</v>
      </c>
      <c r="J80" s="34" t="s">
        <v>4638</v>
      </c>
      <c r="K80" t="s">
        <v>5479</v>
      </c>
      <c r="L80">
        <v>125266</v>
      </c>
      <c r="N80">
        <v>39184579</v>
      </c>
      <c r="X80" s="2"/>
    </row>
    <row r="81" spans="1:24" x14ac:dyDescent="0.35">
      <c r="A81">
        <v>80</v>
      </c>
      <c r="C81" s="2" t="s">
        <v>883</v>
      </c>
      <c r="D81">
        <v>186</v>
      </c>
      <c r="E81" t="s">
        <v>4788</v>
      </c>
      <c r="F81" t="s">
        <v>5272</v>
      </c>
      <c r="G81" t="s">
        <v>4787</v>
      </c>
      <c r="H81" s="2">
        <v>44770</v>
      </c>
      <c r="I81" s="2" t="s">
        <v>5478</v>
      </c>
      <c r="J81" s="34" t="s">
        <v>5483</v>
      </c>
      <c r="K81" t="s">
        <v>5480</v>
      </c>
      <c r="L81">
        <v>936723</v>
      </c>
      <c r="N81">
        <v>39184580</v>
      </c>
      <c r="X81" s="2"/>
    </row>
    <row r="82" spans="1:24" x14ac:dyDescent="0.35">
      <c r="A82">
        <v>81</v>
      </c>
      <c r="C82" s="2" t="s">
        <v>883</v>
      </c>
      <c r="D82">
        <v>162</v>
      </c>
      <c r="E82" t="s">
        <v>4790</v>
      </c>
      <c r="F82" t="s">
        <v>5273</v>
      </c>
      <c r="G82" t="s">
        <v>4789</v>
      </c>
      <c r="H82" s="2">
        <v>44771</v>
      </c>
      <c r="I82" s="2" t="s">
        <v>5478</v>
      </c>
      <c r="J82" s="34" t="s">
        <v>4638</v>
      </c>
      <c r="K82" t="s">
        <v>5480</v>
      </c>
      <c r="L82">
        <v>694421</v>
      </c>
      <c r="N82">
        <v>39184581</v>
      </c>
      <c r="X82" s="2"/>
    </row>
    <row r="83" spans="1:24" x14ac:dyDescent="0.35">
      <c r="A83">
        <v>82</v>
      </c>
      <c r="C83" s="2" t="s">
        <v>883</v>
      </c>
      <c r="D83">
        <v>18</v>
      </c>
      <c r="E83" t="s">
        <v>4792</v>
      </c>
      <c r="F83" t="s">
        <v>5274</v>
      </c>
      <c r="G83" t="s">
        <v>4791</v>
      </c>
      <c r="H83" s="2">
        <v>44771</v>
      </c>
      <c r="I83" s="2" t="s">
        <v>5478</v>
      </c>
      <c r="J83" s="34" t="s">
        <v>5484</v>
      </c>
      <c r="K83" t="s">
        <v>5479</v>
      </c>
      <c r="L83">
        <v>956358</v>
      </c>
      <c r="N83">
        <v>39184582</v>
      </c>
      <c r="X83" s="2"/>
    </row>
    <row r="84" spans="1:24" x14ac:dyDescent="0.35">
      <c r="A84">
        <v>83</v>
      </c>
      <c r="C84" s="2" t="s">
        <v>883</v>
      </c>
      <c r="D84">
        <v>214</v>
      </c>
      <c r="E84" t="s">
        <v>4794</v>
      </c>
      <c r="F84" t="s">
        <v>5275</v>
      </c>
      <c r="G84" t="s">
        <v>4793</v>
      </c>
      <c r="H84" s="2">
        <v>44773</v>
      </c>
      <c r="I84" s="2" t="s">
        <v>5478</v>
      </c>
      <c r="J84" s="34" t="s">
        <v>5482</v>
      </c>
      <c r="K84" t="s">
        <v>5479</v>
      </c>
      <c r="L84">
        <v>214146</v>
      </c>
      <c r="N84">
        <v>39184583</v>
      </c>
      <c r="X84" s="2"/>
    </row>
    <row r="85" spans="1:24" x14ac:dyDescent="0.35">
      <c r="A85">
        <v>84</v>
      </c>
      <c r="C85" s="2" t="s">
        <v>883</v>
      </c>
      <c r="D85">
        <v>32</v>
      </c>
      <c r="E85" t="s">
        <v>4796</v>
      </c>
      <c r="F85" t="s">
        <v>5276</v>
      </c>
      <c r="G85" t="s">
        <v>4795</v>
      </c>
      <c r="H85" s="2">
        <v>44774</v>
      </c>
      <c r="I85" s="2" t="s">
        <v>5478</v>
      </c>
      <c r="J85" s="34" t="s">
        <v>4638</v>
      </c>
      <c r="K85" t="s">
        <v>5479</v>
      </c>
      <c r="L85">
        <v>642132</v>
      </c>
      <c r="N85">
        <v>39184584</v>
      </c>
      <c r="X85" s="2"/>
    </row>
    <row r="86" spans="1:24" x14ac:dyDescent="0.35">
      <c r="A86">
        <v>85</v>
      </c>
      <c r="C86" s="2" t="s">
        <v>883</v>
      </c>
      <c r="D86">
        <v>40</v>
      </c>
      <c r="E86" t="s">
        <v>4798</v>
      </c>
      <c r="F86" t="s">
        <v>5277</v>
      </c>
      <c r="G86" t="s">
        <v>4797</v>
      </c>
      <c r="H86" s="2">
        <v>44774</v>
      </c>
      <c r="I86" s="2" t="s">
        <v>5478</v>
      </c>
      <c r="J86" s="34" t="s">
        <v>2</v>
      </c>
      <c r="K86" t="s">
        <v>5479</v>
      </c>
      <c r="L86">
        <v>918864</v>
      </c>
      <c r="N86">
        <v>39184585</v>
      </c>
      <c r="X86" s="2"/>
    </row>
    <row r="87" spans="1:24" x14ac:dyDescent="0.35">
      <c r="A87">
        <v>86</v>
      </c>
      <c r="C87" s="2" t="s">
        <v>883</v>
      </c>
      <c r="D87">
        <v>9</v>
      </c>
      <c r="E87" t="s">
        <v>4800</v>
      </c>
      <c r="F87" t="s">
        <v>5278</v>
      </c>
      <c r="G87" t="s">
        <v>4799</v>
      </c>
      <c r="H87" s="2">
        <v>44775</v>
      </c>
      <c r="I87" s="2" t="s">
        <v>5478</v>
      </c>
      <c r="J87" s="34" t="s">
        <v>5482</v>
      </c>
      <c r="K87" t="s">
        <v>5479</v>
      </c>
      <c r="L87">
        <v>223808</v>
      </c>
      <c r="N87">
        <v>39184586</v>
      </c>
      <c r="X87" s="2"/>
    </row>
    <row r="88" spans="1:24" x14ac:dyDescent="0.35">
      <c r="A88">
        <v>87</v>
      </c>
      <c r="C88" s="2" t="s">
        <v>883</v>
      </c>
      <c r="D88">
        <v>23</v>
      </c>
      <c r="E88" t="s">
        <v>4802</v>
      </c>
      <c r="F88" t="s">
        <v>5279</v>
      </c>
      <c r="G88" t="s">
        <v>4801</v>
      </c>
      <c r="H88" s="2">
        <v>44775</v>
      </c>
      <c r="I88" s="2" t="s">
        <v>5478</v>
      </c>
      <c r="J88" s="34" t="s">
        <v>2</v>
      </c>
      <c r="K88" t="s">
        <v>5479</v>
      </c>
      <c r="L88">
        <v>779889</v>
      </c>
      <c r="N88">
        <v>39184587</v>
      </c>
      <c r="X88" s="2"/>
    </row>
    <row r="89" spans="1:24" x14ac:dyDescent="0.35">
      <c r="A89">
        <v>88</v>
      </c>
      <c r="C89" s="2" t="s">
        <v>883</v>
      </c>
      <c r="D89">
        <v>188</v>
      </c>
      <c r="E89" t="s">
        <v>4804</v>
      </c>
      <c r="F89" t="s">
        <v>5280</v>
      </c>
      <c r="G89" t="s">
        <v>4803</v>
      </c>
      <c r="H89" s="2">
        <v>44775</v>
      </c>
      <c r="I89" s="2" t="s">
        <v>5478</v>
      </c>
      <c r="J89" s="34" t="s">
        <v>1</v>
      </c>
      <c r="K89" t="s">
        <v>5480</v>
      </c>
      <c r="L89">
        <v>694269</v>
      </c>
      <c r="N89">
        <v>39184588</v>
      </c>
      <c r="X89" s="2"/>
    </row>
    <row r="90" spans="1:24" x14ac:dyDescent="0.35">
      <c r="A90">
        <v>89</v>
      </c>
      <c r="C90" s="2" t="s">
        <v>883</v>
      </c>
      <c r="D90">
        <v>23</v>
      </c>
      <c r="E90" t="s">
        <v>4806</v>
      </c>
      <c r="F90" t="s">
        <v>5281</v>
      </c>
      <c r="G90" t="s">
        <v>4805</v>
      </c>
      <c r="H90" s="2">
        <v>44776</v>
      </c>
      <c r="I90" s="2" t="s">
        <v>5478</v>
      </c>
      <c r="J90" s="34" t="s">
        <v>2</v>
      </c>
      <c r="K90" t="s">
        <v>5480</v>
      </c>
      <c r="L90">
        <v>231304</v>
      </c>
      <c r="N90">
        <v>39184589</v>
      </c>
      <c r="X90" s="2"/>
    </row>
    <row r="91" spans="1:24" x14ac:dyDescent="0.35">
      <c r="A91">
        <v>90</v>
      </c>
      <c r="C91" s="2" t="s">
        <v>883</v>
      </c>
      <c r="D91">
        <v>126</v>
      </c>
      <c r="E91" t="s">
        <v>4808</v>
      </c>
      <c r="F91" t="s">
        <v>5282</v>
      </c>
      <c r="G91" t="s">
        <v>4807</v>
      </c>
      <c r="H91" s="2">
        <v>44776</v>
      </c>
      <c r="I91" s="2" t="s">
        <v>5478</v>
      </c>
      <c r="J91" s="34" t="s">
        <v>2</v>
      </c>
      <c r="K91" t="s">
        <v>5479</v>
      </c>
      <c r="L91">
        <v>601039</v>
      </c>
      <c r="N91">
        <v>39184590</v>
      </c>
      <c r="X91" s="2"/>
    </row>
    <row r="92" spans="1:24" x14ac:dyDescent="0.35">
      <c r="A92">
        <v>91</v>
      </c>
      <c r="C92" s="2" t="s">
        <v>883</v>
      </c>
      <c r="D92">
        <v>18</v>
      </c>
      <c r="E92" t="s">
        <v>4810</v>
      </c>
      <c r="F92" t="s">
        <v>5283</v>
      </c>
      <c r="G92" t="s">
        <v>4809</v>
      </c>
      <c r="H92" s="2">
        <v>44777</v>
      </c>
      <c r="I92" s="2" t="s">
        <v>5478</v>
      </c>
      <c r="J92" s="34" t="s">
        <v>0</v>
      </c>
      <c r="K92" t="s">
        <v>5480</v>
      </c>
      <c r="L92">
        <v>69607</v>
      </c>
      <c r="N92">
        <v>39184591</v>
      </c>
      <c r="X92" s="2"/>
    </row>
    <row r="93" spans="1:24" x14ac:dyDescent="0.35">
      <c r="A93">
        <v>92</v>
      </c>
      <c r="C93" s="2" t="s">
        <v>883</v>
      </c>
      <c r="D93">
        <v>204</v>
      </c>
      <c r="E93" t="s">
        <v>4812</v>
      </c>
      <c r="F93" t="s">
        <v>5284</v>
      </c>
      <c r="G93" t="s">
        <v>4811</v>
      </c>
      <c r="H93" s="2">
        <v>44777</v>
      </c>
      <c r="I93" s="2" t="s">
        <v>5478</v>
      </c>
      <c r="J93" s="34" t="s">
        <v>1</v>
      </c>
      <c r="K93" t="s">
        <v>5480</v>
      </c>
      <c r="L93">
        <v>835317</v>
      </c>
      <c r="N93">
        <v>39184592</v>
      </c>
      <c r="X93" s="2"/>
    </row>
    <row r="94" spans="1:24" x14ac:dyDescent="0.35">
      <c r="A94">
        <v>93</v>
      </c>
      <c r="C94" s="2" t="s">
        <v>883</v>
      </c>
      <c r="D94">
        <v>214</v>
      </c>
      <c r="E94" t="s">
        <v>4814</v>
      </c>
      <c r="F94" t="s">
        <v>5285</v>
      </c>
      <c r="G94" t="s">
        <v>4813</v>
      </c>
      <c r="H94" s="2">
        <v>44777</v>
      </c>
      <c r="I94" s="2" t="s">
        <v>5478</v>
      </c>
      <c r="J94" s="34" t="s">
        <v>5483</v>
      </c>
      <c r="K94" t="s">
        <v>5480</v>
      </c>
      <c r="L94">
        <v>818898</v>
      </c>
      <c r="N94">
        <v>39184593</v>
      </c>
      <c r="X94" s="2"/>
    </row>
    <row r="95" spans="1:24" x14ac:dyDescent="0.35">
      <c r="A95">
        <v>94</v>
      </c>
      <c r="C95" s="2" t="s">
        <v>883</v>
      </c>
      <c r="D95">
        <v>147</v>
      </c>
      <c r="E95" t="s">
        <v>4816</v>
      </c>
      <c r="F95" t="s">
        <v>5286</v>
      </c>
      <c r="G95" t="s">
        <v>4815</v>
      </c>
      <c r="H95" s="2">
        <v>44777</v>
      </c>
      <c r="I95" s="2" t="s">
        <v>5478</v>
      </c>
      <c r="J95" s="34" t="s">
        <v>5483</v>
      </c>
      <c r="K95" t="s">
        <v>5479</v>
      </c>
      <c r="L95">
        <v>811269</v>
      </c>
      <c r="N95">
        <v>39184594</v>
      </c>
      <c r="X95" s="2"/>
    </row>
    <row r="96" spans="1:24" x14ac:dyDescent="0.35">
      <c r="A96">
        <v>95</v>
      </c>
      <c r="C96" s="2" t="s">
        <v>883</v>
      </c>
      <c r="D96">
        <v>53</v>
      </c>
      <c r="E96" t="s">
        <v>4818</v>
      </c>
      <c r="F96" t="s">
        <v>5287</v>
      </c>
      <c r="G96" t="s">
        <v>4817</v>
      </c>
      <c r="H96" s="2">
        <v>44778</v>
      </c>
      <c r="I96" s="2" t="s">
        <v>5478</v>
      </c>
      <c r="J96" s="34" t="s">
        <v>4638</v>
      </c>
      <c r="K96" t="s">
        <v>5480</v>
      </c>
      <c r="L96">
        <v>670244</v>
      </c>
      <c r="N96">
        <v>39184595</v>
      </c>
      <c r="X96" s="2"/>
    </row>
    <row r="97" spans="1:24" x14ac:dyDescent="0.35">
      <c r="A97">
        <v>96</v>
      </c>
      <c r="C97" s="2" t="s">
        <v>883</v>
      </c>
      <c r="D97">
        <v>142</v>
      </c>
      <c r="E97" t="s">
        <v>4820</v>
      </c>
      <c r="F97" t="s">
        <v>5288</v>
      </c>
      <c r="G97" t="s">
        <v>4819</v>
      </c>
      <c r="H97" s="2">
        <v>44779</v>
      </c>
      <c r="I97" s="2" t="s">
        <v>5478</v>
      </c>
      <c r="J97" s="34" t="s">
        <v>2</v>
      </c>
      <c r="K97" t="s">
        <v>5479</v>
      </c>
      <c r="L97">
        <v>189866</v>
      </c>
      <c r="N97">
        <v>39184596</v>
      </c>
      <c r="X97" s="2"/>
    </row>
    <row r="98" spans="1:24" x14ac:dyDescent="0.35">
      <c r="A98">
        <v>97</v>
      </c>
      <c r="C98" s="2" t="s">
        <v>883</v>
      </c>
      <c r="D98">
        <v>76</v>
      </c>
      <c r="E98" t="s">
        <v>4822</v>
      </c>
      <c r="F98" t="s">
        <v>5289</v>
      </c>
      <c r="G98" t="s">
        <v>4821</v>
      </c>
      <c r="H98" s="2">
        <v>44779</v>
      </c>
      <c r="I98" s="2" t="s">
        <v>5478</v>
      </c>
      <c r="J98" s="34" t="s">
        <v>1</v>
      </c>
      <c r="K98" t="s">
        <v>5480</v>
      </c>
      <c r="L98">
        <v>813515</v>
      </c>
      <c r="N98">
        <v>39184597</v>
      </c>
      <c r="X98" s="2"/>
    </row>
    <row r="99" spans="1:24" x14ac:dyDescent="0.35">
      <c r="A99">
        <v>98</v>
      </c>
      <c r="C99" s="2" t="s">
        <v>883</v>
      </c>
      <c r="D99">
        <v>46</v>
      </c>
      <c r="E99" t="s">
        <v>4824</v>
      </c>
      <c r="F99" t="s">
        <v>5290</v>
      </c>
      <c r="G99" t="s">
        <v>4823</v>
      </c>
      <c r="H99" s="2">
        <v>44780</v>
      </c>
      <c r="I99" s="2">
        <v>45572</v>
      </c>
      <c r="J99" s="34" t="s">
        <v>5484</v>
      </c>
      <c r="K99" t="s">
        <v>5480</v>
      </c>
      <c r="L99">
        <v>553015</v>
      </c>
      <c r="N99">
        <v>39184598</v>
      </c>
      <c r="X99" s="2"/>
    </row>
    <row r="100" spans="1:24" x14ac:dyDescent="0.35">
      <c r="A100">
        <v>99</v>
      </c>
      <c r="C100" s="2" t="s">
        <v>883</v>
      </c>
      <c r="D100">
        <v>46</v>
      </c>
      <c r="E100" t="s">
        <v>4824</v>
      </c>
      <c r="F100" t="s">
        <v>5290</v>
      </c>
      <c r="G100" t="s">
        <v>4823</v>
      </c>
      <c r="H100" s="2">
        <v>45748</v>
      </c>
      <c r="I100" s="2" t="s">
        <v>5478</v>
      </c>
      <c r="J100" s="34" t="s">
        <v>5484</v>
      </c>
      <c r="K100" t="s">
        <v>5480</v>
      </c>
      <c r="L100">
        <v>76319</v>
      </c>
      <c r="N100">
        <v>39184599</v>
      </c>
      <c r="X100" s="2"/>
    </row>
    <row r="101" spans="1:24" x14ac:dyDescent="0.35">
      <c r="A101">
        <v>100</v>
      </c>
      <c r="C101" s="2" t="s">
        <v>883</v>
      </c>
      <c r="D101">
        <v>177</v>
      </c>
      <c r="E101" t="s">
        <v>4826</v>
      </c>
      <c r="F101" t="s">
        <v>5291</v>
      </c>
      <c r="G101" t="s">
        <v>4825</v>
      </c>
      <c r="H101" s="2">
        <v>44780</v>
      </c>
      <c r="I101" s="2" t="s">
        <v>5478</v>
      </c>
      <c r="J101" s="34" t="s">
        <v>5482</v>
      </c>
      <c r="K101" t="s">
        <v>5480</v>
      </c>
      <c r="L101">
        <v>203220</v>
      </c>
      <c r="N101">
        <v>39184600</v>
      </c>
      <c r="X101" s="2"/>
    </row>
    <row r="102" spans="1:24" x14ac:dyDescent="0.35">
      <c r="A102">
        <v>101</v>
      </c>
      <c r="C102" s="2" t="s">
        <v>883</v>
      </c>
      <c r="D102">
        <v>201</v>
      </c>
      <c r="E102" t="s">
        <v>4828</v>
      </c>
      <c r="F102" t="s">
        <v>5292</v>
      </c>
      <c r="G102" t="s">
        <v>4827</v>
      </c>
      <c r="H102" s="2">
        <v>44781</v>
      </c>
      <c r="I102" s="2" t="s">
        <v>5478</v>
      </c>
      <c r="J102" s="34" t="s">
        <v>2</v>
      </c>
      <c r="K102" t="s">
        <v>5479</v>
      </c>
      <c r="L102">
        <v>473339</v>
      </c>
      <c r="N102">
        <v>39184601</v>
      </c>
      <c r="X102" s="2"/>
    </row>
    <row r="103" spans="1:24" x14ac:dyDescent="0.35">
      <c r="A103">
        <v>102</v>
      </c>
      <c r="C103" s="2" t="s">
        <v>883</v>
      </c>
      <c r="D103">
        <v>89</v>
      </c>
      <c r="E103" t="s">
        <v>4830</v>
      </c>
      <c r="F103" t="s">
        <v>5293</v>
      </c>
      <c r="G103" t="s">
        <v>4829</v>
      </c>
      <c r="H103" s="2">
        <v>44783</v>
      </c>
      <c r="I103" s="2" t="s">
        <v>5478</v>
      </c>
      <c r="J103" s="34" t="s">
        <v>5484</v>
      </c>
      <c r="K103" t="s">
        <v>5480</v>
      </c>
      <c r="L103">
        <v>260029</v>
      </c>
      <c r="N103">
        <v>39184602</v>
      </c>
      <c r="X103" s="2"/>
    </row>
    <row r="104" spans="1:24" x14ac:dyDescent="0.35">
      <c r="A104">
        <v>103</v>
      </c>
      <c r="C104" s="2" t="s">
        <v>883</v>
      </c>
      <c r="D104">
        <v>147</v>
      </c>
      <c r="E104" t="s">
        <v>4832</v>
      </c>
      <c r="F104" t="s">
        <v>5294</v>
      </c>
      <c r="G104" t="s">
        <v>4831</v>
      </c>
      <c r="H104" s="2">
        <v>44784</v>
      </c>
      <c r="I104" s="2" t="s">
        <v>5478</v>
      </c>
      <c r="J104" s="34" t="s">
        <v>0</v>
      </c>
      <c r="K104" t="s">
        <v>5479</v>
      </c>
      <c r="L104">
        <v>395830</v>
      </c>
      <c r="N104">
        <v>39184603</v>
      </c>
      <c r="X104" s="2"/>
    </row>
    <row r="105" spans="1:24" x14ac:dyDescent="0.35">
      <c r="A105">
        <v>104</v>
      </c>
      <c r="C105" s="2" t="s">
        <v>883</v>
      </c>
      <c r="D105">
        <v>16</v>
      </c>
      <c r="E105" t="s">
        <v>4834</v>
      </c>
      <c r="F105" t="s">
        <v>5295</v>
      </c>
      <c r="G105" t="s">
        <v>4833</v>
      </c>
      <c r="H105" s="2">
        <v>44784</v>
      </c>
      <c r="I105" s="2" t="s">
        <v>5478</v>
      </c>
      <c r="J105" s="34" t="s">
        <v>1</v>
      </c>
      <c r="K105" t="s">
        <v>5479</v>
      </c>
      <c r="L105">
        <v>356746</v>
      </c>
      <c r="N105">
        <v>39184604</v>
      </c>
      <c r="X105" s="2"/>
    </row>
    <row r="106" spans="1:24" x14ac:dyDescent="0.35">
      <c r="A106">
        <v>105</v>
      </c>
      <c r="C106" s="2" t="s">
        <v>883</v>
      </c>
      <c r="D106">
        <v>44</v>
      </c>
      <c r="E106" t="s">
        <v>4836</v>
      </c>
      <c r="F106" t="s">
        <v>5296</v>
      </c>
      <c r="G106" t="s">
        <v>4835</v>
      </c>
      <c r="H106" s="2">
        <v>44784</v>
      </c>
      <c r="I106" s="2" t="s">
        <v>5478</v>
      </c>
      <c r="J106" s="34" t="s">
        <v>0</v>
      </c>
      <c r="K106" t="s">
        <v>5479</v>
      </c>
      <c r="L106">
        <v>943886</v>
      </c>
      <c r="N106">
        <v>39184605</v>
      </c>
      <c r="X106" s="2"/>
    </row>
    <row r="107" spans="1:24" x14ac:dyDescent="0.35">
      <c r="A107">
        <v>106</v>
      </c>
      <c r="C107" s="2" t="s">
        <v>883</v>
      </c>
      <c r="D107">
        <v>143</v>
      </c>
      <c r="E107" t="s">
        <v>4838</v>
      </c>
      <c r="F107" t="s">
        <v>5297</v>
      </c>
      <c r="G107" t="s">
        <v>4837</v>
      </c>
      <c r="H107" s="2">
        <v>44785</v>
      </c>
      <c r="I107" s="2" t="s">
        <v>5478</v>
      </c>
      <c r="J107" s="34" t="s">
        <v>2</v>
      </c>
      <c r="K107" t="s">
        <v>5479</v>
      </c>
      <c r="L107">
        <v>778747</v>
      </c>
      <c r="N107">
        <v>39184606</v>
      </c>
      <c r="X107" s="2"/>
    </row>
    <row r="108" spans="1:24" x14ac:dyDescent="0.35">
      <c r="A108">
        <v>107</v>
      </c>
      <c r="C108" s="2" t="s">
        <v>883</v>
      </c>
      <c r="D108">
        <v>76</v>
      </c>
      <c r="E108" t="s">
        <v>4840</v>
      </c>
      <c r="F108" t="s">
        <v>5298</v>
      </c>
      <c r="G108" t="s">
        <v>4839</v>
      </c>
      <c r="H108" s="2">
        <v>44785</v>
      </c>
      <c r="I108" s="2" t="s">
        <v>5478</v>
      </c>
      <c r="J108" s="34" t="s">
        <v>5482</v>
      </c>
      <c r="K108" t="s">
        <v>5479</v>
      </c>
      <c r="L108">
        <v>950052</v>
      </c>
      <c r="N108">
        <v>39184607</v>
      </c>
      <c r="X108" s="2"/>
    </row>
    <row r="109" spans="1:24" x14ac:dyDescent="0.35">
      <c r="A109">
        <v>108</v>
      </c>
      <c r="C109" s="2" t="s">
        <v>883</v>
      </c>
      <c r="D109">
        <v>214</v>
      </c>
      <c r="E109" t="s">
        <v>4842</v>
      </c>
      <c r="F109" t="s">
        <v>5299</v>
      </c>
      <c r="G109" t="s">
        <v>4841</v>
      </c>
      <c r="H109" s="2">
        <v>44785</v>
      </c>
      <c r="I109" s="2" t="s">
        <v>5478</v>
      </c>
      <c r="J109" s="34" t="s">
        <v>0</v>
      </c>
      <c r="K109" t="s">
        <v>5479</v>
      </c>
      <c r="L109">
        <v>355202</v>
      </c>
      <c r="N109">
        <v>39184608</v>
      </c>
      <c r="X109" s="2"/>
    </row>
    <row r="110" spans="1:24" x14ac:dyDescent="0.35">
      <c r="A110">
        <v>109</v>
      </c>
      <c r="C110" s="2" t="s">
        <v>883</v>
      </c>
      <c r="D110">
        <v>7</v>
      </c>
      <c r="E110" t="s">
        <v>4844</v>
      </c>
      <c r="F110" t="s">
        <v>5300</v>
      </c>
      <c r="G110" t="s">
        <v>4843</v>
      </c>
      <c r="H110" s="2">
        <v>44785</v>
      </c>
      <c r="I110" s="2" t="s">
        <v>5478</v>
      </c>
      <c r="J110" s="34" t="s">
        <v>5482</v>
      </c>
      <c r="K110" t="s">
        <v>5479</v>
      </c>
      <c r="L110">
        <v>627782</v>
      </c>
      <c r="N110">
        <v>39184609</v>
      </c>
      <c r="X110" s="2"/>
    </row>
    <row r="111" spans="1:24" x14ac:dyDescent="0.35">
      <c r="A111">
        <v>110</v>
      </c>
      <c r="C111" s="2" t="s">
        <v>883</v>
      </c>
      <c r="D111">
        <v>40</v>
      </c>
      <c r="E111" t="s">
        <v>4846</v>
      </c>
      <c r="F111" t="s">
        <v>5301</v>
      </c>
      <c r="G111" t="s">
        <v>4845</v>
      </c>
      <c r="H111" s="2">
        <v>44786</v>
      </c>
      <c r="I111" s="2" t="s">
        <v>5478</v>
      </c>
      <c r="J111" s="34" t="s">
        <v>2</v>
      </c>
      <c r="K111" t="s">
        <v>5479</v>
      </c>
      <c r="L111">
        <v>318651</v>
      </c>
      <c r="N111">
        <v>39184610</v>
      </c>
      <c r="X111" s="2"/>
    </row>
    <row r="112" spans="1:24" x14ac:dyDescent="0.35">
      <c r="A112">
        <v>111</v>
      </c>
      <c r="C112" s="2" t="s">
        <v>883</v>
      </c>
      <c r="D112">
        <v>23</v>
      </c>
      <c r="E112" t="s">
        <v>4848</v>
      </c>
      <c r="F112" t="s">
        <v>5302</v>
      </c>
      <c r="G112" t="s">
        <v>4847</v>
      </c>
      <c r="H112" s="2">
        <v>44787</v>
      </c>
      <c r="I112" s="2" t="s">
        <v>5478</v>
      </c>
      <c r="J112" s="34" t="s">
        <v>5482</v>
      </c>
      <c r="K112" t="s">
        <v>5479</v>
      </c>
      <c r="L112">
        <v>638256</v>
      </c>
      <c r="N112">
        <v>39184611</v>
      </c>
      <c r="X112" s="2"/>
    </row>
    <row r="113" spans="1:24" x14ac:dyDescent="0.35">
      <c r="A113">
        <v>112</v>
      </c>
      <c r="C113" s="2" t="s">
        <v>883</v>
      </c>
      <c r="D113" t="s">
        <v>4633</v>
      </c>
      <c r="E113" t="s">
        <v>4850</v>
      </c>
      <c r="F113" t="s">
        <v>5303</v>
      </c>
      <c r="G113" t="s">
        <v>4849</v>
      </c>
      <c r="H113" s="2">
        <v>44787</v>
      </c>
      <c r="I113" s="2" t="s">
        <v>5478</v>
      </c>
      <c r="J113" s="34" t="s">
        <v>5484</v>
      </c>
      <c r="K113" t="s">
        <v>5480</v>
      </c>
      <c r="L113">
        <v>736751</v>
      </c>
      <c r="N113">
        <v>39184612</v>
      </c>
      <c r="X113" s="2"/>
    </row>
    <row r="114" spans="1:24" x14ac:dyDescent="0.35">
      <c r="A114">
        <v>113</v>
      </c>
      <c r="C114" s="2" t="s">
        <v>883</v>
      </c>
      <c r="D114">
        <v>138</v>
      </c>
      <c r="E114" t="s">
        <v>4852</v>
      </c>
      <c r="F114" t="s">
        <v>5304</v>
      </c>
      <c r="G114" t="s">
        <v>4851</v>
      </c>
      <c r="H114" s="2">
        <v>44787</v>
      </c>
      <c r="I114" s="2" t="s">
        <v>5478</v>
      </c>
      <c r="J114" s="34" t="s">
        <v>2</v>
      </c>
      <c r="K114" t="s">
        <v>5480</v>
      </c>
      <c r="L114">
        <v>601729</v>
      </c>
      <c r="N114">
        <v>39184613</v>
      </c>
      <c r="X114" s="2"/>
    </row>
    <row r="115" spans="1:24" x14ac:dyDescent="0.35">
      <c r="A115">
        <v>114</v>
      </c>
      <c r="C115" s="2" t="s">
        <v>883</v>
      </c>
      <c r="D115">
        <v>43</v>
      </c>
      <c r="E115" t="s">
        <v>4854</v>
      </c>
      <c r="F115" t="s">
        <v>5305</v>
      </c>
      <c r="G115" t="s">
        <v>4853</v>
      </c>
      <c r="H115" s="2">
        <v>44788</v>
      </c>
      <c r="I115" s="2" t="s">
        <v>5478</v>
      </c>
      <c r="J115" s="34" t="s">
        <v>5484</v>
      </c>
      <c r="K115" t="s">
        <v>5480</v>
      </c>
      <c r="L115">
        <v>101519</v>
      </c>
      <c r="N115">
        <v>39184614</v>
      </c>
      <c r="X115" s="2"/>
    </row>
    <row r="116" spans="1:24" x14ac:dyDescent="0.35">
      <c r="A116">
        <v>115</v>
      </c>
      <c r="C116" s="2" t="s">
        <v>883</v>
      </c>
      <c r="D116">
        <v>163</v>
      </c>
      <c r="E116" t="s">
        <v>4856</v>
      </c>
      <c r="F116" t="s">
        <v>5306</v>
      </c>
      <c r="G116" t="s">
        <v>4855</v>
      </c>
      <c r="H116" s="2">
        <v>44788</v>
      </c>
      <c r="I116" s="2" t="s">
        <v>5478</v>
      </c>
      <c r="J116" s="34" t="s">
        <v>4638</v>
      </c>
      <c r="K116" t="s">
        <v>5480</v>
      </c>
      <c r="L116">
        <v>676860</v>
      </c>
      <c r="N116">
        <v>39184615</v>
      </c>
      <c r="X116" s="2"/>
    </row>
    <row r="117" spans="1:24" x14ac:dyDescent="0.35">
      <c r="A117">
        <v>116</v>
      </c>
      <c r="C117" s="2" t="s">
        <v>883</v>
      </c>
      <c r="D117">
        <v>188</v>
      </c>
      <c r="E117" t="s">
        <v>4858</v>
      </c>
      <c r="F117" t="s">
        <v>5307</v>
      </c>
      <c r="G117" t="s">
        <v>4857</v>
      </c>
      <c r="H117" s="2">
        <v>44789</v>
      </c>
      <c r="I117" s="2" t="s">
        <v>5478</v>
      </c>
      <c r="J117" s="34" t="s">
        <v>5483</v>
      </c>
      <c r="K117" t="s">
        <v>5480</v>
      </c>
      <c r="L117">
        <v>720330</v>
      </c>
      <c r="N117">
        <v>39184616</v>
      </c>
      <c r="X117" s="2"/>
    </row>
    <row r="118" spans="1:24" x14ac:dyDescent="0.35">
      <c r="A118">
        <v>117</v>
      </c>
      <c r="C118" s="2" t="s">
        <v>883</v>
      </c>
      <c r="D118">
        <v>162</v>
      </c>
      <c r="E118" t="s">
        <v>4860</v>
      </c>
      <c r="F118" t="s">
        <v>5308</v>
      </c>
      <c r="G118" t="s">
        <v>4859</v>
      </c>
      <c r="H118" s="2">
        <v>44789</v>
      </c>
      <c r="I118" s="2" t="s">
        <v>5478</v>
      </c>
      <c r="J118" s="34" t="s">
        <v>5484</v>
      </c>
      <c r="K118" t="s">
        <v>5480</v>
      </c>
      <c r="L118">
        <v>719412</v>
      </c>
      <c r="N118">
        <v>39184617</v>
      </c>
    </row>
    <row r="119" spans="1:24" x14ac:dyDescent="0.35">
      <c r="A119">
        <v>118</v>
      </c>
      <c r="C119" s="2" t="s">
        <v>883</v>
      </c>
      <c r="D119">
        <v>111</v>
      </c>
      <c r="E119" t="s">
        <v>4862</v>
      </c>
      <c r="F119" t="s">
        <v>5309</v>
      </c>
      <c r="G119" t="s">
        <v>4861</v>
      </c>
      <c r="H119" s="2">
        <v>44790</v>
      </c>
      <c r="I119" s="2" t="s">
        <v>5478</v>
      </c>
      <c r="J119" s="34" t="s">
        <v>5483</v>
      </c>
      <c r="K119" t="s">
        <v>5480</v>
      </c>
      <c r="L119">
        <v>387183</v>
      </c>
      <c r="N119">
        <v>39184618</v>
      </c>
      <c r="X119" s="2"/>
    </row>
    <row r="120" spans="1:24" x14ac:dyDescent="0.35">
      <c r="A120">
        <v>119</v>
      </c>
      <c r="C120" s="2" t="s">
        <v>883</v>
      </c>
      <c r="D120">
        <v>214</v>
      </c>
      <c r="E120" t="s">
        <v>4864</v>
      </c>
      <c r="F120" t="s">
        <v>5310</v>
      </c>
      <c r="G120" t="s">
        <v>4863</v>
      </c>
      <c r="H120" s="2">
        <v>44790</v>
      </c>
      <c r="I120" s="2" t="s">
        <v>5478</v>
      </c>
      <c r="J120" s="34" t="s">
        <v>5483</v>
      </c>
      <c r="K120" t="s">
        <v>5479</v>
      </c>
      <c r="L120">
        <v>738195</v>
      </c>
      <c r="N120">
        <v>39184619</v>
      </c>
      <c r="X120" s="2"/>
    </row>
    <row r="121" spans="1:24" x14ac:dyDescent="0.35">
      <c r="A121">
        <v>120</v>
      </c>
      <c r="C121" s="2" t="s">
        <v>883</v>
      </c>
      <c r="D121">
        <v>44</v>
      </c>
      <c r="E121" t="s">
        <v>4866</v>
      </c>
      <c r="F121" t="s">
        <v>5311</v>
      </c>
      <c r="G121" t="s">
        <v>4865</v>
      </c>
      <c r="H121" s="2">
        <v>44790</v>
      </c>
      <c r="I121" s="2" t="s">
        <v>5478</v>
      </c>
      <c r="J121" s="34" t="s">
        <v>4638</v>
      </c>
      <c r="K121" t="s">
        <v>5480</v>
      </c>
      <c r="L121">
        <v>84253</v>
      </c>
      <c r="N121">
        <v>39184620</v>
      </c>
      <c r="X121" s="2"/>
    </row>
    <row r="122" spans="1:24" x14ac:dyDescent="0.35">
      <c r="A122">
        <v>121</v>
      </c>
      <c r="C122" s="2" t="s">
        <v>883</v>
      </c>
      <c r="D122">
        <v>16</v>
      </c>
      <c r="E122" t="s">
        <v>4868</v>
      </c>
      <c r="F122" t="s">
        <v>5312</v>
      </c>
      <c r="G122" t="s">
        <v>4867</v>
      </c>
      <c r="H122" s="2">
        <v>44791</v>
      </c>
      <c r="I122" s="2" t="s">
        <v>5478</v>
      </c>
      <c r="J122" s="34" t="s">
        <v>4638</v>
      </c>
      <c r="K122" t="s">
        <v>5479</v>
      </c>
      <c r="L122">
        <v>696930</v>
      </c>
      <c r="N122">
        <v>39184621</v>
      </c>
      <c r="X122" s="2"/>
    </row>
    <row r="123" spans="1:24" x14ac:dyDescent="0.35">
      <c r="A123">
        <v>122</v>
      </c>
      <c r="C123" s="2" t="s">
        <v>883</v>
      </c>
      <c r="D123">
        <v>7</v>
      </c>
      <c r="E123" t="s">
        <v>4870</v>
      </c>
      <c r="F123" t="s">
        <v>5313</v>
      </c>
      <c r="G123" t="s">
        <v>4869</v>
      </c>
      <c r="H123" s="2">
        <v>44791</v>
      </c>
      <c r="I123" s="2" t="s">
        <v>5478</v>
      </c>
      <c r="J123" s="34" t="s">
        <v>5484</v>
      </c>
      <c r="K123" t="s">
        <v>5479</v>
      </c>
      <c r="L123">
        <v>597745</v>
      </c>
      <c r="N123">
        <v>39184622</v>
      </c>
      <c r="X123" s="2"/>
    </row>
    <row r="124" spans="1:24" x14ac:dyDescent="0.35">
      <c r="A124">
        <v>123</v>
      </c>
      <c r="C124" s="2" t="s">
        <v>883</v>
      </c>
      <c r="D124">
        <v>40</v>
      </c>
      <c r="E124" t="s">
        <v>4872</v>
      </c>
      <c r="F124" t="s">
        <v>5314</v>
      </c>
      <c r="G124" t="s">
        <v>4871</v>
      </c>
      <c r="H124" s="2">
        <v>44793</v>
      </c>
      <c r="I124" s="2" t="s">
        <v>5478</v>
      </c>
      <c r="J124" s="34" t="s">
        <v>4638</v>
      </c>
      <c r="K124" t="s">
        <v>5479</v>
      </c>
      <c r="L124">
        <v>485721</v>
      </c>
      <c r="N124">
        <v>39184623</v>
      </c>
      <c r="X124" s="2"/>
    </row>
    <row r="125" spans="1:24" x14ac:dyDescent="0.35">
      <c r="A125">
        <v>124</v>
      </c>
      <c r="C125" s="2" t="s">
        <v>883</v>
      </c>
      <c r="D125">
        <v>87</v>
      </c>
      <c r="E125" t="s">
        <v>4874</v>
      </c>
      <c r="F125" t="s">
        <v>5315</v>
      </c>
      <c r="G125" t="s">
        <v>4873</v>
      </c>
      <c r="H125" s="2">
        <v>44793</v>
      </c>
      <c r="I125" s="2" t="s">
        <v>5478</v>
      </c>
      <c r="J125" s="34" t="s">
        <v>1</v>
      </c>
      <c r="K125" t="s">
        <v>5479</v>
      </c>
      <c r="L125">
        <v>651551</v>
      </c>
      <c r="N125">
        <v>39184624</v>
      </c>
      <c r="X125" s="2"/>
    </row>
    <row r="126" spans="1:24" x14ac:dyDescent="0.35">
      <c r="A126">
        <v>125</v>
      </c>
      <c r="C126" s="2" t="s">
        <v>883</v>
      </c>
      <c r="D126">
        <v>9</v>
      </c>
      <c r="E126" t="s">
        <v>4876</v>
      </c>
      <c r="F126" t="s">
        <v>5316</v>
      </c>
      <c r="G126" t="s">
        <v>4875</v>
      </c>
      <c r="H126" s="2">
        <v>44794</v>
      </c>
      <c r="I126" s="2" t="s">
        <v>5478</v>
      </c>
      <c r="J126" s="34" t="s">
        <v>5484</v>
      </c>
      <c r="K126" t="s">
        <v>5479</v>
      </c>
      <c r="L126">
        <v>105481</v>
      </c>
      <c r="N126">
        <v>39184625</v>
      </c>
      <c r="X126" s="2"/>
    </row>
    <row r="127" spans="1:24" x14ac:dyDescent="0.35">
      <c r="A127">
        <v>126</v>
      </c>
      <c r="C127" s="2" t="s">
        <v>883</v>
      </c>
      <c r="D127">
        <v>23</v>
      </c>
      <c r="E127" t="s">
        <v>4878</v>
      </c>
      <c r="F127" t="s">
        <v>5317</v>
      </c>
      <c r="G127" t="s">
        <v>4877</v>
      </c>
      <c r="H127" s="2">
        <v>44794</v>
      </c>
      <c r="I127" s="2" t="s">
        <v>5478</v>
      </c>
      <c r="J127" s="34" t="s">
        <v>1</v>
      </c>
      <c r="K127" t="s">
        <v>5479</v>
      </c>
      <c r="L127">
        <v>280972</v>
      </c>
      <c r="N127">
        <v>39184626</v>
      </c>
      <c r="X127" s="2"/>
    </row>
    <row r="128" spans="1:24" x14ac:dyDescent="0.35">
      <c r="A128">
        <v>127</v>
      </c>
      <c r="C128" s="2" t="s">
        <v>883</v>
      </c>
      <c r="D128">
        <v>188</v>
      </c>
      <c r="E128" t="s">
        <v>4880</v>
      </c>
      <c r="F128" t="s">
        <v>5318</v>
      </c>
      <c r="G128" t="s">
        <v>4879</v>
      </c>
      <c r="H128" s="2">
        <v>44794</v>
      </c>
      <c r="I128" s="2" t="s">
        <v>5478</v>
      </c>
      <c r="J128" s="34" t="s">
        <v>2</v>
      </c>
      <c r="K128" t="s">
        <v>5479</v>
      </c>
      <c r="L128">
        <v>153037</v>
      </c>
      <c r="N128">
        <v>39184627</v>
      </c>
      <c r="X128" s="2"/>
    </row>
    <row r="129" spans="1:25" x14ac:dyDescent="0.35">
      <c r="A129">
        <v>128</v>
      </c>
      <c r="C129" s="2" t="s">
        <v>883</v>
      </c>
      <c r="D129">
        <v>186</v>
      </c>
      <c r="E129" t="s">
        <v>4882</v>
      </c>
      <c r="F129" t="s">
        <v>5319</v>
      </c>
      <c r="G129" t="s">
        <v>4881</v>
      </c>
      <c r="H129" s="2">
        <v>44795</v>
      </c>
      <c r="I129" s="2" t="s">
        <v>5478</v>
      </c>
      <c r="J129" s="34" t="s">
        <v>5482</v>
      </c>
      <c r="K129" t="s">
        <v>5479</v>
      </c>
      <c r="L129">
        <v>705282</v>
      </c>
      <c r="N129">
        <v>39184628</v>
      </c>
      <c r="X129" s="2"/>
      <c r="Y129" s="2"/>
    </row>
    <row r="130" spans="1:25" x14ac:dyDescent="0.35">
      <c r="A130">
        <v>129</v>
      </c>
      <c r="C130" s="2" t="s">
        <v>883</v>
      </c>
      <c r="D130">
        <v>126</v>
      </c>
      <c r="E130" t="s">
        <v>4884</v>
      </c>
      <c r="F130" t="s">
        <v>5320</v>
      </c>
      <c r="G130" t="s">
        <v>4883</v>
      </c>
      <c r="H130" s="2">
        <v>44795</v>
      </c>
      <c r="I130" s="2" t="s">
        <v>5478</v>
      </c>
      <c r="J130" s="34" t="s">
        <v>5484</v>
      </c>
      <c r="K130" t="s">
        <v>5480</v>
      </c>
      <c r="L130">
        <v>803826</v>
      </c>
      <c r="N130">
        <v>39184629</v>
      </c>
      <c r="X130" s="2"/>
    </row>
    <row r="131" spans="1:25" x14ac:dyDescent="0.35">
      <c r="A131">
        <v>130</v>
      </c>
      <c r="C131" s="2" t="s">
        <v>883</v>
      </c>
      <c r="D131">
        <v>92</v>
      </c>
      <c r="E131" t="s">
        <v>4886</v>
      </c>
      <c r="F131" t="s">
        <v>5321</v>
      </c>
      <c r="G131" t="s">
        <v>4885</v>
      </c>
      <c r="H131" s="2">
        <v>44795</v>
      </c>
      <c r="I131" s="2" t="s">
        <v>5478</v>
      </c>
      <c r="J131" s="34" t="s">
        <v>5482</v>
      </c>
      <c r="K131" t="s">
        <v>5480</v>
      </c>
      <c r="L131">
        <v>171664</v>
      </c>
      <c r="N131">
        <v>39184630</v>
      </c>
      <c r="X131" s="2"/>
      <c r="Y131" s="2"/>
    </row>
    <row r="132" spans="1:25" x14ac:dyDescent="0.35">
      <c r="A132">
        <v>131</v>
      </c>
      <c r="C132" s="2" t="s">
        <v>883</v>
      </c>
      <c r="D132">
        <v>44</v>
      </c>
      <c r="E132" t="s">
        <v>4888</v>
      </c>
      <c r="F132" t="s">
        <v>5322</v>
      </c>
      <c r="G132" t="s">
        <v>4887</v>
      </c>
      <c r="H132" s="2">
        <v>44795</v>
      </c>
      <c r="I132" s="2" t="s">
        <v>5478</v>
      </c>
      <c r="J132" s="34" t="s">
        <v>4638</v>
      </c>
      <c r="K132" t="s">
        <v>5480</v>
      </c>
      <c r="L132">
        <v>475475</v>
      </c>
      <c r="N132">
        <v>39184631</v>
      </c>
    </row>
    <row r="133" spans="1:25" x14ac:dyDescent="0.35">
      <c r="A133">
        <v>132</v>
      </c>
      <c r="C133" s="2" t="s">
        <v>883</v>
      </c>
      <c r="D133">
        <v>18</v>
      </c>
      <c r="E133" t="s">
        <v>4890</v>
      </c>
      <c r="F133" t="s">
        <v>5323</v>
      </c>
      <c r="G133" t="s">
        <v>4889</v>
      </c>
      <c r="H133" s="2">
        <v>44796</v>
      </c>
      <c r="I133" s="2" t="s">
        <v>5478</v>
      </c>
      <c r="J133" s="34" t="s">
        <v>4638</v>
      </c>
      <c r="K133" t="s">
        <v>5480</v>
      </c>
      <c r="L133">
        <v>866671</v>
      </c>
      <c r="N133">
        <v>39184632</v>
      </c>
      <c r="X133" s="2"/>
    </row>
    <row r="134" spans="1:25" x14ac:dyDescent="0.35">
      <c r="A134">
        <v>133</v>
      </c>
      <c r="C134" s="2" t="s">
        <v>883</v>
      </c>
      <c r="D134">
        <v>142</v>
      </c>
      <c r="E134" t="s">
        <v>4892</v>
      </c>
      <c r="F134" t="s">
        <v>5324</v>
      </c>
      <c r="G134" t="s">
        <v>4891</v>
      </c>
      <c r="H134" s="2">
        <v>44797</v>
      </c>
      <c r="I134" s="2" t="s">
        <v>5478</v>
      </c>
      <c r="J134" s="34" t="s">
        <v>2</v>
      </c>
      <c r="K134" t="s">
        <v>5479</v>
      </c>
      <c r="L134">
        <v>55815</v>
      </c>
      <c r="N134">
        <v>39184633</v>
      </c>
      <c r="X134" s="2"/>
    </row>
    <row r="135" spans="1:25" x14ac:dyDescent="0.35">
      <c r="A135">
        <v>134</v>
      </c>
      <c r="C135" s="2" t="s">
        <v>883</v>
      </c>
      <c r="D135">
        <v>76</v>
      </c>
      <c r="E135" t="s">
        <v>4894</v>
      </c>
      <c r="F135" t="s">
        <v>5325</v>
      </c>
      <c r="G135" t="s">
        <v>4893</v>
      </c>
      <c r="H135" s="2">
        <v>44798</v>
      </c>
      <c r="I135" s="2" t="s">
        <v>5478</v>
      </c>
      <c r="J135" s="34" t="s">
        <v>2</v>
      </c>
      <c r="K135" t="s">
        <v>5479</v>
      </c>
      <c r="L135">
        <v>351504</v>
      </c>
      <c r="N135">
        <v>39184634</v>
      </c>
      <c r="X135" s="2"/>
    </row>
    <row r="136" spans="1:25" x14ac:dyDescent="0.35">
      <c r="A136">
        <v>135</v>
      </c>
      <c r="C136" s="2" t="s">
        <v>883</v>
      </c>
      <c r="D136">
        <v>46</v>
      </c>
      <c r="E136" t="s">
        <v>4896</v>
      </c>
      <c r="F136" t="s">
        <v>5326</v>
      </c>
      <c r="G136" t="s">
        <v>4895</v>
      </c>
      <c r="H136" s="2">
        <v>44799</v>
      </c>
      <c r="I136" s="2" t="s">
        <v>5478</v>
      </c>
      <c r="J136" s="34" t="s">
        <v>5484</v>
      </c>
      <c r="K136" t="s">
        <v>5480</v>
      </c>
      <c r="L136">
        <v>551671</v>
      </c>
      <c r="N136">
        <v>39184635</v>
      </c>
      <c r="X136" s="2"/>
    </row>
    <row r="137" spans="1:25" x14ac:dyDescent="0.35">
      <c r="A137">
        <v>136</v>
      </c>
      <c r="C137" s="2" t="s">
        <v>883</v>
      </c>
      <c r="D137">
        <v>177</v>
      </c>
      <c r="E137" t="s">
        <v>4898</v>
      </c>
      <c r="F137" t="s">
        <v>5327</v>
      </c>
      <c r="G137" t="s">
        <v>4897</v>
      </c>
      <c r="H137" s="2">
        <v>44799</v>
      </c>
      <c r="I137" s="2" t="s">
        <v>5478</v>
      </c>
      <c r="J137" s="34" t="s">
        <v>2</v>
      </c>
      <c r="K137" t="s">
        <v>5480</v>
      </c>
      <c r="L137">
        <v>38156</v>
      </c>
      <c r="N137">
        <v>39184636</v>
      </c>
      <c r="X137" s="2"/>
    </row>
    <row r="138" spans="1:25" x14ac:dyDescent="0.35">
      <c r="A138">
        <v>137</v>
      </c>
      <c r="C138" s="2" t="s">
        <v>883</v>
      </c>
      <c r="D138">
        <v>188</v>
      </c>
      <c r="E138" t="s">
        <v>4900</v>
      </c>
      <c r="F138" t="s">
        <v>5328</v>
      </c>
      <c r="G138" t="s">
        <v>4899</v>
      </c>
      <c r="H138" s="2">
        <v>44800</v>
      </c>
      <c r="I138" s="2" t="s">
        <v>5478</v>
      </c>
      <c r="J138" s="34" t="s">
        <v>0</v>
      </c>
      <c r="K138" t="s">
        <v>5480</v>
      </c>
      <c r="L138">
        <v>557335</v>
      </c>
      <c r="N138">
        <v>39184637</v>
      </c>
      <c r="X138" s="2"/>
    </row>
    <row r="139" spans="1:25" x14ac:dyDescent="0.35">
      <c r="A139">
        <v>138</v>
      </c>
      <c r="C139" s="2" t="s">
        <v>883</v>
      </c>
      <c r="D139">
        <v>23</v>
      </c>
      <c r="E139" t="s">
        <v>4902</v>
      </c>
      <c r="F139" t="s">
        <v>5329</v>
      </c>
      <c r="G139" t="s">
        <v>4901</v>
      </c>
      <c r="H139" s="2">
        <v>44800</v>
      </c>
      <c r="I139" s="2" t="s">
        <v>5478</v>
      </c>
      <c r="J139" s="34" t="s">
        <v>4638</v>
      </c>
      <c r="K139" t="s">
        <v>5479</v>
      </c>
      <c r="L139">
        <v>418023</v>
      </c>
      <c r="N139">
        <v>39184638</v>
      </c>
      <c r="X139" s="2"/>
    </row>
    <row r="140" spans="1:25" x14ac:dyDescent="0.35">
      <c r="A140">
        <v>139</v>
      </c>
      <c r="C140" s="2" t="s">
        <v>883</v>
      </c>
      <c r="D140">
        <v>201</v>
      </c>
      <c r="E140" t="s">
        <v>4904</v>
      </c>
      <c r="F140" t="s">
        <v>5330</v>
      </c>
      <c r="G140" t="s">
        <v>4903</v>
      </c>
      <c r="H140" s="2">
        <v>44800</v>
      </c>
      <c r="I140" s="2" t="s">
        <v>5478</v>
      </c>
      <c r="J140" s="34" t="s">
        <v>2</v>
      </c>
      <c r="K140" t="s">
        <v>5479</v>
      </c>
      <c r="L140">
        <v>990223</v>
      </c>
      <c r="N140">
        <v>39184639</v>
      </c>
      <c r="X140" s="2"/>
    </row>
    <row r="141" spans="1:25" x14ac:dyDescent="0.35">
      <c r="A141">
        <v>140</v>
      </c>
      <c r="C141" s="2" t="s">
        <v>883</v>
      </c>
      <c r="D141">
        <v>18</v>
      </c>
      <c r="E141" t="s">
        <v>4906</v>
      </c>
      <c r="F141" t="s">
        <v>5331</v>
      </c>
      <c r="G141" t="s">
        <v>4905</v>
      </c>
      <c r="H141" s="2">
        <v>44802</v>
      </c>
      <c r="I141" s="2" t="s">
        <v>5478</v>
      </c>
      <c r="J141" s="34" t="s">
        <v>2</v>
      </c>
      <c r="K141" t="s">
        <v>5480</v>
      </c>
      <c r="L141">
        <v>836630</v>
      </c>
      <c r="N141">
        <v>39184640</v>
      </c>
      <c r="X141" s="2"/>
    </row>
    <row r="142" spans="1:25" x14ac:dyDescent="0.35">
      <c r="A142">
        <v>141</v>
      </c>
      <c r="C142" s="2" t="s">
        <v>883</v>
      </c>
      <c r="D142">
        <v>214</v>
      </c>
      <c r="E142" t="s">
        <v>4908</v>
      </c>
      <c r="F142" t="s">
        <v>5332</v>
      </c>
      <c r="G142" t="s">
        <v>4907</v>
      </c>
      <c r="H142" s="2">
        <v>44802</v>
      </c>
      <c r="I142" s="2" t="s">
        <v>5478</v>
      </c>
      <c r="J142" s="34" t="s">
        <v>5482</v>
      </c>
      <c r="K142" t="s">
        <v>5479</v>
      </c>
      <c r="L142">
        <v>841119</v>
      </c>
      <c r="N142">
        <v>39184641</v>
      </c>
      <c r="X142" s="2"/>
    </row>
    <row r="143" spans="1:25" x14ac:dyDescent="0.35">
      <c r="A143">
        <v>142</v>
      </c>
      <c r="C143" s="2" t="s">
        <v>883</v>
      </c>
      <c r="D143">
        <v>143</v>
      </c>
      <c r="E143" t="s">
        <v>4910</v>
      </c>
      <c r="F143" t="s">
        <v>5333</v>
      </c>
      <c r="G143" t="s">
        <v>4909</v>
      </c>
      <c r="H143" s="2">
        <v>44803</v>
      </c>
      <c r="I143" s="2" t="s">
        <v>5478</v>
      </c>
      <c r="J143" s="34" t="s">
        <v>4638</v>
      </c>
      <c r="K143" t="s">
        <v>5479</v>
      </c>
      <c r="L143">
        <v>816543</v>
      </c>
      <c r="N143">
        <v>39184642</v>
      </c>
      <c r="X143" s="2"/>
    </row>
    <row r="144" spans="1:25" x14ac:dyDescent="0.35">
      <c r="A144">
        <v>143</v>
      </c>
      <c r="C144" s="2" t="s">
        <v>883</v>
      </c>
      <c r="D144">
        <v>112</v>
      </c>
      <c r="E144" t="s">
        <v>4912</v>
      </c>
      <c r="F144" t="s">
        <v>5334</v>
      </c>
      <c r="G144" t="s">
        <v>4911</v>
      </c>
      <c r="H144" s="2">
        <v>44804</v>
      </c>
      <c r="I144" s="2">
        <v>44985</v>
      </c>
      <c r="J144" s="34" t="s">
        <v>2</v>
      </c>
      <c r="K144" t="s">
        <v>5480</v>
      </c>
      <c r="L144">
        <v>824400</v>
      </c>
      <c r="N144">
        <v>39184643</v>
      </c>
      <c r="X144" s="2"/>
    </row>
    <row r="145" spans="1:24" x14ac:dyDescent="0.35">
      <c r="A145">
        <v>144</v>
      </c>
      <c r="C145" s="2" t="s">
        <v>883</v>
      </c>
      <c r="D145">
        <v>112</v>
      </c>
      <c r="E145" t="s">
        <v>4912</v>
      </c>
      <c r="F145" t="s">
        <v>5334</v>
      </c>
      <c r="G145" t="s">
        <v>4911</v>
      </c>
      <c r="H145" s="2">
        <v>46551</v>
      </c>
      <c r="I145" s="2" t="s">
        <v>5478</v>
      </c>
      <c r="J145" s="34" t="s">
        <v>0</v>
      </c>
      <c r="K145" t="s">
        <v>5479</v>
      </c>
      <c r="L145">
        <v>166238</v>
      </c>
      <c r="N145">
        <v>39184644</v>
      </c>
      <c r="X145" s="2"/>
    </row>
    <row r="146" spans="1:24" x14ac:dyDescent="0.35">
      <c r="A146">
        <v>145</v>
      </c>
      <c r="C146" s="2" t="s">
        <v>883</v>
      </c>
      <c r="D146">
        <v>40</v>
      </c>
      <c r="E146" t="s">
        <v>4914</v>
      </c>
      <c r="F146" t="s">
        <v>5335</v>
      </c>
      <c r="G146" t="s">
        <v>4913</v>
      </c>
      <c r="H146" s="2">
        <v>44804</v>
      </c>
      <c r="I146" s="2" t="s">
        <v>5478</v>
      </c>
      <c r="J146" s="34" t="s">
        <v>5484</v>
      </c>
      <c r="K146" t="s">
        <v>5480</v>
      </c>
      <c r="L146">
        <v>872829</v>
      </c>
      <c r="N146">
        <v>39184645</v>
      </c>
      <c r="X146" s="2"/>
    </row>
    <row r="147" spans="1:24" x14ac:dyDescent="0.35">
      <c r="A147">
        <v>146</v>
      </c>
      <c r="C147" s="2" t="s">
        <v>883</v>
      </c>
      <c r="D147">
        <v>138</v>
      </c>
      <c r="E147" t="s">
        <v>4916</v>
      </c>
      <c r="F147" t="s">
        <v>5336</v>
      </c>
      <c r="G147" t="s">
        <v>4915</v>
      </c>
      <c r="H147" s="2">
        <v>44804</v>
      </c>
      <c r="I147" s="2" t="s">
        <v>5478</v>
      </c>
      <c r="J147" s="34" t="s">
        <v>5483</v>
      </c>
      <c r="K147" t="s">
        <v>5479</v>
      </c>
      <c r="L147">
        <v>924810</v>
      </c>
      <c r="N147">
        <v>39184646</v>
      </c>
      <c r="X147" s="2"/>
    </row>
    <row r="148" spans="1:24" x14ac:dyDescent="0.35">
      <c r="A148">
        <v>147</v>
      </c>
      <c r="C148" s="2" t="s">
        <v>883</v>
      </c>
      <c r="D148">
        <v>23</v>
      </c>
      <c r="E148" t="s">
        <v>4918</v>
      </c>
      <c r="F148" t="s">
        <v>5337</v>
      </c>
      <c r="G148" t="s">
        <v>4917</v>
      </c>
      <c r="H148" s="2">
        <v>44805</v>
      </c>
      <c r="I148" s="2" t="s">
        <v>5478</v>
      </c>
      <c r="J148" s="34" t="s">
        <v>1</v>
      </c>
      <c r="K148" t="s">
        <v>5480</v>
      </c>
      <c r="L148">
        <v>307798</v>
      </c>
      <c r="N148">
        <v>39184647</v>
      </c>
      <c r="X148" s="2"/>
    </row>
    <row r="149" spans="1:24" x14ac:dyDescent="0.35">
      <c r="A149">
        <v>148</v>
      </c>
      <c r="C149" s="2" t="s">
        <v>883</v>
      </c>
      <c r="D149">
        <v>163</v>
      </c>
      <c r="E149" t="s">
        <v>4920</v>
      </c>
      <c r="F149" t="s">
        <v>5338</v>
      </c>
      <c r="G149" t="s">
        <v>4919</v>
      </c>
      <c r="H149" s="2">
        <v>44806</v>
      </c>
      <c r="I149" s="2" t="s">
        <v>5478</v>
      </c>
      <c r="J149" s="34" t="s">
        <v>5484</v>
      </c>
      <c r="K149" t="s">
        <v>5479</v>
      </c>
      <c r="L149">
        <v>877157</v>
      </c>
      <c r="N149">
        <v>39184648</v>
      </c>
      <c r="X149" s="2"/>
    </row>
    <row r="150" spans="1:24" x14ac:dyDescent="0.35">
      <c r="A150">
        <v>149</v>
      </c>
      <c r="C150" s="2" t="s">
        <v>883</v>
      </c>
      <c r="D150">
        <v>43</v>
      </c>
      <c r="E150" t="s">
        <v>4922</v>
      </c>
      <c r="F150" t="s">
        <v>5339</v>
      </c>
      <c r="G150" t="s">
        <v>4921</v>
      </c>
      <c r="H150" s="2">
        <v>44806</v>
      </c>
      <c r="I150" s="2" t="s">
        <v>5478</v>
      </c>
      <c r="J150" s="34" t="s">
        <v>0</v>
      </c>
      <c r="K150" t="s">
        <v>5480</v>
      </c>
      <c r="L150">
        <v>963843</v>
      </c>
      <c r="N150">
        <v>39184649</v>
      </c>
      <c r="X150" s="2"/>
    </row>
    <row r="151" spans="1:24" x14ac:dyDescent="0.35">
      <c r="A151">
        <v>150</v>
      </c>
      <c r="C151" s="2" t="s">
        <v>883</v>
      </c>
      <c r="D151">
        <v>188</v>
      </c>
      <c r="E151" t="s">
        <v>4924</v>
      </c>
      <c r="F151" t="s">
        <v>5340</v>
      </c>
      <c r="G151" t="s">
        <v>4923</v>
      </c>
      <c r="H151" s="2">
        <v>44806</v>
      </c>
      <c r="I151" s="2" t="s">
        <v>5478</v>
      </c>
      <c r="J151" s="34" t="s">
        <v>0</v>
      </c>
      <c r="K151" t="s">
        <v>5479</v>
      </c>
      <c r="L151">
        <v>126478</v>
      </c>
      <c r="N151">
        <v>39184650</v>
      </c>
      <c r="X151" s="2"/>
    </row>
    <row r="152" spans="1:24" x14ac:dyDescent="0.35">
      <c r="A152">
        <v>151</v>
      </c>
      <c r="C152" s="2" t="s">
        <v>883</v>
      </c>
      <c r="D152">
        <v>147</v>
      </c>
      <c r="E152" t="s">
        <v>4926</v>
      </c>
      <c r="F152" t="s">
        <v>5341</v>
      </c>
      <c r="G152" t="s">
        <v>4925</v>
      </c>
      <c r="H152" s="2">
        <v>44807</v>
      </c>
      <c r="I152" s="2" t="s">
        <v>5478</v>
      </c>
      <c r="J152" s="34" t="s">
        <v>5484</v>
      </c>
      <c r="K152" t="s">
        <v>5480</v>
      </c>
      <c r="L152">
        <v>918790</v>
      </c>
      <c r="N152">
        <v>39184651</v>
      </c>
      <c r="X152" s="2"/>
    </row>
    <row r="153" spans="1:24" x14ac:dyDescent="0.35">
      <c r="A153">
        <v>152</v>
      </c>
      <c r="C153" s="2" t="s">
        <v>883</v>
      </c>
      <c r="D153">
        <v>112</v>
      </c>
      <c r="E153" t="s">
        <v>4928</v>
      </c>
      <c r="F153" t="s">
        <v>5342</v>
      </c>
      <c r="G153" t="s">
        <v>4927</v>
      </c>
      <c r="H153" s="2">
        <v>44807</v>
      </c>
      <c r="I153" s="2" t="s">
        <v>5478</v>
      </c>
      <c r="J153" s="34" t="s">
        <v>0</v>
      </c>
      <c r="K153" t="s">
        <v>5480</v>
      </c>
      <c r="L153">
        <v>245510</v>
      </c>
      <c r="N153">
        <v>39184652</v>
      </c>
      <c r="X153" s="2"/>
    </row>
    <row r="154" spans="1:24" x14ac:dyDescent="0.35">
      <c r="A154">
        <v>153</v>
      </c>
      <c r="C154" s="2" t="s">
        <v>883</v>
      </c>
      <c r="D154">
        <v>44</v>
      </c>
      <c r="E154" t="s">
        <v>4930</v>
      </c>
      <c r="F154" t="s">
        <v>5343</v>
      </c>
      <c r="G154" t="s">
        <v>4929</v>
      </c>
      <c r="H154" s="2">
        <v>44807</v>
      </c>
      <c r="I154" s="2" t="s">
        <v>5478</v>
      </c>
      <c r="J154" s="34" t="s">
        <v>5482</v>
      </c>
      <c r="K154" t="s">
        <v>5479</v>
      </c>
      <c r="L154">
        <v>697393</v>
      </c>
      <c r="N154">
        <v>39184653</v>
      </c>
      <c r="X154" s="2"/>
    </row>
    <row r="155" spans="1:24" x14ac:dyDescent="0.35">
      <c r="A155">
        <v>154</v>
      </c>
      <c r="C155" s="2" t="s">
        <v>883</v>
      </c>
      <c r="D155">
        <v>44</v>
      </c>
      <c r="E155" t="s">
        <v>4932</v>
      </c>
      <c r="F155" t="s">
        <v>5344</v>
      </c>
      <c r="G155" t="s">
        <v>4931</v>
      </c>
      <c r="H155" s="2">
        <v>44808</v>
      </c>
      <c r="I155" s="2" t="s">
        <v>5478</v>
      </c>
      <c r="J155" s="34" t="s">
        <v>5484</v>
      </c>
      <c r="K155" t="s">
        <v>5479</v>
      </c>
      <c r="L155">
        <v>761197</v>
      </c>
      <c r="N155">
        <v>39184654</v>
      </c>
      <c r="X155" s="2"/>
    </row>
    <row r="156" spans="1:24" x14ac:dyDescent="0.35">
      <c r="A156">
        <v>155</v>
      </c>
      <c r="C156" s="2" t="s">
        <v>883</v>
      </c>
      <c r="D156">
        <v>111</v>
      </c>
      <c r="E156" t="s">
        <v>4934</v>
      </c>
      <c r="F156" t="s">
        <v>5345</v>
      </c>
      <c r="G156" t="s">
        <v>4933</v>
      </c>
      <c r="H156" s="2">
        <v>44808</v>
      </c>
      <c r="I156" s="2" t="s">
        <v>5478</v>
      </c>
      <c r="J156" s="34" t="s">
        <v>5483</v>
      </c>
      <c r="K156" t="s">
        <v>5480</v>
      </c>
      <c r="L156">
        <v>228039</v>
      </c>
      <c r="N156">
        <v>39184655</v>
      </c>
      <c r="X156" s="2"/>
    </row>
    <row r="157" spans="1:24" x14ac:dyDescent="0.35">
      <c r="A157">
        <v>156</v>
      </c>
      <c r="C157" s="2" t="s">
        <v>883</v>
      </c>
      <c r="D157">
        <v>214</v>
      </c>
      <c r="E157" t="s">
        <v>4936</v>
      </c>
      <c r="F157" t="s">
        <v>5346</v>
      </c>
      <c r="G157" t="s">
        <v>4935</v>
      </c>
      <c r="H157" s="2">
        <v>44809</v>
      </c>
      <c r="I157" s="2" t="s">
        <v>5478</v>
      </c>
      <c r="J157" s="34" t="s">
        <v>0</v>
      </c>
      <c r="K157" t="s">
        <v>5480</v>
      </c>
      <c r="L157">
        <v>388917</v>
      </c>
      <c r="N157">
        <v>39184656</v>
      </c>
      <c r="X157" s="2"/>
    </row>
    <row r="158" spans="1:24" x14ac:dyDescent="0.35">
      <c r="A158">
        <v>157</v>
      </c>
      <c r="C158" s="2" t="s">
        <v>883</v>
      </c>
      <c r="D158">
        <v>16</v>
      </c>
      <c r="E158" t="s">
        <v>4938</v>
      </c>
      <c r="F158" t="s">
        <v>5347</v>
      </c>
      <c r="G158" t="s">
        <v>4937</v>
      </c>
      <c r="H158" s="2">
        <v>44809</v>
      </c>
      <c r="I158" s="2" t="s">
        <v>5478</v>
      </c>
      <c r="J158" s="34" t="s">
        <v>0</v>
      </c>
      <c r="K158" t="s">
        <v>5479</v>
      </c>
      <c r="L158">
        <v>48075</v>
      </c>
      <c r="N158">
        <v>39184657</v>
      </c>
      <c r="X158" s="2"/>
    </row>
    <row r="159" spans="1:24" x14ac:dyDescent="0.35">
      <c r="A159">
        <v>158</v>
      </c>
      <c r="C159" s="2" t="s">
        <v>883</v>
      </c>
      <c r="D159">
        <v>32</v>
      </c>
      <c r="E159" t="s">
        <v>4940</v>
      </c>
      <c r="F159" t="s">
        <v>5348</v>
      </c>
      <c r="G159" t="s">
        <v>4939</v>
      </c>
      <c r="H159" s="2">
        <v>44810</v>
      </c>
      <c r="I159" s="2" t="s">
        <v>5478</v>
      </c>
      <c r="J159" s="34" t="s">
        <v>5484</v>
      </c>
      <c r="K159" t="s">
        <v>5479</v>
      </c>
      <c r="L159">
        <v>82895</v>
      </c>
      <c r="N159">
        <v>39184658</v>
      </c>
      <c r="X159" s="2"/>
    </row>
    <row r="160" spans="1:24" x14ac:dyDescent="0.35">
      <c r="A160">
        <v>159</v>
      </c>
      <c r="C160" s="2" t="s">
        <v>883</v>
      </c>
      <c r="D160">
        <v>126</v>
      </c>
      <c r="E160" t="s">
        <v>4942</v>
      </c>
      <c r="F160" t="s">
        <v>5349</v>
      </c>
      <c r="G160" t="s">
        <v>4941</v>
      </c>
      <c r="H160" s="2">
        <v>44812</v>
      </c>
      <c r="I160" s="2" t="s">
        <v>5478</v>
      </c>
      <c r="J160" s="34" t="s">
        <v>0</v>
      </c>
      <c r="K160" t="s">
        <v>5479</v>
      </c>
      <c r="L160">
        <v>243014</v>
      </c>
      <c r="N160">
        <v>39184659</v>
      </c>
      <c r="X160" s="2"/>
    </row>
    <row r="161" spans="1:24" x14ac:dyDescent="0.35">
      <c r="A161">
        <v>160</v>
      </c>
      <c r="C161" s="2" t="s">
        <v>883</v>
      </c>
      <c r="D161">
        <v>9</v>
      </c>
      <c r="E161" t="s">
        <v>4944</v>
      </c>
      <c r="F161" t="s">
        <v>5350</v>
      </c>
      <c r="G161" t="s">
        <v>4943</v>
      </c>
      <c r="H161" s="2">
        <v>44812</v>
      </c>
      <c r="I161" s="2" t="s">
        <v>5478</v>
      </c>
      <c r="J161" s="34" t="s">
        <v>5484</v>
      </c>
      <c r="K161" t="s">
        <v>5480</v>
      </c>
      <c r="L161">
        <v>639694</v>
      </c>
      <c r="N161">
        <v>39184660</v>
      </c>
      <c r="X161" s="2"/>
    </row>
    <row r="162" spans="1:24" x14ac:dyDescent="0.35">
      <c r="A162">
        <v>161</v>
      </c>
      <c r="C162" s="2" t="s">
        <v>883</v>
      </c>
      <c r="D162">
        <v>18</v>
      </c>
      <c r="E162" t="s">
        <v>4946</v>
      </c>
      <c r="F162" t="s">
        <v>5351</v>
      </c>
      <c r="G162" t="s">
        <v>4945</v>
      </c>
      <c r="H162" s="2">
        <v>44812</v>
      </c>
      <c r="I162" s="2" t="s">
        <v>5478</v>
      </c>
      <c r="J162" s="34" t="s">
        <v>2</v>
      </c>
      <c r="K162" t="s">
        <v>5480</v>
      </c>
      <c r="L162">
        <v>946825</v>
      </c>
      <c r="N162">
        <v>39184661</v>
      </c>
      <c r="X162" s="2"/>
    </row>
    <row r="163" spans="1:24" x14ac:dyDescent="0.35">
      <c r="A163">
        <v>162</v>
      </c>
      <c r="C163" s="2" t="s">
        <v>883</v>
      </c>
      <c r="D163">
        <v>3</v>
      </c>
      <c r="E163" t="s">
        <v>4948</v>
      </c>
      <c r="F163" t="s">
        <v>5352</v>
      </c>
      <c r="G163" t="s">
        <v>4947</v>
      </c>
      <c r="H163" s="2">
        <v>44812</v>
      </c>
      <c r="I163" s="2" t="s">
        <v>5478</v>
      </c>
      <c r="J163" s="34" t="s">
        <v>2</v>
      </c>
      <c r="K163" t="s">
        <v>5479</v>
      </c>
      <c r="L163">
        <v>548468</v>
      </c>
      <c r="N163">
        <v>39184662</v>
      </c>
      <c r="X163" s="2"/>
    </row>
    <row r="164" spans="1:24" x14ac:dyDescent="0.35">
      <c r="A164">
        <v>163</v>
      </c>
      <c r="C164" s="2" t="s">
        <v>883</v>
      </c>
      <c r="D164">
        <v>23</v>
      </c>
      <c r="E164" t="s">
        <v>4950</v>
      </c>
      <c r="F164" t="s">
        <v>5353</v>
      </c>
      <c r="G164" t="s">
        <v>4949</v>
      </c>
      <c r="H164" s="2">
        <v>44812</v>
      </c>
      <c r="I164" s="2" t="s">
        <v>5478</v>
      </c>
      <c r="J164" s="34" t="s">
        <v>5482</v>
      </c>
      <c r="K164" t="s">
        <v>5479</v>
      </c>
      <c r="L164">
        <v>927851</v>
      </c>
      <c r="N164">
        <v>39184663</v>
      </c>
    </row>
    <row r="165" spans="1:24" x14ac:dyDescent="0.35">
      <c r="A165">
        <v>164</v>
      </c>
      <c r="C165" s="2" t="s">
        <v>883</v>
      </c>
      <c r="D165">
        <v>186</v>
      </c>
      <c r="E165" t="s">
        <v>4952</v>
      </c>
      <c r="F165" t="s">
        <v>5354</v>
      </c>
      <c r="G165" t="s">
        <v>4951</v>
      </c>
      <c r="H165" s="2">
        <v>44813</v>
      </c>
      <c r="I165" s="2" t="s">
        <v>5478</v>
      </c>
      <c r="J165" s="34" t="s">
        <v>1</v>
      </c>
      <c r="K165" t="s">
        <v>5480</v>
      </c>
      <c r="L165">
        <v>641215</v>
      </c>
      <c r="N165">
        <v>39184664</v>
      </c>
      <c r="X165" s="2"/>
    </row>
    <row r="166" spans="1:24" x14ac:dyDescent="0.35">
      <c r="A166">
        <v>165</v>
      </c>
      <c r="C166" s="2" t="s">
        <v>883</v>
      </c>
      <c r="D166">
        <v>92</v>
      </c>
      <c r="E166" t="s">
        <v>4954</v>
      </c>
      <c r="F166" t="s">
        <v>5355</v>
      </c>
      <c r="G166" t="s">
        <v>4953</v>
      </c>
      <c r="H166" s="2">
        <v>44813</v>
      </c>
      <c r="I166" s="2" t="s">
        <v>5478</v>
      </c>
      <c r="J166" s="34" t="s">
        <v>4638</v>
      </c>
      <c r="K166" t="s">
        <v>5479</v>
      </c>
      <c r="L166">
        <v>700183</v>
      </c>
      <c r="N166">
        <v>39184665</v>
      </c>
      <c r="X166" s="2"/>
    </row>
    <row r="167" spans="1:24" x14ac:dyDescent="0.35">
      <c r="A167">
        <v>166</v>
      </c>
      <c r="C167" s="2" t="s">
        <v>883</v>
      </c>
      <c r="D167">
        <v>18</v>
      </c>
      <c r="E167" t="s">
        <v>4956</v>
      </c>
      <c r="F167" t="s">
        <v>5356</v>
      </c>
      <c r="G167" t="s">
        <v>4955</v>
      </c>
      <c r="H167" s="2">
        <v>44814</v>
      </c>
      <c r="I167" s="2" t="s">
        <v>5478</v>
      </c>
      <c r="J167" s="34" t="s">
        <v>5484</v>
      </c>
      <c r="K167" t="s">
        <v>5479</v>
      </c>
      <c r="L167">
        <v>639356</v>
      </c>
      <c r="N167">
        <v>39184666</v>
      </c>
      <c r="X167" s="2"/>
    </row>
    <row r="168" spans="1:24" x14ac:dyDescent="0.35">
      <c r="A168">
        <v>167</v>
      </c>
      <c r="C168" s="2" t="s">
        <v>883</v>
      </c>
      <c r="D168">
        <v>76</v>
      </c>
      <c r="E168" t="s">
        <v>4958</v>
      </c>
      <c r="F168" t="s">
        <v>5357</v>
      </c>
      <c r="G168" t="s">
        <v>4957</v>
      </c>
      <c r="H168" s="2">
        <v>44814</v>
      </c>
      <c r="I168" s="2" t="s">
        <v>5478</v>
      </c>
      <c r="J168" s="34" t="s">
        <v>5483</v>
      </c>
      <c r="K168" t="s">
        <v>5479</v>
      </c>
      <c r="L168">
        <v>522949</v>
      </c>
      <c r="N168">
        <v>39184667</v>
      </c>
      <c r="X168" s="2"/>
    </row>
    <row r="169" spans="1:24" x14ac:dyDescent="0.35">
      <c r="A169">
        <v>168</v>
      </c>
      <c r="C169" s="2" t="s">
        <v>883</v>
      </c>
      <c r="D169">
        <v>278</v>
      </c>
      <c r="E169" t="s">
        <v>4960</v>
      </c>
      <c r="F169" t="s">
        <v>5358</v>
      </c>
      <c r="G169" t="s">
        <v>4959</v>
      </c>
      <c r="H169" s="2">
        <v>44814</v>
      </c>
      <c r="I169" s="2" t="s">
        <v>5478</v>
      </c>
      <c r="J169" s="34" t="s">
        <v>5482</v>
      </c>
      <c r="K169" t="s">
        <v>5480</v>
      </c>
      <c r="L169">
        <v>706764</v>
      </c>
      <c r="N169">
        <v>39184668</v>
      </c>
      <c r="X169" s="2"/>
    </row>
    <row r="170" spans="1:24" x14ac:dyDescent="0.35">
      <c r="A170">
        <v>169</v>
      </c>
      <c r="C170" s="2" t="s">
        <v>883</v>
      </c>
      <c r="D170">
        <v>76</v>
      </c>
      <c r="E170" t="s">
        <v>4962</v>
      </c>
      <c r="F170" t="s">
        <v>5359</v>
      </c>
      <c r="G170" t="s">
        <v>4961</v>
      </c>
      <c r="H170" s="2">
        <v>44815</v>
      </c>
      <c r="I170" s="2" t="s">
        <v>5478</v>
      </c>
      <c r="J170" s="34" t="s">
        <v>5482</v>
      </c>
      <c r="K170" t="s">
        <v>5480</v>
      </c>
      <c r="L170">
        <v>268636</v>
      </c>
      <c r="N170">
        <v>39184669</v>
      </c>
      <c r="X170" s="2"/>
    </row>
    <row r="171" spans="1:24" x14ac:dyDescent="0.35">
      <c r="A171">
        <v>170</v>
      </c>
      <c r="C171" s="2" t="s">
        <v>883</v>
      </c>
      <c r="D171">
        <v>142</v>
      </c>
      <c r="E171" t="s">
        <v>4964</v>
      </c>
      <c r="F171" t="s">
        <v>5360</v>
      </c>
      <c r="G171" t="s">
        <v>4963</v>
      </c>
      <c r="H171" s="2">
        <v>44815</v>
      </c>
      <c r="I171" s="2" t="s">
        <v>5478</v>
      </c>
      <c r="J171" s="34" t="s">
        <v>5483</v>
      </c>
      <c r="K171" t="s">
        <v>5479</v>
      </c>
      <c r="L171">
        <v>947244</v>
      </c>
      <c r="N171">
        <v>39184670</v>
      </c>
      <c r="X171" s="2"/>
    </row>
    <row r="172" spans="1:24" x14ac:dyDescent="0.35">
      <c r="A172">
        <v>171</v>
      </c>
      <c r="C172" s="2" t="s">
        <v>883</v>
      </c>
      <c r="D172">
        <v>177</v>
      </c>
      <c r="E172" t="s">
        <v>4966</v>
      </c>
      <c r="F172" t="s">
        <v>5361</v>
      </c>
      <c r="G172" t="s">
        <v>4965</v>
      </c>
      <c r="H172" s="2">
        <v>44816</v>
      </c>
      <c r="I172" s="2" t="s">
        <v>5478</v>
      </c>
      <c r="J172" s="34" t="s">
        <v>1</v>
      </c>
      <c r="K172" t="s">
        <v>5480</v>
      </c>
      <c r="L172">
        <v>789491</v>
      </c>
      <c r="N172">
        <v>39184671</v>
      </c>
      <c r="X172" s="2"/>
    </row>
    <row r="173" spans="1:24" x14ac:dyDescent="0.35">
      <c r="A173">
        <v>172</v>
      </c>
      <c r="C173" s="2" t="s">
        <v>883</v>
      </c>
      <c r="D173">
        <v>89</v>
      </c>
      <c r="E173" t="s">
        <v>4968</v>
      </c>
      <c r="F173" t="s">
        <v>5362</v>
      </c>
      <c r="G173" t="s">
        <v>4967</v>
      </c>
      <c r="H173" s="2">
        <v>44817</v>
      </c>
      <c r="I173" s="2" t="s">
        <v>5478</v>
      </c>
      <c r="J173" s="34" t="s">
        <v>5483</v>
      </c>
      <c r="K173" t="s">
        <v>5479</v>
      </c>
      <c r="L173">
        <v>348838</v>
      </c>
      <c r="N173">
        <v>39184672</v>
      </c>
      <c r="X173" s="2"/>
    </row>
    <row r="174" spans="1:24" x14ac:dyDescent="0.35">
      <c r="A174">
        <v>173</v>
      </c>
      <c r="C174" s="2" t="s">
        <v>883</v>
      </c>
      <c r="D174">
        <v>40</v>
      </c>
      <c r="E174" t="s">
        <v>4970</v>
      </c>
      <c r="F174" t="s">
        <v>5363</v>
      </c>
      <c r="G174" t="s">
        <v>4969</v>
      </c>
      <c r="H174" s="2">
        <v>44817</v>
      </c>
      <c r="I174" s="2" t="s">
        <v>5478</v>
      </c>
      <c r="J174" s="34" t="s">
        <v>5483</v>
      </c>
      <c r="K174" t="s">
        <v>5480</v>
      </c>
      <c r="L174">
        <v>486900</v>
      </c>
      <c r="N174">
        <v>39184673</v>
      </c>
      <c r="X174" s="2"/>
    </row>
    <row r="175" spans="1:24" x14ac:dyDescent="0.35">
      <c r="A175">
        <v>174</v>
      </c>
      <c r="C175" s="2" t="s">
        <v>883</v>
      </c>
      <c r="D175">
        <v>46</v>
      </c>
      <c r="E175" t="s">
        <v>4972</v>
      </c>
      <c r="F175" t="s">
        <v>5364</v>
      </c>
      <c r="G175" t="s">
        <v>4971</v>
      </c>
      <c r="H175" s="2">
        <v>44817</v>
      </c>
      <c r="I175" s="2" t="s">
        <v>5478</v>
      </c>
      <c r="J175" s="34" t="s">
        <v>1</v>
      </c>
      <c r="K175" t="s">
        <v>5479</v>
      </c>
      <c r="L175">
        <v>400193</v>
      </c>
      <c r="N175">
        <v>39184674</v>
      </c>
      <c r="X175" s="2"/>
    </row>
    <row r="176" spans="1:24" x14ac:dyDescent="0.35">
      <c r="A176">
        <v>175</v>
      </c>
      <c r="C176" s="2" t="s">
        <v>883</v>
      </c>
      <c r="D176">
        <v>188</v>
      </c>
      <c r="E176" t="s">
        <v>4974</v>
      </c>
      <c r="F176" t="s">
        <v>5365</v>
      </c>
      <c r="G176" t="s">
        <v>4973</v>
      </c>
      <c r="H176" s="2">
        <v>44818</v>
      </c>
      <c r="I176" s="2" t="s">
        <v>5478</v>
      </c>
      <c r="J176" s="34" t="s">
        <v>5483</v>
      </c>
      <c r="K176" t="s">
        <v>5479</v>
      </c>
      <c r="L176">
        <v>950861</v>
      </c>
      <c r="N176">
        <v>39184675</v>
      </c>
      <c r="X176" s="2"/>
    </row>
    <row r="177" spans="1:25" x14ac:dyDescent="0.35">
      <c r="A177">
        <v>176</v>
      </c>
      <c r="C177" s="2" t="s">
        <v>883</v>
      </c>
      <c r="D177">
        <v>89</v>
      </c>
      <c r="E177" t="s">
        <v>4976</v>
      </c>
      <c r="F177" t="s">
        <v>5366</v>
      </c>
      <c r="G177" t="s">
        <v>4975</v>
      </c>
      <c r="H177" s="2">
        <v>44819</v>
      </c>
      <c r="I177" s="2" t="s">
        <v>5478</v>
      </c>
      <c r="J177" s="34" t="s">
        <v>1</v>
      </c>
      <c r="K177" t="s">
        <v>5479</v>
      </c>
      <c r="L177">
        <v>396473</v>
      </c>
      <c r="N177">
        <v>39184676</v>
      </c>
      <c r="X177" s="2"/>
    </row>
    <row r="178" spans="1:25" x14ac:dyDescent="0.35">
      <c r="A178">
        <v>177</v>
      </c>
      <c r="C178" s="2" t="s">
        <v>883</v>
      </c>
      <c r="D178">
        <v>23</v>
      </c>
      <c r="E178" t="s">
        <v>4978</v>
      </c>
      <c r="F178" t="s">
        <v>5367</v>
      </c>
      <c r="G178" t="s">
        <v>4977</v>
      </c>
      <c r="H178" s="2">
        <v>44819</v>
      </c>
      <c r="I178" s="2" t="s">
        <v>5478</v>
      </c>
      <c r="J178" s="34" t="s">
        <v>5483</v>
      </c>
      <c r="K178" t="s">
        <v>5480</v>
      </c>
      <c r="L178">
        <v>915100</v>
      </c>
      <c r="N178">
        <v>39184677</v>
      </c>
      <c r="X178" s="2"/>
    </row>
    <row r="179" spans="1:25" x14ac:dyDescent="0.35">
      <c r="A179">
        <v>178</v>
      </c>
      <c r="C179" s="2" t="s">
        <v>883</v>
      </c>
      <c r="D179">
        <v>20</v>
      </c>
      <c r="E179" t="s">
        <v>4980</v>
      </c>
      <c r="F179" t="s">
        <v>5368</v>
      </c>
      <c r="G179" t="s">
        <v>4979</v>
      </c>
      <c r="H179" s="2">
        <v>44819</v>
      </c>
      <c r="I179" s="2" t="s">
        <v>5478</v>
      </c>
      <c r="J179" s="34" t="s">
        <v>5482</v>
      </c>
      <c r="K179" t="s">
        <v>5480</v>
      </c>
      <c r="L179">
        <v>715082</v>
      </c>
      <c r="N179">
        <v>39184678</v>
      </c>
      <c r="X179" s="2"/>
    </row>
    <row r="180" spans="1:25" x14ac:dyDescent="0.35">
      <c r="A180">
        <v>179</v>
      </c>
      <c r="C180" s="2" t="s">
        <v>883</v>
      </c>
      <c r="D180">
        <v>18</v>
      </c>
      <c r="E180" t="s">
        <v>4982</v>
      </c>
      <c r="F180" t="s">
        <v>5369</v>
      </c>
      <c r="G180" t="s">
        <v>4981</v>
      </c>
      <c r="H180" s="2">
        <v>44820</v>
      </c>
      <c r="I180" s="2" t="s">
        <v>5478</v>
      </c>
      <c r="J180" s="34" t="s">
        <v>2</v>
      </c>
      <c r="K180" t="s">
        <v>5480</v>
      </c>
      <c r="L180">
        <v>267640</v>
      </c>
      <c r="N180">
        <v>39184679</v>
      </c>
    </row>
    <row r="181" spans="1:25" x14ac:dyDescent="0.35">
      <c r="A181">
        <v>180</v>
      </c>
      <c r="C181" s="2" t="s">
        <v>883</v>
      </c>
      <c r="D181">
        <v>44</v>
      </c>
      <c r="E181" t="s">
        <v>4984</v>
      </c>
      <c r="F181" t="s">
        <v>5370</v>
      </c>
      <c r="G181" t="s">
        <v>4983</v>
      </c>
      <c r="H181" s="2">
        <v>44820</v>
      </c>
      <c r="I181" s="2" t="s">
        <v>5478</v>
      </c>
      <c r="J181" s="34" t="s">
        <v>0</v>
      </c>
      <c r="K181" t="s">
        <v>5479</v>
      </c>
      <c r="L181">
        <v>57326</v>
      </c>
      <c r="N181">
        <v>39184680</v>
      </c>
      <c r="X181" s="2"/>
    </row>
    <row r="182" spans="1:25" x14ac:dyDescent="0.35">
      <c r="A182">
        <v>181</v>
      </c>
      <c r="C182" s="2" t="s">
        <v>883</v>
      </c>
      <c r="D182">
        <v>147</v>
      </c>
      <c r="E182" t="s">
        <v>4986</v>
      </c>
      <c r="F182" t="s">
        <v>5371</v>
      </c>
      <c r="G182" t="s">
        <v>4985</v>
      </c>
      <c r="H182" s="2">
        <v>44820</v>
      </c>
      <c r="I182" s="2" t="s">
        <v>5478</v>
      </c>
      <c r="J182" s="34" t="s">
        <v>5484</v>
      </c>
      <c r="K182" t="s">
        <v>5479</v>
      </c>
      <c r="L182">
        <v>517554</v>
      </c>
      <c r="N182">
        <v>39184681</v>
      </c>
      <c r="X182" s="2"/>
    </row>
    <row r="183" spans="1:25" x14ac:dyDescent="0.35">
      <c r="A183">
        <v>182</v>
      </c>
      <c r="C183" s="2" t="s">
        <v>883</v>
      </c>
      <c r="D183">
        <v>142</v>
      </c>
      <c r="E183" t="s">
        <v>4988</v>
      </c>
      <c r="F183" t="s">
        <v>5372</v>
      </c>
      <c r="G183" t="s">
        <v>4987</v>
      </c>
      <c r="H183" s="2">
        <v>44822</v>
      </c>
      <c r="I183" s="2" t="s">
        <v>5478</v>
      </c>
      <c r="J183" s="34" t="s">
        <v>5483</v>
      </c>
      <c r="K183" t="s">
        <v>5479</v>
      </c>
      <c r="L183">
        <v>336093</v>
      </c>
      <c r="N183">
        <v>39184682</v>
      </c>
    </row>
    <row r="184" spans="1:25" x14ac:dyDescent="0.35">
      <c r="A184">
        <v>183</v>
      </c>
      <c r="C184" s="2" t="s">
        <v>883</v>
      </c>
      <c r="D184">
        <v>40</v>
      </c>
      <c r="E184" t="s">
        <v>4990</v>
      </c>
      <c r="F184" t="s">
        <v>5373</v>
      </c>
      <c r="G184" t="s">
        <v>4989</v>
      </c>
      <c r="H184" s="2">
        <v>44822</v>
      </c>
      <c r="I184" s="2" t="s">
        <v>5478</v>
      </c>
      <c r="J184" s="34" t="s">
        <v>5482</v>
      </c>
      <c r="K184" t="s">
        <v>5480</v>
      </c>
      <c r="L184">
        <v>140748</v>
      </c>
      <c r="N184">
        <v>39184683</v>
      </c>
      <c r="X184" s="2"/>
    </row>
    <row r="185" spans="1:25" x14ac:dyDescent="0.35">
      <c r="A185">
        <v>184</v>
      </c>
      <c r="C185" s="2" t="s">
        <v>883</v>
      </c>
      <c r="D185">
        <v>138</v>
      </c>
      <c r="E185" t="s">
        <v>4992</v>
      </c>
      <c r="F185" t="s">
        <v>5374</v>
      </c>
      <c r="G185" t="s">
        <v>4991</v>
      </c>
      <c r="H185" s="2">
        <v>44823</v>
      </c>
      <c r="I185" s="2" t="s">
        <v>5478</v>
      </c>
      <c r="J185" s="34" t="s">
        <v>1</v>
      </c>
      <c r="K185" t="s">
        <v>5480</v>
      </c>
      <c r="L185">
        <v>220391</v>
      </c>
      <c r="N185">
        <v>39184684</v>
      </c>
      <c r="X185" s="2"/>
    </row>
    <row r="186" spans="1:25" x14ac:dyDescent="0.35">
      <c r="A186">
        <v>185</v>
      </c>
      <c r="C186" s="2" t="s">
        <v>883</v>
      </c>
      <c r="D186">
        <v>201</v>
      </c>
      <c r="E186" t="s">
        <v>4994</v>
      </c>
      <c r="F186" t="s">
        <v>5375</v>
      </c>
      <c r="G186" t="s">
        <v>4993</v>
      </c>
      <c r="H186" s="2">
        <v>44824</v>
      </c>
      <c r="I186" s="2" t="s">
        <v>5478</v>
      </c>
      <c r="J186" s="34" t="s">
        <v>5483</v>
      </c>
      <c r="K186" t="s">
        <v>5479</v>
      </c>
      <c r="L186">
        <v>968308</v>
      </c>
      <c r="N186">
        <v>39184685</v>
      </c>
      <c r="X186" s="2"/>
    </row>
    <row r="187" spans="1:25" x14ac:dyDescent="0.35">
      <c r="A187">
        <v>186</v>
      </c>
      <c r="C187" s="2" t="s">
        <v>883</v>
      </c>
      <c r="D187">
        <v>23</v>
      </c>
      <c r="E187" t="s">
        <v>4996</v>
      </c>
      <c r="F187" t="s">
        <v>5376</v>
      </c>
      <c r="G187" t="s">
        <v>4995</v>
      </c>
      <c r="H187" s="2">
        <v>44824</v>
      </c>
      <c r="I187" s="2" t="s">
        <v>5478</v>
      </c>
      <c r="J187" s="34" t="s">
        <v>5483</v>
      </c>
      <c r="K187" t="s">
        <v>5480</v>
      </c>
      <c r="L187">
        <v>607304</v>
      </c>
      <c r="N187">
        <v>39184686</v>
      </c>
      <c r="X187" s="2"/>
    </row>
    <row r="188" spans="1:25" x14ac:dyDescent="0.35">
      <c r="A188">
        <v>187</v>
      </c>
      <c r="C188" s="2" t="s">
        <v>883</v>
      </c>
      <c r="D188">
        <v>188</v>
      </c>
      <c r="E188" t="s">
        <v>4998</v>
      </c>
      <c r="F188" t="s">
        <v>5377</v>
      </c>
      <c r="G188" t="s">
        <v>4997</v>
      </c>
      <c r="H188" s="2">
        <v>44825</v>
      </c>
      <c r="I188" s="2" t="s">
        <v>5478</v>
      </c>
      <c r="J188" s="34" t="s">
        <v>5482</v>
      </c>
      <c r="K188" t="s">
        <v>5480</v>
      </c>
      <c r="L188">
        <v>344204</v>
      </c>
      <c r="N188">
        <v>39184687</v>
      </c>
      <c r="X188" s="2"/>
    </row>
    <row r="189" spans="1:25" x14ac:dyDescent="0.35">
      <c r="A189">
        <v>188</v>
      </c>
      <c r="C189" s="2" t="s">
        <v>883</v>
      </c>
      <c r="D189">
        <v>23</v>
      </c>
      <c r="E189" t="s">
        <v>5000</v>
      </c>
      <c r="F189" t="s">
        <v>5378</v>
      </c>
      <c r="G189" t="s">
        <v>4999</v>
      </c>
      <c r="H189" s="2">
        <v>44825</v>
      </c>
      <c r="I189" s="2" t="s">
        <v>5478</v>
      </c>
      <c r="J189" s="34" t="s">
        <v>5483</v>
      </c>
      <c r="K189" t="s">
        <v>5479</v>
      </c>
      <c r="L189">
        <v>308173</v>
      </c>
      <c r="N189">
        <v>39184688</v>
      </c>
      <c r="X189" s="2"/>
      <c r="Y189" s="2"/>
    </row>
    <row r="190" spans="1:25" x14ac:dyDescent="0.35">
      <c r="A190">
        <v>189</v>
      </c>
      <c r="C190" s="2" t="s">
        <v>883</v>
      </c>
      <c r="D190">
        <v>23</v>
      </c>
      <c r="E190" t="s">
        <v>5002</v>
      </c>
      <c r="F190" t="s">
        <v>5379</v>
      </c>
      <c r="G190" t="s">
        <v>5001</v>
      </c>
      <c r="H190" s="2">
        <v>44826</v>
      </c>
      <c r="I190" s="2" t="s">
        <v>5478</v>
      </c>
      <c r="J190" s="34" t="s">
        <v>5482</v>
      </c>
      <c r="K190" t="s">
        <v>5480</v>
      </c>
      <c r="L190">
        <v>515094</v>
      </c>
      <c r="N190">
        <v>39184689</v>
      </c>
      <c r="X190" s="2"/>
    </row>
    <row r="191" spans="1:25" x14ac:dyDescent="0.35">
      <c r="A191">
        <v>190</v>
      </c>
      <c r="C191" s="2" t="s">
        <v>883</v>
      </c>
      <c r="D191">
        <v>89</v>
      </c>
      <c r="E191" t="s">
        <v>5004</v>
      </c>
      <c r="F191" t="s">
        <v>5380</v>
      </c>
      <c r="G191" t="s">
        <v>5003</v>
      </c>
      <c r="H191" s="2">
        <v>44826</v>
      </c>
      <c r="I191" s="2" t="s">
        <v>5478</v>
      </c>
      <c r="J191" s="34" t="s">
        <v>5482</v>
      </c>
      <c r="K191" t="s">
        <v>5479</v>
      </c>
      <c r="L191">
        <v>211452</v>
      </c>
      <c r="N191">
        <v>39184690</v>
      </c>
      <c r="X191" s="2"/>
      <c r="Y191" s="2"/>
    </row>
    <row r="192" spans="1:25" x14ac:dyDescent="0.35">
      <c r="A192">
        <v>191</v>
      </c>
      <c r="C192" s="2" t="s">
        <v>883</v>
      </c>
      <c r="D192">
        <v>16</v>
      </c>
      <c r="E192" t="s">
        <v>5006</v>
      </c>
      <c r="F192" t="s">
        <v>5381</v>
      </c>
      <c r="G192" t="s">
        <v>5005</v>
      </c>
      <c r="H192" s="2">
        <v>44827</v>
      </c>
      <c r="I192" s="2" t="s">
        <v>5478</v>
      </c>
      <c r="J192" s="34" t="s">
        <v>0</v>
      </c>
      <c r="K192" t="s">
        <v>5480</v>
      </c>
      <c r="L192">
        <v>734219</v>
      </c>
      <c r="N192">
        <v>39184691</v>
      </c>
    </row>
    <row r="193" spans="1:24" x14ac:dyDescent="0.35">
      <c r="A193">
        <v>192</v>
      </c>
      <c r="C193" s="2" t="s">
        <v>883</v>
      </c>
      <c r="D193">
        <v>154</v>
      </c>
      <c r="E193" t="s">
        <v>5008</v>
      </c>
      <c r="F193" t="s">
        <v>5382</v>
      </c>
      <c r="G193" t="s">
        <v>5007</v>
      </c>
      <c r="H193" s="2">
        <v>44827</v>
      </c>
      <c r="I193" s="2" t="s">
        <v>5478</v>
      </c>
      <c r="J193" s="34" t="s">
        <v>5484</v>
      </c>
      <c r="K193" t="s">
        <v>5480</v>
      </c>
      <c r="L193">
        <v>513121</v>
      </c>
      <c r="N193">
        <v>39184692</v>
      </c>
      <c r="X193" s="2"/>
    </row>
    <row r="194" spans="1:24" x14ac:dyDescent="0.35">
      <c r="A194">
        <v>193</v>
      </c>
      <c r="C194" s="2" t="s">
        <v>883</v>
      </c>
      <c r="D194">
        <v>111</v>
      </c>
      <c r="E194" t="s">
        <v>5010</v>
      </c>
      <c r="F194" t="s">
        <v>5383</v>
      </c>
      <c r="G194" t="s">
        <v>5009</v>
      </c>
      <c r="H194" s="2">
        <v>44827</v>
      </c>
      <c r="I194" s="2" t="s">
        <v>5478</v>
      </c>
      <c r="J194" s="34" t="s">
        <v>0</v>
      </c>
      <c r="K194" t="s">
        <v>5480</v>
      </c>
      <c r="L194">
        <v>189458</v>
      </c>
      <c r="N194">
        <v>39184693</v>
      </c>
      <c r="X194" s="2"/>
    </row>
    <row r="195" spans="1:24" x14ac:dyDescent="0.35">
      <c r="A195">
        <v>194</v>
      </c>
      <c r="C195" s="2" t="s">
        <v>883</v>
      </c>
      <c r="D195">
        <v>214</v>
      </c>
      <c r="E195" t="s">
        <v>5012</v>
      </c>
      <c r="F195" t="s">
        <v>5384</v>
      </c>
      <c r="G195" t="s">
        <v>5011</v>
      </c>
      <c r="H195" s="2">
        <v>44828</v>
      </c>
      <c r="I195" s="2" t="s">
        <v>5478</v>
      </c>
      <c r="J195" s="34" t="s">
        <v>2</v>
      </c>
      <c r="K195" t="s">
        <v>5479</v>
      </c>
      <c r="L195">
        <v>949764</v>
      </c>
      <c r="N195">
        <v>39184694</v>
      </c>
      <c r="X195" s="2"/>
    </row>
    <row r="196" spans="1:24" x14ac:dyDescent="0.35">
      <c r="A196">
        <v>195</v>
      </c>
      <c r="C196" s="2" t="s">
        <v>883</v>
      </c>
      <c r="D196">
        <v>32</v>
      </c>
      <c r="E196" t="s">
        <v>5014</v>
      </c>
      <c r="F196" t="s">
        <v>5385</v>
      </c>
      <c r="G196" t="s">
        <v>5013</v>
      </c>
      <c r="H196" s="2">
        <v>44829</v>
      </c>
      <c r="I196" s="2" t="s">
        <v>5478</v>
      </c>
      <c r="J196" s="34" t="s">
        <v>4638</v>
      </c>
      <c r="K196" t="s">
        <v>5479</v>
      </c>
      <c r="L196">
        <v>968033</v>
      </c>
      <c r="N196">
        <v>39184695</v>
      </c>
      <c r="X196" s="2"/>
    </row>
    <row r="197" spans="1:24" x14ac:dyDescent="0.35">
      <c r="A197">
        <v>196</v>
      </c>
      <c r="C197" s="2" t="s">
        <v>883</v>
      </c>
      <c r="D197">
        <v>40</v>
      </c>
      <c r="E197" t="s">
        <v>5016</v>
      </c>
      <c r="F197" t="s">
        <v>5386</v>
      </c>
      <c r="G197" t="s">
        <v>5015</v>
      </c>
      <c r="H197" s="2">
        <v>44829</v>
      </c>
      <c r="I197" s="2" t="s">
        <v>5478</v>
      </c>
      <c r="J197" s="34" t="s">
        <v>0</v>
      </c>
      <c r="K197" t="s">
        <v>5479</v>
      </c>
      <c r="L197">
        <v>351115</v>
      </c>
      <c r="N197">
        <v>39184696</v>
      </c>
      <c r="X197" s="2"/>
    </row>
    <row r="198" spans="1:24" x14ac:dyDescent="0.35">
      <c r="A198">
        <v>197</v>
      </c>
      <c r="C198" s="2" t="s">
        <v>883</v>
      </c>
      <c r="D198">
        <v>163</v>
      </c>
      <c r="E198" t="s">
        <v>5018</v>
      </c>
      <c r="F198" t="s">
        <v>5387</v>
      </c>
      <c r="G198" t="s">
        <v>5017</v>
      </c>
      <c r="H198" s="2">
        <v>44830</v>
      </c>
      <c r="I198" s="2" t="s">
        <v>5478</v>
      </c>
      <c r="J198" s="34" t="s">
        <v>2</v>
      </c>
      <c r="K198" t="s">
        <v>5480</v>
      </c>
      <c r="L198">
        <v>596322</v>
      </c>
      <c r="N198">
        <v>39184697</v>
      </c>
      <c r="X198" s="2"/>
    </row>
    <row r="199" spans="1:24" x14ac:dyDescent="0.35">
      <c r="A199">
        <v>198</v>
      </c>
      <c r="C199" s="2" t="s">
        <v>883</v>
      </c>
      <c r="D199">
        <v>9</v>
      </c>
      <c r="E199" t="s">
        <v>5020</v>
      </c>
      <c r="F199" t="s">
        <v>5388</v>
      </c>
      <c r="G199" t="s">
        <v>5019</v>
      </c>
      <c r="H199" s="2">
        <v>44830</v>
      </c>
      <c r="I199" s="2" t="s">
        <v>5478</v>
      </c>
      <c r="J199" s="34" t="s">
        <v>4638</v>
      </c>
      <c r="K199" t="s">
        <v>5479</v>
      </c>
      <c r="L199">
        <v>203583</v>
      </c>
      <c r="N199">
        <v>39184698</v>
      </c>
      <c r="X199" s="2"/>
    </row>
    <row r="200" spans="1:24" x14ac:dyDescent="0.35">
      <c r="A200">
        <v>199</v>
      </c>
      <c r="C200" s="2" t="s">
        <v>883</v>
      </c>
      <c r="D200">
        <v>87</v>
      </c>
      <c r="E200" t="s">
        <v>5022</v>
      </c>
      <c r="F200" t="s">
        <v>5389</v>
      </c>
      <c r="G200" t="s">
        <v>5021</v>
      </c>
      <c r="H200" s="2">
        <v>44830</v>
      </c>
      <c r="I200" s="2" t="s">
        <v>5478</v>
      </c>
      <c r="J200" s="34" t="s">
        <v>1</v>
      </c>
      <c r="K200" t="s">
        <v>5479</v>
      </c>
      <c r="L200">
        <v>165791</v>
      </c>
      <c r="N200">
        <v>39184699</v>
      </c>
      <c r="X200" s="2"/>
    </row>
    <row r="201" spans="1:24" x14ac:dyDescent="0.35">
      <c r="A201">
        <v>200</v>
      </c>
      <c r="C201" s="2" t="s">
        <v>883</v>
      </c>
      <c r="D201">
        <v>138</v>
      </c>
      <c r="E201" t="s">
        <v>5024</v>
      </c>
      <c r="F201" t="s">
        <v>5390</v>
      </c>
      <c r="G201" t="s">
        <v>5023</v>
      </c>
      <c r="H201" s="2">
        <v>44830</v>
      </c>
      <c r="I201" s="2" t="s">
        <v>5478</v>
      </c>
      <c r="J201" s="34" t="s">
        <v>5482</v>
      </c>
      <c r="K201" t="s">
        <v>5480</v>
      </c>
      <c r="L201">
        <v>621225</v>
      </c>
      <c r="N201">
        <v>39184700</v>
      </c>
      <c r="X201" s="2"/>
    </row>
    <row r="202" spans="1:24" x14ac:dyDescent="0.35">
      <c r="A202">
        <v>201</v>
      </c>
      <c r="C202" s="2" t="s">
        <v>883</v>
      </c>
      <c r="D202">
        <v>23</v>
      </c>
      <c r="E202" t="s">
        <v>5026</v>
      </c>
      <c r="F202" t="s">
        <v>5391</v>
      </c>
      <c r="G202" t="s">
        <v>5025</v>
      </c>
      <c r="H202" s="2">
        <v>44830</v>
      </c>
      <c r="I202" s="2" t="s">
        <v>5478</v>
      </c>
      <c r="J202" s="34" t="s">
        <v>0</v>
      </c>
      <c r="K202" t="s">
        <v>5479</v>
      </c>
      <c r="L202">
        <v>768237</v>
      </c>
      <c r="N202">
        <v>39184701</v>
      </c>
      <c r="X202" s="2"/>
    </row>
    <row r="203" spans="1:24" x14ac:dyDescent="0.35">
      <c r="A203">
        <v>202</v>
      </c>
      <c r="C203" s="2" t="s">
        <v>883</v>
      </c>
      <c r="D203">
        <v>278</v>
      </c>
      <c r="E203" t="s">
        <v>5028</v>
      </c>
      <c r="F203" t="s">
        <v>5392</v>
      </c>
      <c r="G203" t="s">
        <v>5027</v>
      </c>
      <c r="H203" s="2">
        <v>44832</v>
      </c>
      <c r="I203" s="2" t="s">
        <v>5478</v>
      </c>
      <c r="J203" s="34" t="s">
        <v>5482</v>
      </c>
      <c r="K203" t="s">
        <v>5480</v>
      </c>
      <c r="L203">
        <v>511537</v>
      </c>
      <c r="N203">
        <v>39184702</v>
      </c>
      <c r="X203" s="2"/>
    </row>
    <row r="204" spans="1:24" x14ac:dyDescent="0.35">
      <c r="A204">
        <v>203</v>
      </c>
      <c r="C204" s="2" t="s">
        <v>883</v>
      </c>
      <c r="D204">
        <v>186</v>
      </c>
      <c r="E204" t="s">
        <v>5030</v>
      </c>
      <c r="F204" t="s">
        <v>5393</v>
      </c>
      <c r="G204" t="s">
        <v>5029</v>
      </c>
      <c r="H204" s="2">
        <v>44832</v>
      </c>
      <c r="I204" s="2" t="s">
        <v>5478</v>
      </c>
      <c r="J204" s="34" t="s">
        <v>5484</v>
      </c>
      <c r="K204" t="s">
        <v>5480</v>
      </c>
      <c r="L204">
        <v>820689</v>
      </c>
      <c r="N204">
        <v>39184703</v>
      </c>
      <c r="X204" s="2"/>
    </row>
    <row r="205" spans="1:24" x14ac:dyDescent="0.35">
      <c r="A205">
        <v>204</v>
      </c>
      <c r="C205" s="2" t="s">
        <v>883</v>
      </c>
      <c r="D205">
        <v>23</v>
      </c>
      <c r="E205" t="s">
        <v>5032</v>
      </c>
      <c r="F205" t="s">
        <v>5394</v>
      </c>
      <c r="G205" t="s">
        <v>5031</v>
      </c>
      <c r="H205" s="2">
        <v>44832</v>
      </c>
      <c r="I205" s="2" t="s">
        <v>5478</v>
      </c>
      <c r="J205" s="34" t="s">
        <v>4638</v>
      </c>
      <c r="K205" t="s">
        <v>5479</v>
      </c>
      <c r="L205">
        <v>872041</v>
      </c>
      <c r="N205">
        <v>39184704</v>
      </c>
      <c r="X205" s="2"/>
    </row>
    <row r="206" spans="1:24" x14ac:dyDescent="0.35">
      <c r="A206">
        <v>205</v>
      </c>
      <c r="C206" s="2" t="s">
        <v>883</v>
      </c>
      <c r="D206">
        <v>142</v>
      </c>
      <c r="E206" t="s">
        <v>5034</v>
      </c>
      <c r="F206" t="s">
        <v>5395</v>
      </c>
      <c r="G206" t="s">
        <v>5033</v>
      </c>
      <c r="H206" s="2">
        <v>44833</v>
      </c>
      <c r="I206" s="2" t="s">
        <v>5478</v>
      </c>
      <c r="J206" s="34" t="s">
        <v>5484</v>
      </c>
      <c r="K206" t="s">
        <v>5480</v>
      </c>
      <c r="L206">
        <v>810338</v>
      </c>
      <c r="N206">
        <v>39184705</v>
      </c>
      <c r="X206" s="2"/>
    </row>
    <row r="207" spans="1:24" x14ac:dyDescent="0.35">
      <c r="A207">
        <v>206</v>
      </c>
      <c r="C207" s="2" t="s">
        <v>883</v>
      </c>
      <c r="D207">
        <v>76</v>
      </c>
      <c r="E207" t="s">
        <v>5036</v>
      </c>
      <c r="F207" t="s">
        <v>5396</v>
      </c>
      <c r="G207" t="s">
        <v>5035</v>
      </c>
      <c r="H207" s="2">
        <v>44834</v>
      </c>
      <c r="I207" s="2" t="s">
        <v>5478</v>
      </c>
      <c r="J207" s="34" t="s">
        <v>5483</v>
      </c>
      <c r="K207" t="s">
        <v>5479</v>
      </c>
      <c r="L207">
        <v>473545</v>
      </c>
      <c r="N207">
        <v>39184706</v>
      </c>
      <c r="X207" s="2"/>
    </row>
    <row r="208" spans="1:24" x14ac:dyDescent="0.35">
      <c r="A208">
        <v>207</v>
      </c>
      <c r="C208" s="2" t="s">
        <v>883</v>
      </c>
      <c r="D208">
        <v>7</v>
      </c>
      <c r="E208" t="s">
        <v>5038</v>
      </c>
      <c r="F208" t="s">
        <v>5397</v>
      </c>
      <c r="G208" t="s">
        <v>5037</v>
      </c>
      <c r="H208" s="2">
        <v>44834</v>
      </c>
      <c r="I208" s="2" t="s">
        <v>5478</v>
      </c>
      <c r="J208" s="34" t="s">
        <v>5483</v>
      </c>
      <c r="K208" t="s">
        <v>5479</v>
      </c>
      <c r="L208">
        <v>838081</v>
      </c>
      <c r="N208">
        <v>39184707</v>
      </c>
      <c r="X208" s="2"/>
    </row>
    <row r="209" spans="1:24" x14ac:dyDescent="0.35">
      <c r="A209">
        <v>208</v>
      </c>
      <c r="C209" s="2" t="s">
        <v>883</v>
      </c>
      <c r="D209">
        <v>188</v>
      </c>
      <c r="E209" t="s">
        <v>5040</v>
      </c>
      <c r="F209" t="s">
        <v>5398</v>
      </c>
      <c r="G209" t="s">
        <v>5039</v>
      </c>
      <c r="H209" s="2">
        <v>44835</v>
      </c>
      <c r="I209" s="2" t="s">
        <v>5478</v>
      </c>
      <c r="J209" s="34" t="s">
        <v>4638</v>
      </c>
      <c r="K209" t="s">
        <v>5480</v>
      </c>
      <c r="L209">
        <v>277592</v>
      </c>
      <c r="N209">
        <v>39184708</v>
      </c>
      <c r="X209" s="2"/>
    </row>
    <row r="210" spans="1:24" x14ac:dyDescent="0.35">
      <c r="A210">
        <v>209</v>
      </c>
      <c r="C210" s="2" t="s">
        <v>883</v>
      </c>
      <c r="D210">
        <v>177</v>
      </c>
      <c r="E210" t="s">
        <v>5042</v>
      </c>
      <c r="F210" t="s">
        <v>5399</v>
      </c>
      <c r="G210" t="s">
        <v>5041</v>
      </c>
      <c r="H210" s="2">
        <v>44835</v>
      </c>
      <c r="I210" s="2" t="s">
        <v>5478</v>
      </c>
      <c r="J210" s="34" t="s">
        <v>2</v>
      </c>
      <c r="K210" t="s">
        <v>5479</v>
      </c>
      <c r="L210">
        <v>882574</v>
      </c>
      <c r="N210">
        <v>39184709</v>
      </c>
      <c r="X210" s="2"/>
    </row>
    <row r="211" spans="1:24" x14ac:dyDescent="0.35">
      <c r="A211">
        <v>210</v>
      </c>
      <c r="C211" s="2" t="s">
        <v>883</v>
      </c>
      <c r="D211">
        <v>46</v>
      </c>
      <c r="E211" t="s">
        <v>5044</v>
      </c>
      <c r="F211" t="s">
        <v>5400</v>
      </c>
      <c r="G211" t="s">
        <v>5043</v>
      </c>
      <c r="H211" s="2">
        <v>44835</v>
      </c>
      <c r="I211" s="2" t="s">
        <v>5478</v>
      </c>
      <c r="J211" s="34" t="s">
        <v>0</v>
      </c>
      <c r="K211" t="s">
        <v>5480</v>
      </c>
      <c r="L211">
        <v>771568</v>
      </c>
      <c r="N211">
        <v>39184710</v>
      </c>
      <c r="X211" s="2"/>
    </row>
    <row r="212" spans="1:24" x14ac:dyDescent="0.35">
      <c r="A212">
        <v>211</v>
      </c>
      <c r="C212" s="2" t="s">
        <v>883</v>
      </c>
      <c r="D212">
        <v>40</v>
      </c>
      <c r="E212" t="s">
        <v>5046</v>
      </c>
      <c r="F212" t="s">
        <v>5401</v>
      </c>
      <c r="G212" t="s">
        <v>5045</v>
      </c>
      <c r="H212" s="2">
        <v>44836</v>
      </c>
      <c r="I212" s="2" t="s">
        <v>5478</v>
      </c>
      <c r="J212" s="34" t="s">
        <v>0</v>
      </c>
      <c r="K212" t="s">
        <v>5480</v>
      </c>
      <c r="L212">
        <v>770844</v>
      </c>
      <c r="N212">
        <v>39184711</v>
      </c>
    </row>
    <row r="213" spans="1:24" x14ac:dyDescent="0.35">
      <c r="A213">
        <v>212</v>
      </c>
      <c r="C213" s="2" t="s">
        <v>883</v>
      </c>
      <c r="D213">
        <v>20</v>
      </c>
      <c r="E213" t="s">
        <v>5048</v>
      </c>
      <c r="F213" t="s">
        <v>5402</v>
      </c>
      <c r="G213" t="s">
        <v>5047</v>
      </c>
      <c r="H213" s="2">
        <v>44837</v>
      </c>
      <c r="I213" s="2" t="s">
        <v>5478</v>
      </c>
      <c r="J213" s="34" t="s">
        <v>5484</v>
      </c>
      <c r="K213" t="s">
        <v>5479</v>
      </c>
      <c r="L213">
        <v>762750</v>
      </c>
      <c r="N213">
        <v>39184712</v>
      </c>
      <c r="X213" s="2"/>
    </row>
    <row r="214" spans="1:24" x14ac:dyDescent="0.35">
      <c r="A214">
        <v>213</v>
      </c>
      <c r="C214" s="2" t="s">
        <v>883</v>
      </c>
      <c r="D214">
        <v>188</v>
      </c>
      <c r="E214" t="s">
        <v>5050</v>
      </c>
      <c r="F214" t="s">
        <v>5403</v>
      </c>
      <c r="G214" t="s">
        <v>5049</v>
      </c>
      <c r="H214" s="2">
        <v>44837</v>
      </c>
      <c r="I214" s="2" t="s">
        <v>5478</v>
      </c>
      <c r="J214" s="34" t="s">
        <v>5482</v>
      </c>
      <c r="K214" t="s">
        <v>5480</v>
      </c>
      <c r="L214">
        <v>983848</v>
      </c>
      <c r="N214">
        <v>39184713</v>
      </c>
      <c r="X214" s="2"/>
    </row>
    <row r="215" spans="1:24" x14ac:dyDescent="0.35">
      <c r="A215">
        <v>214</v>
      </c>
      <c r="C215" s="2" t="s">
        <v>883</v>
      </c>
      <c r="D215">
        <v>23</v>
      </c>
      <c r="E215" t="s">
        <v>5051</v>
      </c>
      <c r="F215" t="s">
        <v>5404</v>
      </c>
      <c r="G215" t="s">
        <v>3404</v>
      </c>
      <c r="H215" s="2">
        <v>44837</v>
      </c>
      <c r="I215" s="2" t="s">
        <v>5478</v>
      </c>
      <c r="J215" s="34" t="s">
        <v>5482</v>
      </c>
      <c r="K215" t="s">
        <v>5479</v>
      </c>
      <c r="L215">
        <v>898909</v>
      </c>
      <c r="N215">
        <v>39184714</v>
      </c>
      <c r="X215" s="2"/>
    </row>
    <row r="216" spans="1:24" x14ac:dyDescent="0.35">
      <c r="A216">
        <v>215</v>
      </c>
      <c r="C216" s="2" t="s">
        <v>883</v>
      </c>
      <c r="D216">
        <v>126</v>
      </c>
      <c r="E216" t="s">
        <v>5053</v>
      </c>
      <c r="F216" t="s">
        <v>5405</v>
      </c>
      <c r="G216" t="s">
        <v>5052</v>
      </c>
      <c r="H216" s="2">
        <v>44838</v>
      </c>
      <c r="I216" s="2" t="s">
        <v>5478</v>
      </c>
      <c r="J216" s="34" t="s">
        <v>5484</v>
      </c>
      <c r="K216" t="s">
        <v>5480</v>
      </c>
      <c r="L216">
        <v>200372</v>
      </c>
      <c r="N216">
        <v>39184715</v>
      </c>
      <c r="X216" s="2"/>
    </row>
    <row r="217" spans="1:24" x14ac:dyDescent="0.35">
      <c r="A217">
        <v>216</v>
      </c>
      <c r="C217" s="2" t="s">
        <v>883</v>
      </c>
      <c r="D217">
        <v>92</v>
      </c>
      <c r="E217" t="s">
        <v>5055</v>
      </c>
      <c r="F217" t="s">
        <v>5406</v>
      </c>
      <c r="G217" t="s">
        <v>5054</v>
      </c>
      <c r="H217" s="2">
        <v>44838</v>
      </c>
      <c r="I217" s="2" t="s">
        <v>5478</v>
      </c>
      <c r="J217" s="34" t="s">
        <v>1</v>
      </c>
      <c r="K217" t="s">
        <v>5480</v>
      </c>
      <c r="L217">
        <v>458975</v>
      </c>
      <c r="N217">
        <v>39184716</v>
      </c>
      <c r="X217" s="2"/>
    </row>
    <row r="218" spans="1:24" x14ac:dyDescent="0.35">
      <c r="A218">
        <v>217</v>
      </c>
      <c r="C218" s="2" t="s">
        <v>883</v>
      </c>
      <c r="D218">
        <v>18</v>
      </c>
      <c r="E218" t="s">
        <v>5057</v>
      </c>
      <c r="F218" t="s">
        <v>5407</v>
      </c>
      <c r="G218" t="s">
        <v>5056</v>
      </c>
      <c r="H218" s="2">
        <v>44839</v>
      </c>
      <c r="I218" s="2" t="s">
        <v>5478</v>
      </c>
      <c r="J218" s="34" t="s">
        <v>0</v>
      </c>
      <c r="K218" t="s">
        <v>5480</v>
      </c>
      <c r="L218">
        <v>633796</v>
      </c>
      <c r="N218">
        <v>39184717</v>
      </c>
      <c r="X218" s="2"/>
    </row>
    <row r="219" spans="1:24" x14ac:dyDescent="0.35">
      <c r="A219">
        <v>218</v>
      </c>
      <c r="C219" s="2" t="s">
        <v>883</v>
      </c>
      <c r="D219">
        <v>147</v>
      </c>
      <c r="E219" t="s">
        <v>5059</v>
      </c>
      <c r="F219" t="s">
        <v>5408</v>
      </c>
      <c r="G219" t="s">
        <v>5058</v>
      </c>
      <c r="H219" s="2">
        <v>44839</v>
      </c>
      <c r="I219" s="2" t="s">
        <v>5478</v>
      </c>
      <c r="J219" s="34" t="s">
        <v>4638</v>
      </c>
      <c r="K219" t="s">
        <v>5480</v>
      </c>
      <c r="L219">
        <v>927380</v>
      </c>
      <c r="N219">
        <v>39184718</v>
      </c>
      <c r="X219" s="2"/>
    </row>
    <row r="220" spans="1:24" x14ac:dyDescent="0.35">
      <c r="A220">
        <v>219</v>
      </c>
      <c r="C220" s="2" t="s">
        <v>883</v>
      </c>
      <c r="D220">
        <v>214</v>
      </c>
      <c r="E220" t="s">
        <v>5061</v>
      </c>
      <c r="F220" t="s">
        <v>5409</v>
      </c>
      <c r="G220" t="s">
        <v>5060</v>
      </c>
      <c r="H220" s="2">
        <v>44840</v>
      </c>
      <c r="I220" s="2" t="s">
        <v>5478</v>
      </c>
      <c r="J220" s="34" t="s">
        <v>5484</v>
      </c>
      <c r="K220" t="s">
        <v>5480</v>
      </c>
      <c r="L220">
        <v>487378</v>
      </c>
      <c r="N220">
        <v>39184719</v>
      </c>
      <c r="X220" s="2"/>
    </row>
    <row r="221" spans="1:24" x14ac:dyDescent="0.35">
      <c r="A221">
        <v>220</v>
      </c>
      <c r="C221" s="2" t="s">
        <v>883</v>
      </c>
      <c r="D221">
        <v>142</v>
      </c>
      <c r="E221" t="s">
        <v>5063</v>
      </c>
      <c r="F221" t="s">
        <v>5410</v>
      </c>
      <c r="G221" t="s">
        <v>5062</v>
      </c>
      <c r="H221" s="2">
        <v>44840</v>
      </c>
      <c r="I221" s="2" t="s">
        <v>5478</v>
      </c>
      <c r="J221" s="34" t="s">
        <v>5482</v>
      </c>
      <c r="K221" t="s">
        <v>5479</v>
      </c>
      <c r="L221">
        <v>425102</v>
      </c>
      <c r="N221">
        <v>39184720</v>
      </c>
      <c r="X221" s="2"/>
    </row>
    <row r="222" spans="1:24" x14ac:dyDescent="0.35">
      <c r="A222">
        <v>221</v>
      </c>
      <c r="C222" s="2" t="s">
        <v>883</v>
      </c>
      <c r="D222">
        <v>162</v>
      </c>
      <c r="E222" t="s">
        <v>5065</v>
      </c>
      <c r="F222" t="s">
        <v>5411</v>
      </c>
      <c r="G222" t="s">
        <v>5064</v>
      </c>
      <c r="H222" s="2">
        <v>44896</v>
      </c>
      <c r="I222" s="2" t="s">
        <v>5478</v>
      </c>
      <c r="J222" s="34" t="s">
        <v>2</v>
      </c>
      <c r="K222" t="s">
        <v>5479</v>
      </c>
      <c r="L222">
        <v>829989</v>
      </c>
      <c r="N222">
        <v>39184721</v>
      </c>
      <c r="X222" s="2"/>
    </row>
    <row r="223" spans="1:24" x14ac:dyDescent="0.35">
      <c r="A223">
        <v>222</v>
      </c>
      <c r="C223" s="2" t="s">
        <v>883</v>
      </c>
      <c r="D223">
        <v>152</v>
      </c>
      <c r="E223" t="s">
        <v>5067</v>
      </c>
      <c r="F223" t="s">
        <v>5412</v>
      </c>
      <c r="G223" t="s">
        <v>5066</v>
      </c>
      <c r="H223" s="2">
        <v>45109</v>
      </c>
      <c r="I223" s="2" t="s">
        <v>5478</v>
      </c>
      <c r="J223" s="34" t="s">
        <v>4638</v>
      </c>
      <c r="K223" t="s">
        <v>5480</v>
      </c>
      <c r="L223">
        <v>94074</v>
      </c>
      <c r="N223">
        <v>39184722</v>
      </c>
      <c r="X223" s="2"/>
    </row>
    <row r="224" spans="1:24" x14ac:dyDescent="0.35">
      <c r="A224">
        <v>223</v>
      </c>
      <c r="C224" s="2" t="s">
        <v>883</v>
      </c>
      <c r="D224">
        <v>20</v>
      </c>
      <c r="E224" t="s">
        <v>5069</v>
      </c>
      <c r="F224" t="s">
        <v>5413</v>
      </c>
      <c r="G224" t="s">
        <v>5068</v>
      </c>
      <c r="H224" s="2">
        <v>45110</v>
      </c>
      <c r="I224" s="2" t="s">
        <v>5478</v>
      </c>
      <c r="J224" s="34" t="s">
        <v>1</v>
      </c>
      <c r="K224" t="s">
        <v>5479</v>
      </c>
      <c r="L224">
        <v>557276</v>
      </c>
      <c r="N224">
        <v>39184723</v>
      </c>
      <c r="X224" s="2"/>
    </row>
    <row r="225" spans="1:24" x14ac:dyDescent="0.35">
      <c r="A225">
        <v>224</v>
      </c>
      <c r="C225" s="2" t="s">
        <v>883</v>
      </c>
      <c r="D225">
        <v>27</v>
      </c>
      <c r="E225" t="s">
        <v>5071</v>
      </c>
      <c r="F225" t="s">
        <v>5414</v>
      </c>
      <c r="G225" t="s">
        <v>5070</v>
      </c>
      <c r="H225" s="2">
        <v>45113</v>
      </c>
      <c r="I225" s="2" t="s">
        <v>5478</v>
      </c>
      <c r="J225" s="34" t="s">
        <v>2</v>
      </c>
      <c r="K225" t="s">
        <v>5479</v>
      </c>
      <c r="L225">
        <v>111063</v>
      </c>
      <c r="N225">
        <v>39184724</v>
      </c>
      <c r="X225" s="2"/>
    </row>
    <row r="226" spans="1:24" x14ac:dyDescent="0.35">
      <c r="A226">
        <v>225</v>
      </c>
      <c r="C226" s="2" t="s">
        <v>883</v>
      </c>
      <c r="D226">
        <v>111</v>
      </c>
      <c r="E226" t="s">
        <v>5073</v>
      </c>
      <c r="F226" t="s">
        <v>5415</v>
      </c>
      <c r="G226" t="s">
        <v>5072</v>
      </c>
      <c r="H226" s="2">
        <v>45118</v>
      </c>
      <c r="I226" s="2" t="s">
        <v>5478</v>
      </c>
      <c r="J226" s="34" t="s">
        <v>0</v>
      </c>
      <c r="K226" t="s">
        <v>5479</v>
      </c>
      <c r="L226">
        <v>80147</v>
      </c>
      <c r="N226">
        <v>39184725</v>
      </c>
      <c r="X226" s="2"/>
    </row>
    <row r="227" spans="1:24" x14ac:dyDescent="0.35">
      <c r="A227">
        <v>226</v>
      </c>
      <c r="C227" s="2" t="s">
        <v>883</v>
      </c>
      <c r="D227">
        <v>53</v>
      </c>
      <c r="E227" t="s">
        <v>5075</v>
      </c>
      <c r="F227" t="s">
        <v>5416</v>
      </c>
      <c r="G227" t="s">
        <v>5074</v>
      </c>
      <c r="H227" s="2">
        <v>45118</v>
      </c>
      <c r="I227" s="2" t="s">
        <v>5478</v>
      </c>
      <c r="J227" s="34" t="s">
        <v>1</v>
      </c>
      <c r="K227" t="s">
        <v>5479</v>
      </c>
      <c r="L227">
        <v>484858</v>
      </c>
      <c r="N227">
        <v>39184726</v>
      </c>
      <c r="X227" s="2"/>
    </row>
    <row r="228" spans="1:24" x14ac:dyDescent="0.35">
      <c r="A228">
        <v>227</v>
      </c>
      <c r="C228" s="2" t="s">
        <v>883</v>
      </c>
      <c r="D228">
        <v>278</v>
      </c>
      <c r="E228" t="s">
        <v>5077</v>
      </c>
      <c r="F228" t="s">
        <v>5417</v>
      </c>
      <c r="G228" t="s">
        <v>5076</v>
      </c>
      <c r="H228" s="2">
        <v>45124</v>
      </c>
      <c r="I228" s="2" t="s">
        <v>5478</v>
      </c>
      <c r="J228" s="34" t="s">
        <v>2</v>
      </c>
      <c r="K228" t="s">
        <v>5480</v>
      </c>
      <c r="L228">
        <v>967721</v>
      </c>
      <c r="N228">
        <v>39184727</v>
      </c>
      <c r="X228" s="2"/>
    </row>
    <row r="229" spans="1:24" x14ac:dyDescent="0.35">
      <c r="A229">
        <v>228</v>
      </c>
      <c r="C229" s="2" t="s">
        <v>883</v>
      </c>
      <c r="D229">
        <v>66</v>
      </c>
      <c r="E229" t="s">
        <v>5079</v>
      </c>
      <c r="F229" t="s">
        <v>5418</v>
      </c>
      <c r="G229" t="s">
        <v>5078</v>
      </c>
      <c r="H229" s="2">
        <v>45125</v>
      </c>
      <c r="I229" s="2" t="s">
        <v>5478</v>
      </c>
      <c r="J229" s="34" t="s">
        <v>5482</v>
      </c>
      <c r="K229" t="s">
        <v>5480</v>
      </c>
      <c r="L229">
        <v>807490</v>
      </c>
      <c r="N229">
        <v>39184728</v>
      </c>
      <c r="X229" s="2"/>
    </row>
    <row r="230" spans="1:24" x14ac:dyDescent="0.35">
      <c r="A230">
        <v>229</v>
      </c>
      <c r="C230" s="2" t="s">
        <v>883</v>
      </c>
      <c r="D230">
        <v>222</v>
      </c>
      <c r="E230" t="s">
        <v>5081</v>
      </c>
      <c r="F230" t="s">
        <v>5419</v>
      </c>
      <c r="G230" t="s">
        <v>5080</v>
      </c>
      <c r="H230" s="2">
        <v>45128</v>
      </c>
      <c r="I230" s="2" t="s">
        <v>5478</v>
      </c>
      <c r="J230" s="34" t="s">
        <v>2</v>
      </c>
      <c r="K230" t="s">
        <v>5479</v>
      </c>
      <c r="L230">
        <v>642205</v>
      </c>
      <c r="N230">
        <v>39184729</v>
      </c>
      <c r="X230" s="2"/>
    </row>
    <row r="231" spans="1:24" x14ac:dyDescent="0.35">
      <c r="A231">
        <v>230</v>
      </c>
      <c r="C231" s="2" t="s">
        <v>883</v>
      </c>
      <c r="D231">
        <v>20</v>
      </c>
      <c r="E231" t="s">
        <v>5083</v>
      </c>
      <c r="F231" t="s">
        <v>5420</v>
      </c>
      <c r="G231" t="s">
        <v>5082</v>
      </c>
      <c r="H231" s="2">
        <v>45129</v>
      </c>
      <c r="I231" s="2" t="s">
        <v>5478</v>
      </c>
      <c r="J231" s="34" t="s">
        <v>1</v>
      </c>
      <c r="K231" t="s">
        <v>5480</v>
      </c>
      <c r="L231">
        <v>792616</v>
      </c>
      <c r="N231">
        <v>39184730</v>
      </c>
      <c r="X231" s="2"/>
    </row>
    <row r="232" spans="1:24" x14ac:dyDescent="0.35">
      <c r="A232">
        <v>231</v>
      </c>
      <c r="C232" s="2" t="s">
        <v>883</v>
      </c>
      <c r="D232">
        <v>27</v>
      </c>
      <c r="E232" t="s">
        <v>5085</v>
      </c>
      <c r="F232" t="s">
        <v>5421</v>
      </c>
      <c r="G232" t="s">
        <v>5084</v>
      </c>
      <c r="H232" s="2">
        <v>45132</v>
      </c>
      <c r="I232" s="2" t="s">
        <v>5478</v>
      </c>
      <c r="J232" s="34" t="s">
        <v>2</v>
      </c>
      <c r="K232" t="s">
        <v>5479</v>
      </c>
      <c r="L232">
        <v>753628</v>
      </c>
      <c r="N232">
        <v>39184731</v>
      </c>
      <c r="X232" s="2"/>
    </row>
    <row r="233" spans="1:24" x14ac:dyDescent="0.35">
      <c r="A233">
        <v>232</v>
      </c>
      <c r="C233" s="2" t="s">
        <v>883</v>
      </c>
      <c r="D233">
        <v>27</v>
      </c>
      <c r="E233" t="s">
        <v>5087</v>
      </c>
      <c r="F233" t="s">
        <v>5422</v>
      </c>
      <c r="G233" t="s">
        <v>5086</v>
      </c>
      <c r="H233" s="2">
        <v>45132</v>
      </c>
      <c r="I233" s="2" t="s">
        <v>5478</v>
      </c>
      <c r="J233" s="34" t="s">
        <v>0</v>
      </c>
      <c r="K233" t="s">
        <v>5479</v>
      </c>
      <c r="L233">
        <v>902633</v>
      </c>
      <c r="N233">
        <v>39184732</v>
      </c>
      <c r="X233" s="2"/>
    </row>
    <row r="234" spans="1:24" x14ac:dyDescent="0.35">
      <c r="A234">
        <v>233</v>
      </c>
      <c r="C234" s="2" t="s">
        <v>883</v>
      </c>
      <c r="D234">
        <v>53</v>
      </c>
      <c r="E234" t="s">
        <v>5089</v>
      </c>
      <c r="F234" t="s">
        <v>5423</v>
      </c>
      <c r="G234" t="s">
        <v>5088</v>
      </c>
      <c r="H234" s="2">
        <v>45136</v>
      </c>
      <c r="I234" s="2" t="s">
        <v>5478</v>
      </c>
      <c r="J234" s="34" t="s">
        <v>1</v>
      </c>
      <c r="K234" t="s">
        <v>5479</v>
      </c>
      <c r="L234">
        <v>371168</v>
      </c>
      <c r="N234">
        <v>39184733</v>
      </c>
      <c r="X234" s="2"/>
    </row>
    <row r="235" spans="1:24" x14ac:dyDescent="0.35">
      <c r="A235">
        <v>234</v>
      </c>
      <c r="C235" s="2" t="s">
        <v>883</v>
      </c>
      <c r="D235">
        <v>189</v>
      </c>
      <c r="E235" t="s">
        <v>5091</v>
      </c>
      <c r="F235" t="s">
        <v>5424</v>
      </c>
      <c r="G235" t="s">
        <v>5090</v>
      </c>
      <c r="H235" s="2">
        <v>45139</v>
      </c>
      <c r="I235" s="2" t="s">
        <v>5478</v>
      </c>
      <c r="J235" s="34" t="s">
        <v>5484</v>
      </c>
      <c r="K235" t="s">
        <v>5480</v>
      </c>
      <c r="L235">
        <v>938230</v>
      </c>
      <c r="N235">
        <v>39184734</v>
      </c>
      <c r="X235" s="2"/>
    </row>
    <row r="236" spans="1:24" x14ac:dyDescent="0.35">
      <c r="A236">
        <v>235</v>
      </c>
      <c r="C236" s="2" t="s">
        <v>883</v>
      </c>
      <c r="D236">
        <v>278</v>
      </c>
      <c r="E236" t="s">
        <v>5093</v>
      </c>
      <c r="F236" t="s">
        <v>5425</v>
      </c>
      <c r="G236" t="s">
        <v>5092</v>
      </c>
      <c r="H236" s="2">
        <v>45142</v>
      </c>
      <c r="I236" s="2" t="s">
        <v>5478</v>
      </c>
      <c r="J236" s="34" t="s">
        <v>5484</v>
      </c>
      <c r="K236" t="s">
        <v>5479</v>
      </c>
      <c r="L236">
        <v>472807</v>
      </c>
      <c r="N236">
        <v>39184735</v>
      </c>
      <c r="X236" s="2"/>
    </row>
    <row r="237" spans="1:24" x14ac:dyDescent="0.35">
      <c r="A237">
        <v>236</v>
      </c>
      <c r="C237" s="2" t="s">
        <v>883</v>
      </c>
      <c r="D237">
        <v>111</v>
      </c>
      <c r="E237" t="s">
        <v>5095</v>
      </c>
      <c r="F237" t="s">
        <v>5426</v>
      </c>
      <c r="G237" t="s">
        <v>5094</v>
      </c>
      <c r="H237" s="2">
        <v>45144</v>
      </c>
      <c r="I237" s="2" t="s">
        <v>5478</v>
      </c>
      <c r="J237" s="34" t="s">
        <v>5483</v>
      </c>
      <c r="K237" t="s">
        <v>5479</v>
      </c>
      <c r="L237">
        <v>797217</v>
      </c>
      <c r="N237">
        <v>39184736</v>
      </c>
      <c r="X237" s="2"/>
    </row>
    <row r="238" spans="1:24" x14ac:dyDescent="0.35">
      <c r="A238">
        <v>237</v>
      </c>
      <c r="C238" s="2" t="s">
        <v>883</v>
      </c>
      <c r="D238">
        <v>278</v>
      </c>
      <c r="E238" t="s">
        <v>5097</v>
      </c>
      <c r="F238" t="s">
        <v>5427</v>
      </c>
      <c r="G238" t="s">
        <v>5096</v>
      </c>
      <c r="H238" s="2">
        <v>45149</v>
      </c>
      <c r="I238" s="2" t="s">
        <v>5478</v>
      </c>
      <c r="J238" s="34" t="s">
        <v>1</v>
      </c>
      <c r="K238" t="s">
        <v>5479</v>
      </c>
      <c r="L238">
        <v>818497</v>
      </c>
      <c r="N238">
        <v>39184737</v>
      </c>
      <c r="X238" s="2"/>
    </row>
    <row r="239" spans="1:24" x14ac:dyDescent="0.35">
      <c r="A239">
        <v>238</v>
      </c>
      <c r="C239" s="2" t="s">
        <v>883</v>
      </c>
      <c r="D239">
        <v>66</v>
      </c>
      <c r="E239" t="s">
        <v>5099</v>
      </c>
      <c r="F239" t="s">
        <v>5428</v>
      </c>
      <c r="G239" t="s">
        <v>5098</v>
      </c>
      <c r="H239" s="2">
        <v>45150</v>
      </c>
      <c r="I239" s="2" t="s">
        <v>5478</v>
      </c>
      <c r="J239" s="34" t="s">
        <v>1</v>
      </c>
      <c r="K239" t="s">
        <v>5480</v>
      </c>
      <c r="L239">
        <v>460730</v>
      </c>
      <c r="N239">
        <v>39184738</v>
      </c>
      <c r="X239" s="2"/>
    </row>
    <row r="240" spans="1:24" x14ac:dyDescent="0.35">
      <c r="A240">
        <v>239</v>
      </c>
      <c r="C240" s="2" t="s">
        <v>883</v>
      </c>
      <c r="D240">
        <v>18</v>
      </c>
      <c r="E240" t="s">
        <v>5100</v>
      </c>
      <c r="F240" t="s">
        <v>5429</v>
      </c>
      <c r="G240" t="s">
        <v>4817</v>
      </c>
      <c r="H240" s="2">
        <v>45154</v>
      </c>
      <c r="I240" s="2" t="s">
        <v>5478</v>
      </c>
      <c r="J240" s="34" t="s">
        <v>2</v>
      </c>
      <c r="K240" t="s">
        <v>5479</v>
      </c>
      <c r="L240">
        <v>258018</v>
      </c>
      <c r="N240">
        <v>39184739</v>
      </c>
      <c r="X240" s="2"/>
    </row>
    <row r="241" spans="1:24" x14ac:dyDescent="0.35">
      <c r="A241">
        <v>240</v>
      </c>
      <c r="C241" s="2" t="s">
        <v>883</v>
      </c>
      <c r="D241">
        <v>53</v>
      </c>
      <c r="E241" t="s">
        <v>5102</v>
      </c>
      <c r="F241" t="s">
        <v>5430</v>
      </c>
      <c r="G241" t="s">
        <v>5101</v>
      </c>
      <c r="H241" s="2">
        <v>45155</v>
      </c>
      <c r="I241" s="2" t="s">
        <v>5478</v>
      </c>
      <c r="J241" s="34" t="s">
        <v>0</v>
      </c>
      <c r="K241" t="s">
        <v>5479</v>
      </c>
      <c r="L241">
        <v>96125</v>
      </c>
      <c r="N241">
        <v>39184740</v>
      </c>
      <c r="X241" s="2"/>
    </row>
    <row r="242" spans="1:24" x14ac:dyDescent="0.35">
      <c r="A242">
        <v>241</v>
      </c>
      <c r="C242" s="2" t="s">
        <v>883</v>
      </c>
      <c r="D242">
        <v>111</v>
      </c>
      <c r="E242" t="s">
        <v>5104</v>
      </c>
      <c r="F242" t="s">
        <v>5431</v>
      </c>
      <c r="G242" t="s">
        <v>5103</v>
      </c>
      <c r="H242" s="2">
        <v>45160</v>
      </c>
      <c r="I242" s="2" t="s">
        <v>5478</v>
      </c>
      <c r="J242" s="34" t="s">
        <v>5482</v>
      </c>
      <c r="K242" t="s">
        <v>5479</v>
      </c>
      <c r="L242">
        <v>954843</v>
      </c>
      <c r="N242">
        <v>39184741</v>
      </c>
      <c r="X242" s="2"/>
    </row>
    <row r="243" spans="1:24" x14ac:dyDescent="0.35">
      <c r="A243">
        <v>242</v>
      </c>
      <c r="C243" s="2" t="s">
        <v>883</v>
      </c>
      <c r="D243">
        <v>278</v>
      </c>
      <c r="E243" t="s">
        <v>5106</v>
      </c>
      <c r="F243" t="s">
        <v>5432</v>
      </c>
      <c r="G243" t="s">
        <v>5105</v>
      </c>
      <c r="H243" s="2">
        <v>45161</v>
      </c>
      <c r="I243" s="2" t="s">
        <v>5478</v>
      </c>
      <c r="J243" s="34" t="s">
        <v>5482</v>
      </c>
      <c r="K243" t="s">
        <v>5479</v>
      </c>
      <c r="L243">
        <v>459281</v>
      </c>
      <c r="N243">
        <v>39184742</v>
      </c>
      <c r="X243" s="2"/>
    </row>
    <row r="244" spans="1:24" x14ac:dyDescent="0.35">
      <c r="A244">
        <v>243</v>
      </c>
      <c r="C244" s="2" t="s">
        <v>883</v>
      </c>
      <c r="D244">
        <v>111</v>
      </c>
      <c r="E244" t="s">
        <v>5108</v>
      </c>
      <c r="F244" t="s">
        <v>5433</v>
      </c>
      <c r="G244" t="s">
        <v>5107</v>
      </c>
      <c r="H244" s="2">
        <v>45162</v>
      </c>
      <c r="I244" s="2" t="s">
        <v>5478</v>
      </c>
      <c r="J244" s="34" t="s">
        <v>1</v>
      </c>
      <c r="K244" t="s">
        <v>5479</v>
      </c>
      <c r="L244">
        <v>885014</v>
      </c>
      <c r="N244">
        <v>39184743</v>
      </c>
      <c r="X244" s="2"/>
    </row>
    <row r="245" spans="1:24" x14ac:dyDescent="0.35">
      <c r="A245">
        <v>244</v>
      </c>
      <c r="C245" s="2" t="s">
        <v>883</v>
      </c>
      <c r="D245">
        <v>53</v>
      </c>
      <c r="E245" t="s">
        <v>5110</v>
      </c>
      <c r="F245" t="s">
        <v>5434</v>
      </c>
      <c r="G245" t="s">
        <v>5109</v>
      </c>
      <c r="H245" s="2">
        <v>45162</v>
      </c>
      <c r="I245" s="2" t="s">
        <v>5478</v>
      </c>
      <c r="J245" s="34" t="s">
        <v>2</v>
      </c>
      <c r="K245" t="s">
        <v>5480</v>
      </c>
      <c r="L245">
        <v>444416</v>
      </c>
      <c r="N245">
        <v>39184744</v>
      </c>
      <c r="X245" s="2"/>
    </row>
    <row r="246" spans="1:24" x14ac:dyDescent="0.35">
      <c r="A246">
        <v>245</v>
      </c>
      <c r="C246" s="2" t="s">
        <v>883</v>
      </c>
      <c r="D246">
        <v>278</v>
      </c>
      <c r="E246" t="s">
        <v>5112</v>
      </c>
      <c r="F246" t="s">
        <v>5435</v>
      </c>
      <c r="G246" t="s">
        <v>5111</v>
      </c>
      <c r="H246" s="2">
        <v>45165</v>
      </c>
      <c r="I246" s="2" t="s">
        <v>5478</v>
      </c>
      <c r="J246" s="34" t="s">
        <v>0</v>
      </c>
      <c r="K246" t="s">
        <v>5480</v>
      </c>
      <c r="L246">
        <v>41433</v>
      </c>
      <c r="N246">
        <v>39184745</v>
      </c>
      <c r="X246" s="2"/>
    </row>
    <row r="247" spans="1:24" x14ac:dyDescent="0.35">
      <c r="A247">
        <v>246</v>
      </c>
      <c r="C247" s="2" t="s">
        <v>883</v>
      </c>
      <c r="D247">
        <v>51</v>
      </c>
      <c r="E247" t="s">
        <v>5114</v>
      </c>
      <c r="F247" t="s">
        <v>5436</v>
      </c>
      <c r="G247" t="s">
        <v>5113</v>
      </c>
      <c r="H247" s="2">
        <v>45165</v>
      </c>
      <c r="I247" s="2" t="s">
        <v>5478</v>
      </c>
      <c r="J247" s="34" t="s">
        <v>4638</v>
      </c>
      <c r="K247" t="s">
        <v>5479</v>
      </c>
      <c r="L247">
        <v>748096</v>
      </c>
      <c r="N247">
        <v>39184746</v>
      </c>
      <c r="X247" s="2"/>
    </row>
    <row r="248" spans="1:24" x14ac:dyDescent="0.35">
      <c r="A248">
        <v>247</v>
      </c>
      <c r="C248" s="2" t="s">
        <v>883</v>
      </c>
      <c r="D248">
        <v>20</v>
      </c>
      <c r="E248" t="s">
        <v>5116</v>
      </c>
      <c r="F248" t="s">
        <v>5437</v>
      </c>
      <c r="G248" t="s">
        <v>5115</v>
      </c>
      <c r="H248" s="2">
        <v>45167</v>
      </c>
      <c r="I248" s="2" t="s">
        <v>5478</v>
      </c>
      <c r="J248" s="34" t="s">
        <v>5482</v>
      </c>
      <c r="K248" t="s">
        <v>5479</v>
      </c>
      <c r="L248">
        <v>455484</v>
      </c>
      <c r="N248">
        <v>39184747</v>
      </c>
      <c r="X248" s="2"/>
    </row>
    <row r="249" spans="1:24" x14ac:dyDescent="0.35">
      <c r="A249">
        <v>248</v>
      </c>
      <c r="C249" s="2" t="s">
        <v>883</v>
      </c>
      <c r="D249">
        <v>278</v>
      </c>
      <c r="E249" t="s">
        <v>5118</v>
      </c>
      <c r="F249" t="s">
        <v>5438</v>
      </c>
      <c r="G249" t="s">
        <v>5117</v>
      </c>
      <c r="H249" s="2">
        <v>45169</v>
      </c>
      <c r="I249" s="2" t="s">
        <v>5478</v>
      </c>
      <c r="J249" s="34" t="s">
        <v>4638</v>
      </c>
      <c r="K249" t="s">
        <v>5480</v>
      </c>
      <c r="L249">
        <v>952089</v>
      </c>
      <c r="N249">
        <v>39184748</v>
      </c>
      <c r="X249" s="2"/>
    </row>
    <row r="250" spans="1:24" x14ac:dyDescent="0.35">
      <c r="A250">
        <v>249</v>
      </c>
      <c r="C250" s="2" t="s">
        <v>883</v>
      </c>
      <c r="D250">
        <v>66</v>
      </c>
      <c r="E250" t="s">
        <v>5120</v>
      </c>
      <c r="F250" t="s">
        <v>5439</v>
      </c>
      <c r="G250" t="s">
        <v>5119</v>
      </c>
      <c r="H250" s="2">
        <v>45170</v>
      </c>
      <c r="I250" s="2" t="s">
        <v>5478</v>
      </c>
      <c r="J250" s="34" t="s">
        <v>5482</v>
      </c>
      <c r="K250" t="s">
        <v>5479</v>
      </c>
      <c r="L250">
        <v>153865</v>
      </c>
      <c r="N250">
        <v>39184749</v>
      </c>
      <c r="X250" s="2"/>
    </row>
    <row r="251" spans="1:24" x14ac:dyDescent="0.35">
      <c r="A251">
        <v>250</v>
      </c>
      <c r="C251" s="2" t="s">
        <v>883</v>
      </c>
      <c r="D251">
        <v>53</v>
      </c>
      <c r="E251" t="s">
        <v>5122</v>
      </c>
      <c r="F251" t="s">
        <v>5440</v>
      </c>
      <c r="G251" t="s">
        <v>5121</v>
      </c>
      <c r="H251" s="2">
        <v>45174</v>
      </c>
      <c r="I251" s="2" t="s">
        <v>5478</v>
      </c>
      <c r="J251" s="34" t="s">
        <v>2</v>
      </c>
      <c r="K251" t="s">
        <v>5479</v>
      </c>
      <c r="L251">
        <v>450774</v>
      </c>
      <c r="N251">
        <v>39184750</v>
      </c>
      <c r="X251" s="2"/>
    </row>
    <row r="252" spans="1:24" x14ac:dyDescent="0.35">
      <c r="A252">
        <v>251</v>
      </c>
      <c r="C252" s="2" t="s">
        <v>883</v>
      </c>
      <c r="D252">
        <v>18</v>
      </c>
      <c r="E252" t="s">
        <v>5124</v>
      </c>
      <c r="F252" t="s">
        <v>5441</v>
      </c>
      <c r="G252" t="s">
        <v>5123</v>
      </c>
      <c r="H252" s="2">
        <v>45174</v>
      </c>
      <c r="I252" s="2" t="s">
        <v>5478</v>
      </c>
      <c r="J252" s="34" t="s">
        <v>2</v>
      </c>
      <c r="K252" t="s">
        <v>5480</v>
      </c>
      <c r="L252">
        <v>487680</v>
      </c>
      <c r="N252">
        <v>39184751</v>
      </c>
      <c r="X252" s="2"/>
    </row>
    <row r="253" spans="1:24" x14ac:dyDescent="0.35">
      <c r="A253">
        <v>252</v>
      </c>
      <c r="C253" s="2" t="s">
        <v>883</v>
      </c>
      <c r="D253">
        <v>27</v>
      </c>
      <c r="E253" t="s">
        <v>5126</v>
      </c>
      <c r="F253" t="s">
        <v>5442</v>
      </c>
      <c r="G253" t="s">
        <v>5125</v>
      </c>
      <c r="H253" s="2">
        <v>45177</v>
      </c>
      <c r="I253" s="2" t="s">
        <v>5478</v>
      </c>
      <c r="J253" s="34" t="s">
        <v>5482</v>
      </c>
      <c r="K253" t="s">
        <v>5480</v>
      </c>
      <c r="L253">
        <v>615363</v>
      </c>
      <c r="N253">
        <v>39184752</v>
      </c>
      <c r="X253" s="2"/>
    </row>
    <row r="254" spans="1:24" x14ac:dyDescent="0.35">
      <c r="A254">
        <v>253</v>
      </c>
      <c r="C254" s="2" t="s">
        <v>883</v>
      </c>
      <c r="D254">
        <v>53</v>
      </c>
      <c r="E254" t="s">
        <v>5128</v>
      </c>
      <c r="F254" t="s">
        <v>5443</v>
      </c>
      <c r="G254" t="s">
        <v>5127</v>
      </c>
      <c r="H254" s="2">
        <v>45181</v>
      </c>
      <c r="I254" s="2" t="s">
        <v>5478</v>
      </c>
      <c r="J254" s="34" t="s">
        <v>5483</v>
      </c>
      <c r="K254" t="s">
        <v>5479</v>
      </c>
      <c r="L254">
        <v>133002</v>
      </c>
      <c r="N254">
        <v>39184753</v>
      </c>
      <c r="X254" s="2"/>
    </row>
    <row r="255" spans="1:24" x14ac:dyDescent="0.35">
      <c r="A255">
        <v>254</v>
      </c>
      <c r="C255" s="2" t="s">
        <v>883</v>
      </c>
      <c r="D255">
        <v>111</v>
      </c>
      <c r="E255" t="s">
        <v>5130</v>
      </c>
      <c r="F255" t="s">
        <v>5444</v>
      </c>
      <c r="G255" t="s">
        <v>5129</v>
      </c>
      <c r="H255" s="2">
        <v>45182</v>
      </c>
      <c r="I255" s="2" t="s">
        <v>5478</v>
      </c>
      <c r="J255" s="34" t="s">
        <v>1</v>
      </c>
      <c r="K255" t="s">
        <v>5480</v>
      </c>
      <c r="L255">
        <v>874353</v>
      </c>
      <c r="N255">
        <v>39184754</v>
      </c>
      <c r="X255" s="2"/>
    </row>
    <row r="256" spans="1:24" x14ac:dyDescent="0.35">
      <c r="A256">
        <v>255</v>
      </c>
      <c r="C256" s="2" t="s">
        <v>883</v>
      </c>
      <c r="D256">
        <v>51</v>
      </c>
      <c r="E256" t="s">
        <v>5132</v>
      </c>
      <c r="F256" t="s">
        <v>5445</v>
      </c>
      <c r="G256" t="s">
        <v>5131</v>
      </c>
      <c r="H256" s="2">
        <v>45185</v>
      </c>
      <c r="I256" s="2" t="s">
        <v>5478</v>
      </c>
      <c r="J256" s="34" t="s">
        <v>0</v>
      </c>
      <c r="K256" t="s">
        <v>5479</v>
      </c>
      <c r="L256">
        <v>250583</v>
      </c>
      <c r="N256">
        <v>39184755</v>
      </c>
      <c r="X256" s="2"/>
    </row>
    <row r="257" spans="1:24" x14ac:dyDescent="0.35">
      <c r="A257">
        <v>256</v>
      </c>
      <c r="C257" s="2" t="s">
        <v>883</v>
      </c>
      <c r="D257">
        <v>66</v>
      </c>
      <c r="E257" t="s">
        <v>5134</v>
      </c>
      <c r="F257" t="s">
        <v>5446</v>
      </c>
      <c r="G257" t="s">
        <v>5133</v>
      </c>
      <c r="H257" s="2">
        <v>45189</v>
      </c>
      <c r="I257" s="2" t="s">
        <v>5478</v>
      </c>
      <c r="J257" s="34" t="s">
        <v>0</v>
      </c>
      <c r="K257" t="s">
        <v>5480</v>
      </c>
      <c r="L257">
        <v>223559</v>
      </c>
      <c r="N257">
        <v>39184756</v>
      </c>
      <c r="X257" s="2"/>
    </row>
    <row r="258" spans="1:24" x14ac:dyDescent="0.35">
      <c r="A258">
        <v>257</v>
      </c>
      <c r="C258" s="2" t="s">
        <v>883</v>
      </c>
      <c r="D258">
        <v>43</v>
      </c>
      <c r="E258" t="s">
        <v>5136</v>
      </c>
      <c r="F258" t="s">
        <v>5447</v>
      </c>
      <c r="G258" t="s">
        <v>5135</v>
      </c>
      <c r="H258" s="2">
        <v>45192</v>
      </c>
      <c r="I258" s="2" t="s">
        <v>5478</v>
      </c>
      <c r="J258" s="34" t="s">
        <v>0</v>
      </c>
      <c r="K258" t="s">
        <v>5479</v>
      </c>
      <c r="L258">
        <v>257943</v>
      </c>
      <c r="N258">
        <v>39184757</v>
      </c>
      <c r="X258" s="2"/>
    </row>
    <row r="259" spans="1:24" x14ac:dyDescent="0.35">
      <c r="A259">
        <v>258</v>
      </c>
      <c r="C259" s="2" t="s">
        <v>883</v>
      </c>
      <c r="D259">
        <v>20</v>
      </c>
      <c r="E259" t="s">
        <v>5138</v>
      </c>
      <c r="F259" t="s">
        <v>5448</v>
      </c>
      <c r="G259" t="s">
        <v>5137</v>
      </c>
      <c r="H259" s="2">
        <v>45192</v>
      </c>
      <c r="I259" s="2" t="s">
        <v>5478</v>
      </c>
      <c r="J259" s="34" t="s">
        <v>0</v>
      </c>
      <c r="K259" t="s">
        <v>5480</v>
      </c>
      <c r="L259">
        <v>966739</v>
      </c>
      <c r="N259">
        <v>39184758</v>
      </c>
      <c r="X259" s="2"/>
    </row>
    <row r="260" spans="1:24" x14ac:dyDescent="0.35">
      <c r="A260">
        <v>259</v>
      </c>
      <c r="C260" s="2" t="s">
        <v>883</v>
      </c>
      <c r="D260">
        <v>20</v>
      </c>
      <c r="E260" t="s">
        <v>5140</v>
      </c>
      <c r="F260" t="s">
        <v>5449</v>
      </c>
      <c r="G260" t="s">
        <v>5139</v>
      </c>
      <c r="H260" s="2">
        <v>45192</v>
      </c>
      <c r="I260" s="2" t="s">
        <v>5478</v>
      </c>
      <c r="J260" s="34" t="s">
        <v>5483</v>
      </c>
      <c r="K260" t="s">
        <v>5479</v>
      </c>
      <c r="L260">
        <v>636744</v>
      </c>
      <c r="N260">
        <v>39184759</v>
      </c>
      <c r="X260" s="2"/>
    </row>
    <row r="261" spans="1:24" x14ac:dyDescent="0.35">
      <c r="A261">
        <v>260</v>
      </c>
      <c r="C261" s="2" t="s">
        <v>883</v>
      </c>
      <c r="D261">
        <v>27</v>
      </c>
      <c r="E261" t="s">
        <v>5142</v>
      </c>
      <c r="F261" t="s">
        <v>5450</v>
      </c>
      <c r="G261" t="s">
        <v>5141</v>
      </c>
      <c r="H261" s="2">
        <v>45196</v>
      </c>
      <c r="I261" s="2" t="s">
        <v>5478</v>
      </c>
      <c r="J261" s="34" t="s">
        <v>5483</v>
      </c>
      <c r="K261" t="s">
        <v>5479</v>
      </c>
      <c r="L261">
        <v>931708</v>
      </c>
      <c r="N261">
        <v>39184760</v>
      </c>
      <c r="X261" s="2"/>
    </row>
    <row r="262" spans="1:24" x14ac:dyDescent="0.35">
      <c r="A262">
        <v>261</v>
      </c>
      <c r="C262" s="2" t="s">
        <v>883</v>
      </c>
      <c r="D262">
        <v>53</v>
      </c>
      <c r="E262" t="s">
        <v>5144</v>
      </c>
      <c r="F262" t="s">
        <v>5451</v>
      </c>
      <c r="G262" t="s">
        <v>5143</v>
      </c>
      <c r="H262" s="2">
        <v>45200</v>
      </c>
      <c r="I262" s="2" t="s">
        <v>5478</v>
      </c>
      <c r="J262" s="34" t="s">
        <v>5483</v>
      </c>
      <c r="K262" t="s">
        <v>5480</v>
      </c>
      <c r="L262">
        <v>409364</v>
      </c>
      <c r="N262">
        <v>39184761</v>
      </c>
      <c r="X262" s="2"/>
    </row>
    <row r="263" spans="1:24" x14ac:dyDescent="0.35">
      <c r="A263">
        <v>262</v>
      </c>
      <c r="C263" s="2" t="s">
        <v>883</v>
      </c>
      <c r="D263">
        <v>111</v>
      </c>
      <c r="E263" t="s">
        <v>5146</v>
      </c>
      <c r="F263" t="s">
        <v>5452</v>
      </c>
      <c r="G263" t="s">
        <v>5145</v>
      </c>
      <c r="H263" s="2">
        <v>45201</v>
      </c>
      <c r="I263" s="2" t="s">
        <v>5478</v>
      </c>
      <c r="J263" s="34" t="s">
        <v>5483</v>
      </c>
      <c r="K263" t="s">
        <v>5479</v>
      </c>
      <c r="L263">
        <v>224296</v>
      </c>
      <c r="N263">
        <v>39184762</v>
      </c>
      <c r="X263" s="2"/>
    </row>
    <row r="264" spans="1:24" x14ac:dyDescent="0.35">
      <c r="A264">
        <v>263</v>
      </c>
      <c r="C264" s="2" t="s">
        <v>883</v>
      </c>
      <c r="D264">
        <v>51</v>
      </c>
      <c r="E264" t="s">
        <v>5148</v>
      </c>
      <c r="F264" t="s">
        <v>5453</v>
      </c>
      <c r="G264" t="s">
        <v>5147</v>
      </c>
      <c r="H264" s="2">
        <v>45202</v>
      </c>
      <c r="I264" s="2" t="s">
        <v>5478</v>
      </c>
      <c r="J264" s="34" t="s">
        <v>5483</v>
      </c>
      <c r="K264" t="s">
        <v>5479</v>
      </c>
      <c r="L264">
        <v>696060</v>
      </c>
      <c r="N264">
        <v>39184763</v>
      </c>
      <c r="X264" s="2"/>
    </row>
    <row r="265" spans="1:24" x14ac:dyDescent="0.35">
      <c r="A265">
        <v>264</v>
      </c>
      <c r="C265" s="2" t="s">
        <v>883</v>
      </c>
      <c r="D265">
        <v>51</v>
      </c>
      <c r="E265" t="s">
        <v>5150</v>
      </c>
      <c r="F265" t="s">
        <v>5454</v>
      </c>
      <c r="G265" t="s">
        <v>5149</v>
      </c>
      <c r="H265" s="2">
        <v>45204</v>
      </c>
      <c r="I265" s="2" t="s">
        <v>5478</v>
      </c>
      <c r="J265" s="34" t="s">
        <v>1</v>
      </c>
      <c r="K265" t="s">
        <v>5479</v>
      </c>
      <c r="L265">
        <v>182912</v>
      </c>
      <c r="N265">
        <v>39184764</v>
      </c>
      <c r="X265" s="2"/>
    </row>
    <row r="266" spans="1:24" x14ac:dyDescent="0.35">
      <c r="A266">
        <v>265</v>
      </c>
      <c r="C266" s="2" t="s">
        <v>883</v>
      </c>
      <c r="D266">
        <v>278</v>
      </c>
      <c r="E266" t="s">
        <v>5152</v>
      </c>
      <c r="F266" t="s">
        <v>5455</v>
      </c>
      <c r="G266" t="s">
        <v>5151</v>
      </c>
      <c r="H266" s="2">
        <v>45206</v>
      </c>
      <c r="I266" s="2" t="s">
        <v>5478</v>
      </c>
      <c r="J266" s="34" t="s">
        <v>2</v>
      </c>
      <c r="K266" t="s">
        <v>5480</v>
      </c>
      <c r="L266">
        <v>401986</v>
      </c>
      <c r="N266">
        <v>39184765</v>
      </c>
      <c r="X266" s="2"/>
    </row>
    <row r="267" spans="1:24" x14ac:dyDescent="0.35">
      <c r="A267">
        <v>266</v>
      </c>
      <c r="C267" s="2" t="s">
        <v>883</v>
      </c>
      <c r="D267">
        <v>66</v>
      </c>
      <c r="E267" t="s">
        <v>5153</v>
      </c>
      <c r="F267" t="s">
        <v>5456</v>
      </c>
      <c r="G267" t="s">
        <v>5131</v>
      </c>
      <c r="H267" s="2">
        <v>45207</v>
      </c>
      <c r="I267" s="2" t="s">
        <v>5478</v>
      </c>
      <c r="J267" s="34" t="s">
        <v>1</v>
      </c>
      <c r="K267" t="s">
        <v>5480</v>
      </c>
      <c r="L267">
        <v>308923</v>
      </c>
      <c r="N267">
        <v>39184766</v>
      </c>
      <c r="X267" s="2"/>
    </row>
    <row r="268" spans="1:24" x14ac:dyDescent="0.35">
      <c r="A268">
        <v>267</v>
      </c>
      <c r="C268" s="2" t="s">
        <v>883</v>
      </c>
      <c r="D268">
        <v>3</v>
      </c>
      <c r="E268" t="s">
        <v>5155</v>
      </c>
      <c r="F268" t="s">
        <v>5457</v>
      </c>
      <c r="G268" t="s">
        <v>5154</v>
      </c>
      <c r="H268" s="2">
        <v>45478</v>
      </c>
      <c r="I268" s="2" t="s">
        <v>5478</v>
      </c>
      <c r="J268" s="34" t="s">
        <v>4638</v>
      </c>
      <c r="K268" t="s">
        <v>5479</v>
      </c>
      <c r="L268">
        <v>561249</v>
      </c>
      <c r="N268">
        <v>39184767</v>
      </c>
      <c r="X268" s="2"/>
    </row>
    <row r="269" spans="1:24" x14ac:dyDescent="0.35">
      <c r="A269">
        <v>268</v>
      </c>
      <c r="C269" s="2" t="s">
        <v>883</v>
      </c>
      <c r="D269">
        <v>278</v>
      </c>
      <c r="E269" t="s">
        <v>5157</v>
      </c>
      <c r="F269" t="s">
        <v>5458</v>
      </c>
      <c r="G269" t="s">
        <v>5156</v>
      </c>
      <c r="H269" s="2">
        <v>45479</v>
      </c>
      <c r="I269" s="2" t="s">
        <v>5478</v>
      </c>
      <c r="J269" s="34" t="s">
        <v>2</v>
      </c>
      <c r="K269" t="s">
        <v>5480</v>
      </c>
      <c r="L269">
        <v>704021</v>
      </c>
      <c r="N269">
        <v>39184768</v>
      </c>
      <c r="X269" s="2"/>
    </row>
    <row r="270" spans="1:24" x14ac:dyDescent="0.35">
      <c r="A270">
        <v>269</v>
      </c>
      <c r="C270" s="2" t="s">
        <v>883</v>
      </c>
      <c r="D270">
        <v>267</v>
      </c>
      <c r="E270" t="s">
        <v>5159</v>
      </c>
      <c r="F270" t="s">
        <v>5459</v>
      </c>
      <c r="G270" t="s">
        <v>5158</v>
      </c>
      <c r="H270" s="2">
        <v>45496</v>
      </c>
      <c r="I270" s="2" t="s">
        <v>5478</v>
      </c>
      <c r="J270" s="34" t="s">
        <v>1</v>
      </c>
      <c r="K270" t="s">
        <v>5480</v>
      </c>
      <c r="L270">
        <v>405807</v>
      </c>
      <c r="N270">
        <v>39184769</v>
      </c>
      <c r="X270" s="2"/>
    </row>
    <row r="271" spans="1:24" x14ac:dyDescent="0.35">
      <c r="A271">
        <v>270</v>
      </c>
      <c r="C271" s="2" t="s">
        <v>883</v>
      </c>
      <c r="D271">
        <v>278</v>
      </c>
      <c r="E271" t="s">
        <v>5161</v>
      </c>
      <c r="F271" t="s">
        <v>5460</v>
      </c>
      <c r="G271" t="s">
        <v>5160</v>
      </c>
      <c r="H271" s="2">
        <v>45498</v>
      </c>
      <c r="I271" s="2" t="s">
        <v>5478</v>
      </c>
      <c r="J271" s="34" t="s">
        <v>2</v>
      </c>
      <c r="K271" t="s">
        <v>5480</v>
      </c>
      <c r="L271">
        <v>190030</v>
      </c>
      <c r="N271">
        <v>39184770</v>
      </c>
      <c r="X271" s="2"/>
    </row>
    <row r="272" spans="1:24" x14ac:dyDescent="0.35">
      <c r="A272">
        <v>271</v>
      </c>
      <c r="C272" s="2" t="s">
        <v>883</v>
      </c>
      <c r="D272">
        <v>3</v>
      </c>
      <c r="E272" t="s">
        <v>5163</v>
      </c>
      <c r="F272" t="s">
        <v>5461</v>
      </c>
      <c r="G272" t="s">
        <v>5162</v>
      </c>
      <c r="H272" s="2">
        <v>45503</v>
      </c>
      <c r="I272" s="2" t="s">
        <v>5478</v>
      </c>
      <c r="J272" s="34" t="s">
        <v>0</v>
      </c>
      <c r="K272" t="s">
        <v>5480</v>
      </c>
      <c r="L272">
        <v>868635</v>
      </c>
      <c r="N272">
        <v>39184771</v>
      </c>
      <c r="X272" s="2"/>
    </row>
    <row r="273" spans="1:24" x14ac:dyDescent="0.35">
      <c r="A273">
        <v>272</v>
      </c>
      <c r="C273" s="2" t="s">
        <v>883</v>
      </c>
      <c r="D273">
        <v>277</v>
      </c>
      <c r="E273" t="s">
        <v>5165</v>
      </c>
      <c r="F273" t="s">
        <v>5462</v>
      </c>
      <c r="G273" t="s">
        <v>5164</v>
      </c>
      <c r="H273" s="2">
        <v>45508</v>
      </c>
      <c r="I273" s="2" t="s">
        <v>5478</v>
      </c>
      <c r="J273" s="34" t="s">
        <v>5484</v>
      </c>
      <c r="K273" t="s">
        <v>5480</v>
      </c>
      <c r="L273">
        <v>366397</v>
      </c>
      <c r="N273">
        <v>39184772</v>
      </c>
      <c r="X273" s="2"/>
    </row>
    <row r="274" spans="1:24" x14ac:dyDescent="0.35">
      <c r="A274">
        <v>273</v>
      </c>
      <c r="C274" s="2" t="s">
        <v>883</v>
      </c>
      <c r="D274">
        <v>7</v>
      </c>
      <c r="E274" t="s">
        <v>5167</v>
      </c>
      <c r="F274" t="s">
        <v>5463</v>
      </c>
      <c r="G274" t="s">
        <v>5166</v>
      </c>
      <c r="H274" s="2">
        <v>45511</v>
      </c>
      <c r="I274" s="2" t="s">
        <v>5478</v>
      </c>
      <c r="J274" s="34" t="s">
        <v>5484</v>
      </c>
      <c r="K274" t="s">
        <v>5480</v>
      </c>
      <c r="L274">
        <v>739600</v>
      </c>
      <c r="N274">
        <v>39184773</v>
      </c>
      <c r="X274" s="2"/>
    </row>
    <row r="275" spans="1:24" x14ac:dyDescent="0.35">
      <c r="A275">
        <v>274</v>
      </c>
      <c r="C275" s="2" t="s">
        <v>883</v>
      </c>
      <c r="D275">
        <v>3</v>
      </c>
      <c r="E275" t="s">
        <v>1968</v>
      </c>
      <c r="F275" t="s">
        <v>5464</v>
      </c>
      <c r="G275" t="s">
        <v>5168</v>
      </c>
      <c r="H275" s="2">
        <v>45522</v>
      </c>
      <c r="I275" s="2" t="s">
        <v>5478</v>
      </c>
      <c r="J275" s="34" t="s">
        <v>5483</v>
      </c>
      <c r="K275" t="s">
        <v>5479</v>
      </c>
      <c r="L275">
        <v>240730</v>
      </c>
      <c r="N275">
        <v>39184774</v>
      </c>
      <c r="X275" s="2"/>
    </row>
    <row r="276" spans="1:24" x14ac:dyDescent="0.35">
      <c r="A276">
        <v>275</v>
      </c>
      <c r="C276" s="2" t="s">
        <v>883</v>
      </c>
      <c r="D276">
        <v>7</v>
      </c>
      <c r="E276" t="s">
        <v>5170</v>
      </c>
      <c r="F276" t="s">
        <v>5465</v>
      </c>
      <c r="G276" t="s">
        <v>5169</v>
      </c>
      <c r="H276" s="2">
        <v>45542</v>
      </c>
      <c r="I276" s="2" t="s">
        <v>5478</v>
      </c>
      <c r="J276" s="34" t="s">
        <v>2</v>
      </c>
      <c r="K276" t="s">
        <v>5480</v>
      </c>
      <c r="L276">
        <v>724820</v>
      </c>
      <c r="N276">
        <v>39184775</v>
      </c>
      <c r="X276" s="2"/>
    </row>
    <row r="277" spans="1:24" x14ac:dyDescent="0.35">
      <c r="A277">
        <v>276</v>
      </c>
      <c r="C277" s="2" t="s">
        <v>883</v>
      </c>
      <c r="D277">
        <v>7</v>
      </c>
      <c r="E277" t="s">
        <v>5172</v>
      </c>
      <c r="F277" t="s">
        <v>5466</v>
      </c>
      <c r="G277" t="s">
        <v>5171</v>
      </c>
      <c r="H277" s="2">
        <v>45549</v>
      </c>
      <c r="I277" s="2" t="s">
        <v>5478</v>
      </c>
      <c r="J277" s="34" t="s">
        <v>5482</v>
      </c>
      <c r="K277" t="s">
        <v>5479</v>
      </c>
      <c r="L277">
        <v>696079</v>
      </c>
      <c r="N277">
        <v>39184776</v>
      </c>
      <c r="X277" s="2"/>
    </row>
    <row r="278" spans="1:24" x14ac:dyDescent="0.35">
      <c r="A278">
        <v>277</v>
      </c>
      <c r="C278" s="2" t="s">
        <v>883</v>
      </c>
      <c r="D278">
        <v>112</v>
      </c>
      <c r="E278" t="s">
        <v>5174</v>
      </c>
      <c r="F278" t="s">
        <v>5467</v>
      </c>
      <c r="G278" t="s">
        <v>5173</v>
      </c>
      <c r="H278" s="2">
        <v>45550</v>
      </c>
      <c r="I278" s="2" t="s">
        <v>5478</v>
      </c>
      <c r="J278" s="34" t="s">
        <v>4638</v>
      </c>
      <c r="K278" t="s">
        <v>5479</v>
      </c>
      <c r="L278">
        <v>858470</v>
      </c>
      <c r="N278">
        <v>39184777</v>
      </c>
      <c r="X278" s="2"/>
    </row>
    <row r="279" spans="1:24" x14ac:dyDescent="0.35">
      <c r="A279">
        <v>278</v>
      </c>
      <c r="C279" s="2" t="s">
        <v>883</v>
      </c>
      <c r="D279">
        <v>73</v>
      </c>
      <c r="E279" t="s">
        <v>5176</v>
      </c>
      <c r="F279" t="s">
        <v>5468</v>
      </c>
      <c r="G279" t="s">
        <v>5175</v>
      </c>
      <c r="H279" s="2">
        <v>45560</v>
      </c>
      <c r="I279" s="2">
        <v>45682</v>
      </c>
      <c r="J279" s="34" t="s">
        <v>5483</v>
      </c>
      <c r="K279" t="s">
        <v>5480</v>
      </c>
      <c r="L279">
        <v>804913</v>
      </c>
      <c r="N279">
        <v>39184778</v>
      </c>
      <c r="X279" s="2"/>
    </row>
    <row r="280" spans="1:24" x14ac:dyDescent="0.35">
      <c r="A280">
        <v>281</v>
      </c>
      <c r="C280" s="2" t="s">
        <v>883</v>
      </c>
      <c r="D280">
        <v>272</v>
      </c>
      <c r="E280" t="s">
        <v>5178</v>
      </c>
      <c r="F280" t="s">
        <v>5469</v>
      </c>
      <c r="G280" t="s">
        <v>5177</v>
      </c>
      <c r="H280" s="2">
        <v>45655</v>
      </c>
      <c r="I280" s="2" t="s">
        <v>5478</v>
      </c>
      <c r="J280" s="34" t="s">
        <v>5482</v>
      </c>
      <c r="K280" t="s">
        <v>5480</v>
      </c>
      <c r="L280">
        <v>743879</v>
      </c>
      <c r="N280">
        <v>39184781</v>
      </c>
      <c r="X280" s="2"/>
    </row>
    <row r="281" spans="1:24" x14ac:dyDescent="0.35">
      <c r="A281">
        <v>282</v>
      </c>
      <c r="C281" s="2" t="s">
        <v>883</v>
      </c>
      <c r="D281">
        <v>272</v>
      </c>
      <c r="E281" t="s">
        <v>5180</v>
      </c>
      <c r="F281" t="s">
        <v>5470</v>
      </c>
      <c r="G281" t="s">
        <v>5179</v>
      </c>
      <c r="H281" s="2">
        <v>45655</v>
      </c>
      <c r="I281" s="2" t="s">
        <v>5478</v>
      </c>
      <c r="J281" s="34" t="s">
        <v>5484</v>
      </c>
      <c r="K281" t="s">
        <v>5480</v>
      </c>
      <c r="L281">
        <v>352809</v>
      </c>
      <c r="N281">
        <v>39184782</v>
      </c>
      <c r="X281" s="2"/>
    </row>
    <row r="282" spans="1:24" x14ac:dyDescent="0.35">
      <c r="A282">
        <v>283</v>
      </c>
      <c r="C282" s="2" t="s">
        <v>883</v>
      </c>
      <c r="D282">
        <v>272</v>
      </c>
      <c r="E282" t="s">
        <v>5182</v>
      </c>
      <c r="F282" t="s">
        <v>5471</v>
      </c>
      <c r="G282" t="s">
        <v>5181</v>
      </c>
      <c r="H282" s="2">
        <v>45655</v>
      </c>
      <c r="I282" s="2" t="s">
        <v>5478</v>
      </c>
      <c r="J282" s="34" t="s">
        <v>5482</v>
      </c>
      <c r="K282" t="s">
        <v>5480</v>
      </c>
      <c r="L282">
        <v>734375</v>
      </c>
      <c r="N282">
        <v>39184783</v>
      </c>
      <c r="X282" s="2"/>
    </row>
    <row r="283" spans="1:24" x14ac:dyDescent="0.35">
      <c r="A283">
        <v>284</v>
      </c>
      <c r="C283" s="2" t="s">
        <v>883</v>
      </c>
      <c r="D283">
        <v>272</v>
      </c>
      <c r="E283" t="s">
        <v>5184</v>
      </c>
      <c r="F283" t="s">
        <v>5472</v>
      </c>
      <c r="G283" t="s">
        <v>5183</v>
      </c>
      <c r="H283" s="2">
        <v>45655</v>
      </c>
      <c r="I283" s="2" t="s">
        <v>5478</v>
      </c>
      <c r="J283" s="34" t="s">
        <v>2</v>
      </c>
      <c r="K283" t="s">
        <v>5480</v>
      </c>
      <c r="L283">
        <v>467673</v>
      </c>
      <c r="N283">
        <v>39184784</v>
      </c>
      <c r="X283" s="2"/>
    </row>
    <row r="284" spans="1:24" x14ac:dyDescent="0.35">
      <c r="A284">
        <v>285</v>
      </c>
      <c r="C284" s="2" t="s">
        <v>883</v>
      </c>
      <c r="D284">
        <v>272</v>
      </c>
      <c r="E284" t="s">
        <v>5186</v>
      </c>
      <c r="F284" t="s">
        <v>5473</v>
      </c>
      <c r="G284" t="s">
        <v>5185</v>
      </c>
      <c r="H284" s="2">
        <v>45655</v>
      </c>
      <c r="I284" s="2" t="s">
        <v>5478</v>
      </c>
      <c r="J284" s="34" t="s">
        <v>5484</v>
      </c>
      <c r="K284" t="s">
        <v>5479</v>
      </c>
      <c r="L284">
        <v>434383</v>
      </c>
      <c r="N284">
        <v>39184785</v>
      </c>
      <c r="X284" s="2"/>
    </row>
    <row r="285" spans="1:24" x14ac:dyDescent="0.35">
      <c r="A285">
        <v>286</v>
      </c>
      <c r="C285" s="2" t="s">
        <v>883</v>
      </c>
      <c r="D285">
        <v>272</v>
      </c>
      <c r="E285" t="s">
        <v>5188</v>
      </c>
      <c r="F285" t="s">
        <v>5474</v>
      </c>
      <c r="G285" t="s">
        <v>5187</v>
      </c>
      <c r="H285" s="2">
        <v>45655</v>
      </c>
      <c r="I285" s="2" t="s">
        <v>5478</v>
      </c>
      <c r="J285" s="34" t="s">
        <v>1</v>
      </c>
      <c r="K285" t="s">
        <v>5480</v>
      </c>
      <c r="L285">
        <v>548083</v>
      </c>
      <c r="N285">
        <v>39184786</v>
      </c>
      <c r="X285" s="2"/>
    </row>
    <row r="286" spans="1:24" x14ac:dyDescent="0.35">
      <c r="A286">
        <v>287</v>
      </c>
      <c r="C286" s="2" t="s">
        <v>883</v>
      </c>
      <c r="D286">
        <v>272</v>
      </c>
      <c r="E286" t="s">
        <v>5190</v>
      </c>
      <c r="F286" t="s">
        <v>5475</v>
      </c>
      <c r="G286" t="s">
        <v>5189</v>
      </c>
      <c r="H286" s="2">
        <v>45655</v>
      </c>
      <c r="I286" s="2" t="s">
        <v>5478</v>
      </c>
      <c r="J286" s="34" t="s">
        <v>4638</v>
      </c>
      <c r="K286" t="s">
        <v>5479</v>
      </c>
      <c r="L286">
        <v>877730</v>
      </c>
      <c r="N286">
        <v>39184787</v>
      </c>
      <c r="X286" s="2"/>
    </row>
    <row r="287" spans="1:24" x14ac:dyDescent="0.35">
      <c r="A287">
        <v>288</v>
      </c>
      <c r="C287" s="2" t="s">
        <v>883</v>
      </c>
      <c r="D287">
        <v>272</v>
      </c>
      <c r="E287" t="s">
        <v>5192</v>
      </c>
      <c r="F287" t="s">
        <v>5476</v>
      </c>
      <c r="G287" t="s">
        <v>5191</v>
      </c>
      <c r="H287" s="2">
        <v>45655</v>
      </c>
      <c r="I287" s="2" t="s">
        <v>5478</v>
      </c>
      <c r="J287" s="34" t="s">
        <v>1</v>
      </c>
      <c r="K287" t="s">
        <v>5479</v>
      </c>
      <c r="L287">
        <v>861820</v>
      </c>
      <c r="N287">
        <v>39184788</v>
      </c>
      <c r="X287" s="2"/>
    </row>
    <row r="288" spans="1:24" x14ac:dyDescent="0.35">
      <c r="A288">
        <v>289</v>
      </c>
      <c r="C288" s="2" t="s">
        <v>883</v>
      </c>
      <c r="D288">
        <v>272</v>
      </c>
      <c r="E288" t="s">
        <v>5194</v>
      </c>
      <c r="F288" t="s">
        <v>5477</v>
      </c>
      <c r="G288" t="s">
        <v>5193</v>
      </c>
      <c r="H288" s="2">
        <v>45655</v>
      </c>
      <c r="I288" s="2" t="s">
        <v>5478</v>
      </c>
      <c r="J288" s="34" t="s">
        <v>4638</v>
      </c>
      <c r="K288" t="s">
        <v>5480</v>
      </c>
      <c r="L288">
        <v>248996</v>
      </c>
      <c r="N288">
        <v>39184789</v>
      </c>
      <c r="X288" s="2"/>
    </row>
    <row r="289" spans="8:24" x14ac:dyDescent="0.35">
      <c r="H289" s="2"/>
      <c r="I289" s="2"/>
      <c r="J289" s="2"/>
      <c r="X289" s="2"/>
    </row>
    <row r="290" spans="8:24" x14ac:dyDescent="0.35">
      <c r="H290" s="2"/>
      <c r="I290" s="2"/>
      <c r="J290" s="2"/>
      <c r="X290" s="2"/>
    </row>
    <row r="291" spans="8:24" x14ac:dyDescent="0.35">
      <c r="H291" s="2"/>
      <c r="I291" s="2"/>
      <c r="J291" s="2"/>
      <c r="X291" s="2"/>
    </row>
    <row r="292" spans="8:24" x14ac:dyDescent="0.35">
      <c r="H292" s="2"/>
      <c r="I292" s="2"/>
      <c r="J292" s="2"/>
      <c r="X292" s="2"/>
    </row>
    <row r="293" spans="8:24" x14ac:dyDescent="0.35">
      <c r="H293" s="2"/>
      <c r="I293" s="2"/>
      <c r="J293" s="2"/>
      <c r="X293" s="2"/>
    </row>
    <row r="294" spans="8:24" x14ac:dyDescent="0.35">
      <c r="H294" s="2"/>
      <c r="I294" s="2"/>
      <c r="J294" s="2"/>
      <c r="X294" s="2"/>
    </row>
    <row r="295" spans="8:24" x14ac:dyDescent="0.35">
      <c r="H295" s="2"/>
      <c r="I295" s="2"/>
      <c r="J295" s="2"/>
      <c r="X295" s="2"/>
    </row>
    <row r="296" spans="8:24" x14ac:dyDescent="0.35">
      <c r="H296" s="2"/>
      <c r="I296" s="2"/>
      <c r="X296" s="2"/>
    </row>
    <row r="297" spans="8:24" x14ac:dyDescent="0.35">
      <c r="H297" s="2"/>
      <c r="I297" s="2"/>
      <c r="X297" s="2"/>
    </row>
    <row r="298" spans="8:24" x14ac:dyDescent="0.35">
      <c r="H298" s="2"/>
      <c r="I298" s="2"/>
      <c r="X298" s="2"/>
    </row>
    <row r="299" spans="8:24" x14ac:dyDescent="0.35">
      <c r="H299" s="2"/>
      <c r="I299" s="2"/>
      <c r="X299" s="2"/>
    </row>
    <row r="300" spans="8:24" x14ac:dyDescent="0.35">
      <c r="H300" s="2"/>
      <c r="I300" s="2"/>
      <c r="X300" s="2"/>
    </row>
    <row r="301" spans="8:24" x14ac:dyDescent="0.35">
      <c r="H301" s="2"/>
      <c r="I301" s="2"/>
      <c r="X301" s="2"/>
    </row>
    <row r="302" spans="8:24" x14ac:dyDescent="0.35">
      <c r="H302" s="2"/>
      <c r="I302" s="2"/>
      <c r="X302" s="2"/>
    </row>
    <row r="303" spans="8:24" x14ac:dyDescent="0.35">
      <c r="H303" s="2"/>
      <c r="I303" s="2"/>
      <c r="X303" s="2"/>
    </row>
    <row r="304" spans="8:24" x14ac:dyDescent="0.35">
      <c r="H304" s="2"/>
      <c r="I304" s="2"/>
      <c r="X304" s="2"/>
    </row>
    <row r="305" spans="8:24" x14ac:dyDescent="0.35">
      <c r="H305" s="2"/>
      <c r="I305" s="2"/>
      <c r="X305" s="2"/>
    </row>
    <row r="306" spans="8:24" x14ac:dyDescent="0.35">
      <c r="H306" s="2"/>
      <c r="I306" s="2"/>
      <c r="X306" s="2"/>
    </row>
    <row r="307" spans="8:24" x14ac:dyDescent="0.35">
      <c r="H307" s="2"/>
      <c r="I307" s="2"/>
      <c r="X307" s="2"/>
    </row>
    <row r="308" spans="8:24" x14ac:dyDescent="0.35">
      <c r="H308" s="2"/>
      <c r="I308" s="2"/>
      <c r="X308" s="2"/>
    </row>
    <row r="309" spans="8:24" x14ac:dyDescent="0.35">
      <c r="H309" s="2"/>
      <c r="I309" s="2"/>
      <c r="X309" s="2"/>
    </row>
    <row r="310" spans="8:24" x14ac:dyDescent="0.35">
      <c r="H310" s="2"/>
      <c r="I310" s="2"/>
      <c r="X310" s="2"/>
    </row>
    <row r="311" spans="8:24" x14ac:dyDescent="0.35">
      <c r="H311" s="2"/>
      <c r="I311" s="2"/>
      <c r="X311" s="2"/>
    </row>
    <row r="312" spans="8:24" x14ac:dyDescent="0.35">
      <c r="H312" s="2"/>
      <c r="I312" s="2"/>
      <c r="X312" s="2"/>
    </row>
    <row r="313" spans="8:24" x14ac:dyDescent="0.35">
      <c r="H313" s="2"/>
      <c r="I313" s="2"/>
      <c r="X313" s="2"/>
    </row>
    <row r="314" spans="8:24" x14ac:dyDescent="0.35">
      <c r="H314" s="2"/>
      <c r="I314" s="2"/>
      <c r="X314" s="2"/>
    </row>
    <row r="315" spans="8:24" x14ac:dyDescent="0.35">
      <c r="H315" s="2"/>
      <c r="I315" s="2"/>
      <c r="X315" s="2"/>
    </row>
    <row r="316" spans="8:24" x14ac:dyDescent="0.35">
      <c r="H316" s="2"/>
      <c r="I316" s="2"/>
      <c r="X316" s="2"/>
    </row>
    <row r="317" spans="8:24" x14ac:dyDescent="0.35">
      <c r="H317" s="2"/>
      <c r="I317" s="2"/>
      <c r="X317" s="2"/>
    </row>
    <row r="318" spans="8:24" x14ac:dyDescent="0.35">
      <c r="H318" s="2"/>
      <c r="I318" s="2"/>
      <c r="X318" s="2"/>
    </row>
    <row r="319" spans="8:24" x14ac:dyDescent="0.35">
      <c r="H319" s="2"/>
      <c r="I319" s="2"/>
      <c r="X319" s="2"/>
    </row>
    <row r="320" spans="8:24" x14ac:dyDescent="0.35">
      <c r="H320" s="2"/>
      <c r="I320" s="2"/>
      <c r="X320" s="2"/>
    </row>
    <row r="321" spans="8:24" x14ac:dyDescent="0.35">
      <c r="H321" s="2"/>
      <c r="I321" s="2"/>
      <c r="X321" s="2"/>
    </row>
    <row r="322" spans="8:24" x14ac:dyDescent="0.35">
      <c r="H322" s="2"/>
      <c r="I322" s="2"/>
      <c r="X322" s="2"/>
    </row>
    <row r="323" spans="8:24" x14ac:dyDescent="0.35">
      <c r="H323" s="2"/>
      <c r="I323" s="2"/>
      <c r="X323" s="2"/>
    </row>
    <row r="324" spans="8:24" x14ac:dyDescent="0.35">
      <c r="H324" s="2"/>
      <c r="I324" s="2"/>
      <c r="X324" s="2"/>
    </row>
    <row r="325" spans="8:24" x14ac:dyDescent="0.35">
      <c r="H325" s="2"/>
      <c r="I325" s="2"/>
      <c r="X325" s="2"/>
    </row>
    <row r="326" spans="8:24" x14ac:dyDescent="0.35">
      <c r="H326" s="2"/>
      <c r="I326" s="2"/>
      <c r="X326" s="2"/>
    </row>
    <row r="327" spans="8:24" x14ac:dyDescent="0.35">
      <c r="H327" s="2"/>
      <c r="I327" s="2"/>
      <c r="X327" s="2"/>
    </row>
    <row r="328" spans="8:24" x14ac:dyDescent="0.35">
      <c r="H328" s="2"/>
      <c r="I328" s="2"/>
      <c r="X328" s="2"/>
    </row>
    <row r="329" spans="8:24" x14ac:dyDescent="0.35">
      <c r="H329" s="2"/>
      <c r="I329" s="2"/>
      <c r="X329" s="2"/>
    </row>
    <row r="330" spans="8:24" x14ac:dyDescent="0.35">
      <c r="H330" s="2"/>
      <c r="I330" s="2"/>
      <c r="X330" s="2"/>
    </row>
    <row r="331" spans="8:24" x14ac:dyDescent="0.35">
      <c r="H331" s="2"/>
      <c r="I331" s="2"/>
      <c r="X331" s="2"/>
    </row>
    <row r="332" spans="8:24" x14ac:dyDescent="0.35">
      <c r="H332" s="2"/>
      <c r="I332" s="2"/>
      <c r="X332" s="2"/>
    </row>
    <row r="333" spans="8:24" x14ac:dyDescent="0.35">
      <c r="H333" s="2"/>
      <c r="I333" s="2"/>
      <c r="X333" s="2"/>
    </row>
    <row r="334" spans="8:24" x14ac:dyDescent="0.35">
      <c r="H334" s="2"/>
      <c r="I334" s="2"/>
      <c r="X334" s="2"/>
    </row>
    <row r="335" spans="8:24" x14ac:dyDescent="0.35">
      <c r="H335" s="2"/>
      <c r="I335" s="2"/>
      <c r="X335" s="2"/>
    </row>
    <row r="336" spans="8:24" x14ac:dyDescent="0.35">
      <c r="H336" s="2"/>
      <c r="I336" s="2"/>
      <c r="X336" s="2"/>
    </row>
    <row r="337" spans="8:25" x14ac:dyDescent="0.35">
      <c r="H337" s="2"/>
      <c r="I337" s="2"/>
      <c r="X337" s="2"/>
    </row>
    <row r="338" spans="8:25" x14ac:dyDescent="0.35">
      <c r="H338" s="2"/>
      <c r="I338" s="2"/>
      <c r="X338" s="2"/>
    </row>
    <row r="339" spans="8:25" x14ac:dyDescent="0.35">
      <c r="H339" s="2"/>
      <c r="I339" s="2"/>
      <c r="X339" s="2"/>
    </row>
    <row r="340" spans="8:25" x14ac:dyDescent="0.35">
      <c r="H340" s="2"/>
      <c r="I340" s="2"/>
      <c r="X340" s="2"/>
    </row>
    <row r="341" spans="8:25" x14ac:dyDescent="0.35">
      <c r="H341" s="2"/>
      <c r="I341" s="2"/>
      <c r="X341" s="2"/>
    </row>
    <row r="342" spans="8:25" x14ac:dyDescent="0.35">
      <c r="H342" s="2"/>
      <c r="I342" s="2"/>
      <c r="X342" s="2"/>
    </row>
    <row r="343" spans="8:25" x14ac:dyDescent="0.35">
      <c r="H343" s="2"/>
      <c r="I343" s="2"/>
      <c r="X343" s="2"/>
    </row>
    <row r="344" spans="8:25" x14ac:dyDescent="0.35">
      <c r="H344" s="2"/>
      <c r="I344" s="2"/>
      <c r="X344" s="2"/>
    </row>
    <row r="345" spans="8:25" x14ac:dyDescent="0.35">
      <c r="H345" s="2"/>
      <c r="I345" s="2"/>
      <c r="X345" s="2"/>
    </row>
    <row r="346" spans="8:25" x14ac:dyDescent="0.35">
      <c r="H346" s="2"/>
      <c r="I346" s="2"/>
      <c r="X346" s="2"/>
      <c r="Y346" s="2"/>
    </row>
    <row r="347" spans="8:25" x14ac:dyDescent="0.35">
      <c r="H347" s="2"/>
      <c r="I347" s="2"/>
      <c r="X347" s="2"/>
      <c r="Y347" s="2"/>
    </row>
    <row r="348" spans="8:25" x14ac:dyDescent="0.35">
      <c r="H348" s="2"/>
      <c r="I348" s="2"/>
      <c r="X348" s="2"/>
      <c r="Y348" s="2"/>
    </row>
    <row r="349" spans="8:25" x14ac:dyDescent="0.35">
      <c r="H349" s="2"/>
      <c r="I349" s="2"/>
      <c r="X349" s="2"/>
      <c r="Y349" s="2"/>
    </row>
    <row r="350" spans="8:25" x14ac:dyDescent="0.35">
      <c r="H350" s="2"/>
      <c r="I350" s="2"/>
      <c r="X350" s="2"/>
    </row>
    <row r="351" spans="8:25" x14ac:dyDescent="0.35">
      <c r="H351" s="2"/>
      <c r="I351" s="2"/>
      <c r="X351" s="2"/>
    </row>
    <row r="353" spans="8:26" x14ac:dyDescent="0.35">
      <c r="H353" s="2"/>
      <c r="I353" s="2"/>
      <c r="X353" s="2"/>
    </row>
    <row r="355" spans="8:26" x14ac:dyDescent="0.35">
      <c r="H355" s="2"/>
      <c r="I355" s="2"/>
      <c r="X355" s="2"/>
    </row>
    <row r="356" spans="8:26" x14ac:dyDescent="0.35">
      <c r="H356" s="2"/>
      <c r="I356" s="2"/>
      <c r="X356" s="2"/>
    </row>
    <row r="358" spans="8:26" x14ac:dyDescent="0.35">
      <c r="H358" s="2"/>
      <c r="I358" s="2"/>
      <c r="X358" s="2"/>
    </row>
    <row r="359" spans="8:26" x14ac:dyDescent="0.35">
      <c r="H359" s="2"/>
      <c r="I359" s="2"/>
      <c r="X359" s="2"/>
    </row>
    <row r="360" spans="8:26" x14ac:dyDescent="0.35">
      <c r="H360" s="2"/>
      <c r="I360" s="2"/>
      <c r="X360" s="2"/>
    </row>
    <row r="361" spans="8:26" x14ac:dyDescent="0.35">
      <c r="H361" s="2"/>
      <c r="I361" s="2"/>
      <c r="X361" s="2"/>
    </row>
    <row r="362" spans="8:26" x14ac:dyDescent="0.35">
      <c r="H362" s="2"/>
      <c r="I362" s="2"/>
      <c r="X362" s="2"/>
    </row>
    <row r="364" spans="8:26" x14ac:dyDescent="0.35">
      <c r="H364" s="2"/>
      <c r="I364" s="2"/>
      <c r="X364" s="2"/>
    </row>
    <row r="365" spans="8:26" x14ac:dyDescent="0.35">
      <c r="H365" s="2"/>
      <c r="I365" s="2"/>
      <c r="X365" s="2"/>
    </row>
    <row r="366" spans="8:26" x14ac:dyDescent="0.35">
      <c r="H366" s="2"/>
      <c r="I366" s="2"/>
      <c r="X366" s="2"/>
    </row>
    <row r="367" spans="8:26" x14ac:dyDescent="0.35">
      <c r="H367" s="2"/>
      <c r="I367" s="2"/>
      <c r="X367" s="2"/>
    </row>
    <row r="368" spans="8:26" x14ac:dyDescent="0.35">
      <c r="H368" s="2"/>
      <c r="I368" s="2"/>
      <c r="X368" s="2"/>
      <c r="Z368" s="2"/>
    </row>
    <row r="370" spans="8:26" x14ac:dyDescent="0.35">
      <c r="H370" s="2"/>
      <c r="I370" s="2"/>
      <c r="Z370" s="2"/>
    </row>
    <row r="371" spans="8:26" x14ac:dyDescent="0.35">
      <c r="H371" s="2"/>
      <c r="I371" s="2"/>
      <c r="X371" s="2"/>
    </row>
    <row r="372" spans="8:26" x14ac:dyDescent="0.35">
      <c r="H372" s="2"/>
      <c r="I372" s="2"/>
      <c r="X372" s="2"/>
      <c r="Z372" s="2"/>
    </row>
    <row r="373" spans="8:26" x14ac:dyDescent="0.35">
      <c r="H373" s="2"/>
      <c r="I373" s="2"/>
      <c r="X373" s="2"/>
    </row>
    <row r="374" spans="8:26" x14ac:dyDescent="0.35">
      <c r="H374" s="2"/>
      <c r="I374" s="2"/>
      <c r="X374" s="2"/>
      <c r="Z374" s="2"/>
    </row>
    <row r="375" spans="8:26" x14ac:dyDescent="0.35">
      <c r="H375" s="2"/>
      <c r="I375" s="2"/>
      <c r="Z375" s="2"/>
    </row>
    <row r="376" spans="8:26" x14ac:dyDescent="0.35">
      <c r="H376" s="2"/>
      <c r="I376" s="2"/>
      <c r="Z376" s="2"/>
    </row>
    <row r="377" spans="8:26" x14ac:dyDescent="0.35">
      <c r="H377" s="2"/>
      <c r="I377" s="2"/>
      <c r="Z377" s="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showGridLines="0" workbookViewId="0">
      <selection activeCell="E14" sqref="E14"/>
    </sheetView>
  </sheetViews>
  <sheetFormatPr defaultRowHeight="14.5" x14ac:dyDescent="0.35"/>
  <cols>
    <col min="1" max="1" width="14.6328125" bestFit="1" customWidth="1"/>
    <col min="2" max="2" width="42.453125" bestFit="1" customWidth="1"/>
    <col min="3" max="3" width="4.90625" bestFit="1" customWidth="1"/>
    <col min="4" max="4" width="5.7265625" bestFit="1" customWidth="1"/>
    <col min="5" max="5" width="59.26953125" bestFit="1" customWidth="1"/>
  </cols>
  <sheetData>
    <row r="1" spans="1:5" x14ac:dyDescent="0.35">
      <c r="A1" s="1" t="s">
        <v>885</v>
      </c>
      <c r="B1" t="s">
        <v>5486</v>
      </c>
    </row>
    <row r="4" spans="1:5" x14ac:dyDescent="0.35">
      <c r="A4" s="1" t="s">
        <v>894</v>
      </c>
      <c r="B4" s="6" t="s">
        <v>893</v>
      </c>
    </row>
    <row r="6" spans="1:5" x14ac:dyDescent="0.35">
      <c r="A6" s="7" t="s">
        <v>889</v>
      </c>
      <c r="B6" s="7" t="s">
        <v>890</v>
      </c>
      <c r="C6" s="7" t="s">
        <v>891</v>
      </c>
      <c r="D6" s="7" t="s">
        <v>892</v>
      </c>
      <c r="E6" s="11" t="s">
        <v>902</v>
      </c>
    </row>
    <row r="7" spans="1:5" x14ac:dyDescent="0.35">
      <c r="A7" s="8"/>
      <c r="B7" s="8" t="s">
        <v>89</v>
      </c>
      <c r="C7" s="8"/>
      <c r="D7" s="8"/>
      <c r="E7" s="8" t="s">
        <v>4618</v>
      </c>
    </row>
    <row r="8" spans="1:5" x14ac:dyDescent="0.35">
      <c r="A8" s="8" t="s">
        <v>5486</v>
      </c>
      <c r="B8" s="8" t="s">
        <v>5485</v>
      </c>
      <c r="C8" s="8"/>
      <c r="D8" s="8"/>
      <c r="E8" s="8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showGridLines="0" tabSelected="1" topLeftCell="A7" workbookViewId="0">
      <selection activeCell="B17" sqref="B17"/>
    </sheetView>
  </sheetViews>
  <sheetFormatPr defaultRowHeight="14.5" x14ac:dyDescent="0.35"/>
  <cols>
    <col min="1" max="1" width="16.1796875" bestFit="1" customWidth="1"/>
    <col min="2" max="2" width="42.453125" bestFit="1" customWidth="1"/>
    <col min="3" max="3" width="25.1796875" bestFit="1" customWidth="1"/>
    <col min="4" max="4" width="17.36328125" bestFit="1" customWidth="1"/>
    <col min="5" max="5" width="9.90625" bestFit="1" customWidth="1"/>
  </cols>
  <sheetData>
    <row r="1" spans="1:5" x14ac:dyDescent="0.35">
      <c r="A1" s="1" t="s">
        <v>889</v>
      </c>
      <c r="B1" s="1" t="s">
        <v>5489</v>
      </c>
      <c r="C1" s="1" t="s">
        <v>889</v>
      </c>
      <c r="D1" s="1" t="s">
        <v>5489</v>
      </c>
    </row>
    <row r="2" spans="1:5" x14ac:dyDescent="0.35">
      <c r="A2" t="s">
        <v>5486</v>
      </c>
      <c r="B2" t="s">
        <v>5485</v>
      </c>
      <c r="C2" t="s">
        <v>5488</v>
      </c>
      <c r="D2" t="s">
        <v>5485</v>
      </c>
    </row>
    <row r="8" spans="1:5" x14ac:dyDescent="0.35">
      <c r="A8" s="1" t="s">
        <v>894</v>
      </c>
      <c r="B8" s="6" t="s">
        <v>893</v>
      </c>
    </row>
    <row r="10" spans="1:5" x14ac:dyDescent="0.35">
      <c r="A10" s="29" t="s">
        <v>889</v>
      </c>
      <c r="B10" s="29" t="s">
        <v>890</v>
      </c>
      <c r="C10" s="29" t="s">
        <v>891</v>
      </c>
      <c r="D10" s="29" t="s">
        <v>892</v>
      </c>
      <c r="E10" s="30" t="s">
        <v>902</v>
      </c>
    </row>
    <row r="11" spans="1:5" x14ac:dyDescent="0.35">
      <c r="A11" s="8" t="s">
        <v>5486</v>
      </c>
      <c r="B11" s="8" t="s">
        <v>84</v>
      </c>
      <c r="C11" s="31"/>
      <c r="D11" s="31"/>
      <c r="E11" s="31"/>
    </row>
    <row r="12" spans="1:5" x14ac:dyDescent="0.35">
      <c r="A12" s="8" t="s">
        <v>5486</v>
      </c>
      <c r="B12" s="8" t="s">
        <v>96</v>
      </c>
      <c r="C12" s="31"/>
      <c r="D12" s="31"/>
      <c r="E12" s="31"/>
    </row>
    <row r="13" spans="1:5" x14ac:dyDescent="0.35">
      <c r="A13" s="8" t="s">
        <v>5486</v>
      </c>
      <c r="B13" s="8" t="s">
        <v>97</v>
      </c>
      <c r="C13" s="32" t="s">
        <v>896</v>
      </c>
      <c r="D13" s="31"/>
      <c r="E13" s="31"/>
    </row>
    <row r="14" spans="1:5" x14ac:dyDescent="0.35">
      <c r="A14" s="8" t="s">
        <v>5486</v>
      </c>
      <c r="B14" s="8" t="s">
        <v>5481</v>
      </c>
      <c r="C14" s="8"/>
      <c r="D14" s="31"/>
      <c r="E14" s="31"/>
    </row>
    <row r="15" spans="1:5" x14ac:dyDescent="0.35">
      <c r="A15" s="8" t="s">
        <v>5486</v>
      </c>
      <c r="B15" s="8" t="s">
        <v>85</v>
      </c>
      <c r="C15" s="31"/>
      <c r="D15" s="31"/>
      <c r="E15" s="31"/>
    </row>
    <row r="16" spans="1:5" x14ac:dyDescent="0.35">
      <c r="A16" s="8" t="s">
        <v>5486</v>
      </c>
      <c r="B16" s="8" t="s">
        <v>86</v>
      </c>
      <c r="C16" s="31"/>
      <c r="D16" s="31"/>
      <c r="E16" s="31"/>
    </row>
    <row r="17" spans="1:5" x14ac:dyDescent="0.35">
      <c r="A17" s="8" t="s">
        <v>5486</v>
      </c>
      <c r="B17" s="8" t="s">
        <v>74</v>
      </c>
      <c r="C17" s="31"/>
      <c r="D17" s="31"/>
      <c r="E17" s="31"/>
    </row>
    <row r="18" spans="1:5" x14ac:dyDescent="0.35">
      <c r="A18" s="8" t="s">
        <v>5486</v>
      </c>
      <c r="B18" s="8" t="s">
        <v>87</v>
      </c>
      <c r="C18" s="31"/>
      <c r="D18" s="31"/>
      <c r="E18" s="31"/>
    </row>
    <row r="19" spans="1:5" x14ac:dyDescent="0.35">
      <c r="A19" s="8" t="s">
        <v>5486</v>
      </c>
      <c r="B19" s="8" t="s">
        <v>88</v>
      </c>
      <c r="C19" s="8"/>
      <c r="D19" s="8"/>
      <c r="E19" s="8"/>
    </row>
    <row r="20" spans="1:5" x14ac:dyDescent="0.35">
      <c r="A20" s="8" t="s">
        <v>5488</v>
      </c>
      <c r="B20" s="8" t="s">
        <v>89</v>
      </c>
      <c r="C20" s="8"/>
      <c r="D20" s="8"/>
      <c r="E20" s="8"/>
    </row>
    <row r="21" spans="1:5" x14ac:dyDescent="0.35">
      <c r="A21" s="8" t="s">
        <v>5486</v>
      </c>
      <c r="B21" s="8" t="s">
        <v>90</v>
      </c>
      <c r="C21" s="8"/>
      <c r="D21" s="8"/>
      <c r="E21" s="8"/>
    </row>
    <row r="22" spans="1:5" x14ac:dyDescent="0.35">
      <c r="A22" s="8" t="s">
        <v>5486</v>
      </c>
      <c r="B22" s="8" t="s">
        <v>91</v>
      </c>
      <c r="C22" s="8"/>
      <c r="D22" s="8"/>
      <c r="E22" s="8"/>
    </row>
    <row r="23" spans="1:5" x14ac:dyDescent="0.35">
      <c r="A23" s="8" t="s">
        <v>5486</v>
      </c>
      <c r="B23" s="8" t="s">
        <v>92</v>
      </c>
      <c r="C23" s="8"/>
      <c r="D23" s="8"/>
      <c r="E23" s="8"/>
    </row>
    <row r="24" spans="1:5" x14ac:dyDescent="0.35">
      <c r="A24" s="8" t="s">
        <v>5486</v>
      </c>
      <c r="B24" s="8" t="s">
        <v>16</v>
      </c>
      <c r="C24" s="8"/>
      <c r="D24" s="8" t="s">
        <v>5487</v>
      </c>
      <c r="E24" s="8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7"/>
  </sheetPr>
  <dimension ref="A1"/>
  <sheetViews>
    <sheetView workbookViewId="0">
      <selection activeCell="I15" sqref="I15"/>
    </sheetView>
  </sheetViews>
  <sheetFormatPr defaultRowHeight="14.5" x14ac:dyDescent="0.3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B1"/>
  <sheetViews>
    <sheetView workbookViewId="0">
      <selection activeCell="B1" sqref="B1"/>
    </sheetView>
  </sheetViews>
  <sheetFormatPr defaultRowHeight="14.5" x14ac:dyDescent="0.35"/>
  <cols>
    <col min="2" max="2" width="12" bestFit="1" customWidth="1"/>
  </cols>
  <sheetData>
    <row r="1" spans="1:2" x14ac:dyDescent="0.35">
      <c r="A1" t="s">
        <v>93</v>
      </c>
      <c r="B1" t="s">
        <v>94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"/>
  <sheetViews>
    <sheetView workbookViewId="0">
      <selection activeCell="J10" sqref="J10"/>
    </sheetView>
  </sheetViews>
  <sheetFormatPr defaultRowHeight="14.5" x14ac:dyDescent="0.3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F1:H12"/>
  <sheetViews>
    <sheetView workbookViewId="0">
      <selection activeCell="K1" sqref="K1"/>
    </sheetView>
  </sheetViews>
  <sheetFormatPr defaultRowHeight="14.5" x14ac:dyDescent="0.35"/>
  <cols>
    <col min="6" max="6" width="5.81640625" customWidth="1"/>
    <col min="7" max="7" width="8.54296875" customWidth="1"/>
    <col min="8" max="8" width="8.36328125" customWidth="1"/>
  </cols>
  <sheetData>
    <row r="1" spans="6:8" ht="16.5" x14ac:dyDescent="0.35">
      <c r="F1" s="14"/>
      <c r="G1" s="14"/>
      <c r="H1" s="14"/>
    </row>
    <row r="2" spans="6:8" ht="16.5" x14ac:dyDescent="0.35">
      <c r="F2" s="15"/>
      <c r="G2" s="15"/>
      <c r="H2" s="15"/>
    </row>
    <row r="3" spans="6:8" ht="16.5" x14ac:dyDescent="0.35">
      <c r="F3" s="15"/>
      <c r="G3" s="15"/>
      <c r="H3" s="15"/>
    </row>
    <row r="4" spans="6:8" ht="16.5" x14ac:dyDescent="0.35">
      <c r="F4" s="15"/>
      <c r="G4" s="15"/>
      <c r="H4" s="15"/>
    </row>
    <row r="5" spans="6:8" ht="16.5" x14ac:dyDescent="0.35">
      <c r="F5" s="15"/>
      <c r="G5" s="15"/>
      <c r="H5" s="15"/>
    </row>
    <row r="6" spans="6:8" ht="16.5" x14ac:dyDescent="0.35">
      <c r="F6" s="15"/>
      <c r="G6" s="15"/>
      <c r="H6" s="15"/>
    </row>
    <row r="7" spans="6:8" ht="16.5" x14ac:dyDescent="0.35">
      <c r="F7" s="15"/>
      <c r="G7" s="15"/>
      <c r="H7" s="15"/>
    </row>
    <row r="8" spans="6:8" ht="16.5" x14ac:dyDescent="0.35">
      <c r="F8" s="15"/>
      <c r="G8" s="15"/>
      <c r="H8" s="15"/>
    </row>
    <row r="9" spans="6:8" ht="16.5" x14ac:dyDescent="0.35">
      <c r="F9" s="15"/>
      <c r="G9" s="15"/>
      <c r="H9" s="15"/>
    </row>
    <row r="10" spans="6:8" ht="16.5" x14ac:dyDescent="0.35">
      <c r="F10" s="15"/>
      <c r="G10" s="15"/>
      <c r="H10" s="15"/>
    </row>
    <row r="11" spans="6:8" ht="16.5" x14ac:dyDescent="0.35">
      <c r="F11" s="15"/>
      <c r="G11" s="15"/>
      <c r="H11" s="15"/>
    </row>
    <row r="12" spans="6:8" ht="16.5" x14ac:dyDescent="0.35">
      <c r="F12" s="15"/>
      <c r="G12" s="15"/>
      <c r="H12" s="15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D12"/>
  <sheetViews>
    <sheetView workbookViewId="0">
      <selection activeCell="B11" sqref="B11"/>
    </sheetView>
  </sheetViews>
  <sheetFormatPr defaultRowHeight="14.5" x14ac:dyDescent="0.35"/>
  <cols>
    <col min="1" max="1" width="9.90625" bestFit="1" customWidth="1"/>
    <col min="2" max="2" width="5.81640625" bestFit="1" customWidth="1"/>
    <col min="3" max="3" width="22.81640625" bestFit="1" customWidth="1"/>
    <col min="4" max="4" width="15.08984375" bestFit="1" customWidth="1"/>
  </cols>
  <sheetData>
    <row r="1" spans="1:4" ht="16.5" x14ac:dyDescent="0.35">
      <c r="A1" s="19" t="s">
        <v>926</v>
      </c>
      <c r="B1" s="17" t="s">
        <v>911</v>
      </c>
      <c r="C1" s="17" t="s">
        <v>22</v>
      </c>
      <c r="D1" s="17" t="s">
        <v>927</v>
      </c>
    </row>
    <row r="2" spans="1:4" ht="16.5" x14ac:dyDescent="0.35">
      <c r="A2" s="16">
        <v>1</v>
      </c>
      <c r="B2" s="18" t="s">
        <v>246</v>
      </c>
      <c r="C2" s="18" t="s">
        <v>915</v>
      </c>
      <c r="D2" s="18" t="s">
        <v>916</v>
      </c>
    </row>
    <row r="3" spans="1:4" ht="16.5" x14ac:dyDescent="0.35">
      <c r="A3" s="16">
        <v>2</v>
      </c>
      <c r="B3" s="18" t="s">
        <v>253</v>
      </c>
      <c r="C3" s="18" t="s">
        <v>232</v>
      </c>
      <c r="D3" s="18" t="s">
        <v>917</v>
      </c>
    </row>
    <row r="4" spans="1:4" ht="16.5" x14ac:dyDescent="0.35">
      <c r="A4" s="16">
        <v>3</v>
      </c>
      <c r="B4" s="18" t="s">
        <v>249</v>
      </c>
      <c r="C4" s="18" t="s">
        <v>239</v>
      </c>
      <c r="D4" s="18" t="s">
        <v>919</v>
      </c>
    </row>
    <row r="5" spans="1:4" ht="16.5" x14ac:dyDescent="0.35">
      <c r="A5" s="16">
        <v>4</v>
      </c>
      <c r="B5" s="18" t="s">
        <v>245</v>
      </c>
      <c r="C5" s="18" t="s">
        <v>920</v>
      </c>
      <c r="D5" s="18" t="s">
        <v>919</v>
      </c>
    </row>
    <row r="6" spans="1:4" ht="16.5" x14ac:dyDescent="0.35">
      <c r="A6" s="16">
        <v>5</v>
      </c>
      <c r="B6" s="18" t="s">
        <v>251</v>
      </c>
      <c r="C6" s="18" t="s">
        <v>241</v>
      </c>
      <c r="D6" s="18" t="s">
        <v>921</v>
      </c>
    </row>
    <row r="7" spans="1:4" ht="16.5" x14ac:dyDescent="0.35">
      <c r="A7" s="16">
        <v>6</v>
      </c>
      <c r="B7" s="18" t="s">
        <v>248</v>
      </c>
      <c r="C7" s="18" t="s">
        <v>238</v>
      </c>
      <c r="D7" s="18" t="s">
        <v>918</v>
      </c>
    </row>
    <row r="8" spans="1:4" ht="16.5" x14ac:dyDescent="0.35">
      <c r="A8" s="16">
        <v>7</v>
      </c>
      <c r="B8" s="18" t="s">
        <v>252</v>
      </c>
      <c r="C8" s="18" t="s">
        <v>242</v>
      </c>
      <c r="D8" s="18" t="s">
        <v>921</v>
      </c>
    </row>
    <row r="9" spans="1:4" ht="16.5" x14ac:dyDescent="0.35">
      <c r="A9" s="16">
        <v>8</v>
      </c>
      <c r="B9" s="18" t="s">
        <v>247</v>
      </c>
      <c r="C9" s="18" t="s">
        <v>237</v>
      </c>
      <c r="D9" s="18" t="s">
        <v>922</v>
      </c>
    </row>
    <row r="10" spans="1:4" ht="16.5" x14ac:dyDescent="0.35">
      <c r="A10" s="16">
        <v>9</v>
      </c>
      <c r="B10" s="18" t="s">
        <v>243</v>
      </c>
      <c r="C10" s="18" t="s">
        <v>913</v>
      </c>
      <c r="D10" s="18" t="s">
        <v>923</v>
      </c>
    </row>
    <row r="11" spans="1:4" ht="16.5" x14ac:dyDescent="0.35">
      <c r="A11" s="16">
        <v>10</v>
      </c>
      <c r="B11" s="18" t="s">
        <v>244</v>
      </c>
      <c r="C11" s="18" t="s">
        <v>924</v>
      </c>
      <c r="D11" s="18" t="s">
        <v>917</v>
      </c>
    </row>
    <row r="12" spans="1:4" ht="16.5" x14ac:dyDescent="0.35">
      <c r="A12" s="16">
        <v>11</v>
      </c>
      <c r="B12" s="18" t="s">
        <v>912</v>
      </c>
      <c r="C12" s="18" t="s">
        <v>914</v>
      </c>
      <c r="D12" s="18" t="s">
        <v>925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C2:F14"/>
  <sheetViews>
    <sheetView showGridLines="0" workbookViewId="0">
      <selection activeCell="F9" sqref="F9"/>
    </sheetView>
  </sheetViews>
  <sheetFormatPr defaultRowHeight="14.5" x14ac:dyDescent="0.35"/>
  <cols>
    <col min="3" max="3" width="14.6328125" bestFit="1" customWidth="1"/>
    <col min="4" max="4" width="42.453125" bestFit="1" customWidth="1"/>
    <col min="5" max="5" width="12.453125" bestFit="1" customWidth="1"/>
    <col min="6" max="6" width="17.26953125" bestFit="1" customWidth="1"/>
  </cols>
  <sheetData>
    <row r="2" spans="3:6" x14ac:dyDescent="0.35">
      <c r="C2" s="1" t="s">
        <v>885</v>
      </c>
      <c r="D2" t="s">
        <v>910</v>
      </c>
    </row>
    <row r="5" spans="3:6" x14ac:dyDescent="0.35">
      <c r="C5" s="1" t="s">
        <v>894</v>
      </c>
      <c r="D5" s="6" t="s">
        <v>893</v>
      </c>
    </row>
    <row r="7" spans="3:6" x14ac:dyDescent="0.35">
      <c r="C7" s="7" t="s">
        <v>889</v>
      </c>
      <c r="D7" s="7" t="s">
        <v>890</v>
      </c>
      <c r="E7" s="7" t="s">
        <v>891</v>
      </c>
      <c r="F7" s="7" t="s">
        <v>892</v>
      </c>
    </row>
    <row r="8" spans="3:6" x14ac:dyDescent="0.35">
      <c r="C8" s="8" t="s">
        <v>910</v>
      </c>
      <c r="D8" s="20" t="s">
        <v>926</v>
      </c>
      <c r="E8" s="8"/>
      <c r="F8" s="8"/>
    </row>
    <row r="9" spans="3:6" ht="16.5" x14ac:dyDescent="0.35">
      <c r="C9" s="8" t="s">
        <v>910</v>
      </c>
      <c r="D9" s="21" t="s">
        <v>911</v>
      </c>
      <c r="E9" s="8"/>
      <c r="F9" s="8" t="s">
        <v>30</v>
      </c>
    </row>
    <row r="10" spans="3:6" x14ac:dyDescent="0.35">
      <c r="C10" s="8" t="s">
        <v>910</v>
      </c>
      <c r="D10" s="8" t="s">
        <v>96</v>
      </c>
      <c r="E10" s="8"/>
      <c r="F10" s="8"/>
    </row>
    <row r="11" spans="3:6" x14ac:dyDescent="0.35">
      <c r="C11" s="8" t="s">
        <v>910</v>
      </c>
      <c r="D11" s="8" t="s">
        <v>97</v>
      </c>
      <c r="E11" s="9" t="s">
        <v>896</v>
      </c>
      <c r="F11" s="8"/>
    </row>
    <row r="12" spans="3:6" ht="16.5" x14ac:dyDescent="0.35">
      <c r="C12" s="8" t="s">
        <v>910</v>
      </c>
      <c r="D12" s="21" t="s">
        <v>22</v>
      </c>
      <c r="E12" s="8"/>
      <c r="F12" s="8"/>
    </row>
    <row r="13" spans="3:6" ht="16.5" x14ac:dyDescent="0.35">
      <c r="C13" s="8" t="s">
        <v>910</v>
      </c>
      <c r="D13" s="21" t="s">
        <v>927</v>
      </c>
      <c r="E13" s="8"/>
      <c r="F13" s="8"/>
    </row>
    <row r="14" spans="3:6" ht="16.5" x14ac:dyDescent="0.35">
      <c r="C14" s="8" t="s">
        <v>910</v>
      </c>
      <c r="D14" s="21" t="s">
        <v>16</v>
      </c>
      <c r="E14" s="8"/>
      <c r="F14" s="8" t="s">
        <v>928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B1:F25"/>
  <sheetViews>
    <sheetView showGridLines="0" zoomScale="70" zoomScaleNormal="70" workbookViewId="0">
      <selection activeCell="F29" sqref="F29"/>
    </sheetView>
  </sheetViews>
  <sheetFormatPr defaultRowHeight="14.5" x14ac:dyDescent="0.35"/>
  <cols>
    <col min="1" max="1" width="5.26953125" customWidth="1"/>
    <col min="2" max="2" width="14.6328125" bestFit="1" customWidth="1"/>
    <col min="3" max="3" width="42.453125" bestFit="1" customWidth="1"/>
    <col min="4" max="4" width="12.453125" bestFit="1" customWidth="1"/>
    <col min="5" max="5" width="17.26953125" bestFit="1" customWidth="1"/>
    <col min="6" max="6" width="81.81640625" bestFit="1" customWidth="1"/>
  </cols>
  <sheetData>
    <row r="1" spans="2:6" x14ac:dyDescent="0.35">
      <c r="E1" t="s">
        <v>888</v>
      </c>
    </row>
    <row r="2" spans="2:6" x14ac:dyDescent="0.35">
      <c r="B2" s="1" t="s">
        <v>885</v>
      </c>
      <c r="C2" t="s">
        <v>929</v>
      </c>
      <c r="E2" t="s">
        <v>931</v>
      </c>
    </row>
    <row r="3" spans="2:6" x14ac:dyDescent="0.35">
      <c r="C3" s="6" t="s">
        <v>930</v>
      </c>
      <c r="E3" t="s">
        <v>932</v>
      </c>
    </row>
    <row r="4" spans="2:6" x14ac:dyDescent="0.35">
      <c r="C4" s="22"/>
    </row>
    <row r="5" spans="2:6" x14ac:dyDescent="0.35">
      <c r="B5" s="1" t="s">
        <v>894</v>
      </c>
      <c r="C5" s="6" t="s">
        <v>893</v>
      </c>
    </row>
    <row r="7" spans="2:6" x14ac:dyDescent="0.35">
      <c r="B7" s="7" t="s">
        <v>889</v>
      </c>
      <c r="C7" s="7" t="s">
        <v>890</v>
      </c>
      <c r="D7" s="7" t="s">
        <v>891</v>
      </c>
      <c r="E7" s="7" t="s">
        <v>892</v>
      </c>
      <c r="F7" s="11" t="s">
        <v>902</v>
      </c>
    </row>
    <row r="8" spans="2:6" x14ac:dyDescent="0.35">
      <c r="B8" s="8" t="s">
        <v>933</v>
      </c>
      <c r="C8" s="20" t="s">
        <v>932</v>
      </c>
      <c r="D8" s="8"/>
      <c r="E8" s="8"/>
      <c r="F8" s="8" t="s">
        <v>934</v>
      </c>
    </row>
    <row r="9" spans="2:6" ht="16.5" x14ac:dyDescent="0.35">
      <c r="B9" s="8" t="s">
        <v>933</v>
      </c>
      <c r="C9" s="21" t="s">
        <v>935</v>
      </c>
      <c r="D9" s="8" t="s">
        <v>936</v>
      </c>
      <c r="E9" s="8"/>
      <c r="F9" s="12" t="s">
        <v>937</v>
      </c>
    </row>
    <row r="10" spans="2:6" ht="16.5" x14ac:dyDescent="0.35">
      <c r="B10" s="8" t="s">
        <v>933</v>
      </c>
      <c r="C10" s="21" t="s">
        <v>938</v>
      </c>
      <c r="D10" s="8"/>
      <c r="E10" s="8"/>
      <c r="F10" s="8" t="s">
        <v>944</v>
      </c>
    </row>
    <row r="11" spans="2:6" ht="16.5" x14ac:dyDescent="0.35">
      <c r="B11" s="8" t="s">
        <v>933</v>
      </c>
      <c r="C11" s="21" t="s">
        <v>939</v>
      </c>
      <c r="D11" s="8"/>
      <c r="E11" s="8"/>
      <c r="F11" s="8" t="s">
        <v>944</v>
      </c>
    </row>
    <row r="12" spans="2:6" ht="16.5" x14ac:dyDescent="0.35">
      <c r="B12" s="8" t="s">
        <v>933</v>
      </c>
      <c r="C12" s="21" t="s">
        <v>940</v>
      </c>
      <c r="D12" s="8"/>
      <c r="E12" s="8"/>
      <c r="F12" s="8" t="s">
        <v>945</v>
      </c>
    </row>
    <row r="13" spans="2:6" ht="16.5" x14ac:dyDescent="0.35">
      <c r="B13" s="8" t="s">
        <v>933</v>
      </c>
      <c r="C13" s="21" t="s">
        <v>941</v>
      </c>
      <c r="D13" s="8"/>
      <c r="E13" s="8"/>
      <c r="F13" s="8" t="s">
        <v>944</v>
      </c>
    </row>
    <row r="14" spans="2:6" ht="16.5" x14ac:dyDescent="0.35">
      <c r="B14" s="8" t="s">
        <v>933</v>
      </c>
      <c r="C14" s="21" t="s">
        <v>942</v>
      </c>
      <c r="D14" s="8"/>
      <c r="E14" s="8"/>
      <c r="F14" s="8" t="s">
        <v>946</v>
      </c>
    </row>
    <row r="15" spans="2:6" ht="16.5" x14ac:dyDescent="0.35">
      <c r="B15" s="8" t="s">
        <v>933</v>
      </c>
      <c r="C15" s="21" t="s">
        <v>943</v>
      </c>
      <c r="D15" s="8"/>
      <c r="E15" s="8"/>
      <c r="F15" s="8" t="s">
        <v>944</v>
      </c>
    </row>
    <row r="16" spans="2:6" x14ac:dyDescent="0.35">
      <c r="B16" s="8" t="s">
        <v>929</v>
      </c>
      <c r="C16" s="8" t="s">
        <v>947</v>
      </c>
      <c r="D16" s="8"/>
      <c r="E16" s="8"/>
      <c r="F16" s="8"/>
    </row>
    <row r="17" spans="2:6" x14ac:dyDescent="0.35">
      <c r="B17" s="8" t="s">
        <v>929</v>
      </c>
      <c r="C17" s="8" t="s">
        <v>931</v>
      </c>
      <c r="D17" s="8"/>
      <c r="E17" s="8"/>
      <c r="F17" s="8"/>
    </row>
    <row r="18" spans="2:6" x14ac:dyDescent="0.35">
      <c r="B18" s="8" t="s">
        <v>929</v>
      </c>
      <c r="C18" s="8" t="s">
        <v>955</v>
      </c>
      <c r="D18" s="8"/>
      <c r="E18" s="8"/>
      <c r="F18" s="8"/>
    </row>
    <row r="19" spans="2:6" x14ac:dyDescent="0.35">
      <c r="B19" s="8" t="s">
        <v>929</v>
      </c>
      <c r="C19" s="8" t="s">
        <v>948</v>
      </c>
      <c r="D19" s="8"/>
      <c r="E19" s="8"/>
      <c r="F19" s="8"/>
    </row>
    <row r="20" spans="2:6" x14ac:dyDescent="0.35">
      <c r="B20" s="8" t="s">
        <v>929</v>
      </c>
      <c r="C20" s="8" t="s">
        <v>949</v>
      </c>
      <c r="D20" s="8"/>
      <c r="E20" s="8"/>
      <c r="F20" s="8"/>
    </row>
    <row r="21" spans="2:6" x14ac:dyDescent="0.35">
      <c r="B21" s="8" t="s">
        <v>929</v>
      </c>
      <c r="C21" s="8" t="s">
        <v>950</v>
      </c>
      <c r="D21" s="8"/>
      <c r="E21" s="8"/>
      <c r="F21" s="8"/>
    </row>
    <row r="22" spans="2:6" x14ac:dyDescent="0.35">
      <c r="B22" s="8" t="s">
        <v>929</v>
      </c>
      <c r="C22" s="8" t="s">
        <v>951</v>
      </c>
      <c r="D22" s="8"/>
      <c r="E22" s="8"/>
      <c r="F22" s="8"/>
    </row>
    <row r="23" spans="2:6" x14ac:dyDescent="0.35">
      <c r="B23" s="8" t="s">
        <v>929</v>
      </c>
      <c r="C23" s="8" t="s">
        <v>952</v>
      </c>
      <c r="D23" s="8"/>
      <c r="E23" s="8"/>
      <c r="F23" s="8"/>
    </row>
    <row r="24" spans="2:6" x14ac:dyDescent="0.35">
      <c r="B24" s="8" t="s">
        <v>929</v>
      </c>
      <c r="C24" s="8" t="s">
        <v>953</v>
      </c>
      <c r="D24" s="8"/>
      <c r="E24" s="8"/>
      <c r="F24" s="8"/>
    </row>
    <row r="25" spans="2:6" x14ac:dyDescent="0.35">
      <c r="B25" s="8" t="s">
        <v>929</v>
      </c>
      <c r="C25" s="8" t="s">
        <v>954</v>
      </c>
      <c r="D25" s="8"/>
      <c r="E25" s="8"/>
      <c r="F25" s="8" t="s">
        <v>956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Models</vt:lpstr>
      <vt:lpstr>Purchase</vt:lpstr>
      <vt:lpstr>OaOnParties</vt:lpstr>
      <vt:lpstr>OaOnPartyAddress</vt:lpstr>
      <vt:lpstr>VendTable</vt:lpstr>
      <vt:lpstr>Sheet8</vt:lpstr>
      <vt:lpstr>PurchContracts</vt:lpstr>
      <vt:lpstr>PurchaseOrder</vt:lpstr>
      <vt:lpstr>PurchItem</vt:lpstr>
      <vt:lpstr>PurchCategory</vt:lpstr>
      <vt:lpstr>SilverTables</vt:lpstr>
      <vt:lpstr>dirparty</vt:lpstr>
      <vt:lpstr>dirvendor</vt:lpstr>
      <vt:lpstr>dirpurchcategory</vt:lpstr>
      <vt:lpstr>dirpurchitem</vt:lpstr>
      <vt:lpstr>dircostcenter</vt:lpstr>
      <vt:lpstr>costcenter</vt:lpstr>
      <vt:lpstr>factpurchaseorder</vt:lpstr>
      <vt:lpstr>Sales</vt:lpstr>
      <vt:lpstr>SalesOrderLine</vt:lpstr>
      <vt:lpstr>factsalesorderline</vt:lpstr>
      <vt:lpstr>dimpaymentTypes</vt:lpstr>
      <vt:lpstr>CustInfo</vt:lpstr>
      <vt:lpstr>dimcusttable</vt:lpstr>
      <vt:lpstr>PromoTable</vt:lpstr>
      <vt:lpstr>dimpromotable</vt:lpstr>
      <vt:lpstr>PaymentTypes</vt:lpstr>
      <vt:lpstr>HR</vt:lpstr>
      <vt:lpstr>WorkerTable</vt:lpstr>
      <vt:lpstr>dimvertical</vt:lpstr>
      <vt:lpstr>dimworkertable</vt:lpstr>
      <vt:lpstr>DQ</vt:lpstr>
      <vt:lpstr>DQRuleType</vt:lpstr>
      <vt:lpstr>DQRuleMetaData</vt:lpstr>
      <vt:lpstr>DQRuleResults</vt:lpstr>
      <vt:lpstr>Misc</vt:lpstr>
      <vt:lpstr>Currency</vt:lpstr>
      <vt:lpstr>dimcurrency</vt:lpstr>
      <vt:lpstr>dimdate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2024-11-28T12:01:05Z</dcterms:created>
  <dcterms:modified xsi:type="dcterms:W3CDTF">2025-01-25T07:43:06Z</dcterms:modified>
</cp:coreProperties>
</file>